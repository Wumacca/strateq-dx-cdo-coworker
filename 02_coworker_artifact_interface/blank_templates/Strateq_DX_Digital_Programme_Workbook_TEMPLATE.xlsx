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xr:revisionPtr revIDLastSave="0" documentId="8_{B91FD7AA-F1FF-4DDB-9537-513A4A456FD9}" xr6:coauthVersionLast="47" xr6:coauthVersionMax="47" xr10:uidLastSave="{00000000-0000-0000-0000-000000000000}"/>
  <bookViews>
    <workbookView xWindow="43080" yWindow="-120" windowWidth="29040" windowHeight="15720" activeTab="2" xr2:uid="{00000000-000D-0000-FFFF-FFFF00000000}"/>
  </bookViews>
  <sheets>
    <sheet name="Programme Overview" sheetId="1" r:id="rId1"/>
    <sheet name="Delivery Overview" sheetId="2" r:id="rId2"/>
    <sheet name="Actions" sheetId="3" r:id="rId3"/>
    <sheet name="List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" i="2" l="1"/>
  <c r="N20" i="2"/>
  <c r="O16" i="2"/>
  <c r="N16" i="2"/>
  <c r="O11" i="2"/>
  <c r="N11" i="2"/>
  <c r="O19" i="2"/>
  <c r="N19" i="2"/>
  <c r="N18" i="2"/>
  <c r="O15" i="2"/>
  <c r="N15" i="2"/>
  <c r="N14" i="2"/>
  <c r="N13" i="2"/>
  <c r="O10" i="2"/>
  <c r="N10" i="2"/>
  <c r="N9" i="2"/>
  <c r="N8" i="2"/>
  <c r="N7" i="2"/>
  <c r="G116" i="3"/>
  <c r="G115" i="3"/>
  <c r="G114" i="3"/>
  <c r="G113" i="3"/>
  <c r="G112" i="3"/>
  <c r="G111" i="3"/>
  <c r="G109" i="3"/>
  <c r="G108" i="3"/>
  <c r="G107" i="3"/>
  <c r="G106" i="3"/>
  <c r="G105" i="3"/>
  <c r="G104" i="3"/>
  <c r="G103" i="3"/>
  <c r="G102" i="3"/>
  <c r="G101" i="3"/>
  <c r="G100" i="3"/>
  <c r="O18" i="2" s="1"/>
  <c r="G98" i="3"/>
  <c r="G97" i="3"/>
  <c r="G96" i="3"/>
  <c r="G95" i="3"/>
  <c r="G94" i="3"/>
  <c r="G93" i="3"/>
  <c r="G89" i="3"/>
  <c r="G88" i="3"/>
  <c r="G87" i="3"/>
  <c r="G86" i="3"/>
  <c r="G85" i="3"/>
  <c r="G84" i="3"/>
  <c r="G82" i="3"/>
  <c r="G81" i="3"/>
  <c r="G80" i="3"/>
  <c r="G79" i="3"/>
  <c r="G78" i="3"/>
  <c r="G77" i="3"/>
  <c r="G76" i="3"/>
  <c r="G75" i="3"/>
  <c r="G74" i="3"/>
  <c r="G73" i="3"/>
  <c r="G71" i="3"/>
  <c r="G70" i="3"/>
  <c r="G69" i="3"/>
  <c r="G68" i="3"/>
  <c r="G67" i="3"/>
  <c r="G66" i="3"/>
  <c r="G65" i="3"/>
  <c r="G64" i="3"/>
  <c r="G63" i="3"/>
  <c r="G62" i="3"/>
  <c r="G60" i="3"/>
  <c r="G59" i="3"/>
  <c r="G58" i="3"/>
  <c r="G57" i="3"/>
  <c r="G56" i="3"/>
  <c r="G55" i="3"/>
  <c r="G51" i="3"/>
  <c r="G50" i="3"/>
  <c r="G49" i="3"/>
  <c r="G48" i="3"/>
  <c r="G47" i="3"/>
  <c r="G46" i="3"/>
  <c r="G44" i="3"/>
  <c r="G43" i="3"/>
  <c r="G42" i="3"/>
  <c r="G41" i="3"/>
  <c r="G40" i="3"/>
  <c r="G39" i="3"/>
  <c r="G38" i="3"/>
  <c r="G37" i="3"/>
  <c r="G36" i="3"/>
  <c r="G35" i="3"/>
  <c r="G33" i="3"/>
  <c r="G32" i="3"/>
  <c r="G31" i="3"/>
  <c r="G30" i="3"/>
  <c r="G29" i="3"/>
  <c r="G28" i="3"/>
  <c r="G27" i="3"/>
  <c r="G26" i="3"/>
  <c r="G25" i="3"/>
  <c r="G24" i="3"/>
  <c r="G22" i="3"/>
  <c r="G21" i="3"/>
  <c r="G20" i="3"/>
  <c r="G19" i="3"/>
  <c r="G18" i="3"/>
  <c r="G17" i="3"/>
  <c r="G16" i="3"/>
  <c r="G15" i="3"/>
  <c r="G14" i="3"/>
  <c r="G13" i="3"/>
  <c r="G11" i="3"/>
  <c r="G10" i="3"/>
  <c r="G9" i="3"/>
  <c r="G8" i="3"/>
  <c r="G7" i="3"/>
  <c r="G6" i="3"/>
  <c r="H20" i="1" a="1"/>
  <c r="G20" i="1" a="1"/>
  <c r="F20" i="1" a="1"/>
  <c r="E20" i="1" a="1"/>
  <c r="D20" i="1" a="1"/>
  <c r="C20" i="1" a="1"/>
  <c r="H19" i="1" a="1"/>
  <c r="G19" i="1" a="1"/>
  <c r="F19" i="1" a="1"/>
  <c r="E19" i="1" a="1"/>
  <c r="D19" i="1" a="1"/>
  <c r="C19" i="1" a="1"/>
  <c r="H18" i="1" a="1"/>
  <c r="G18" i="1" a="1"/>
  <c r="F18" i="1" a="1"/>
  <c r="E18" i="1" a="1"/>
  <c r="D18" i="1" a="1"/>
  <c r="C18" i="1" a="1"/>
  <c r="H16" i="1" a="1"/>
  <c r="G16" i="1" a="1"/>
  <c r="F16" i="1" a="1"/>
  <c r="E16" i="1" a="1"/>
  <c r="D16" i="1" a="1"/>
  <c r="C16" i="1" a="1"/>
  <c r="H15" i="1" a="1"/>
  <c r="G15" i="1" a="1"/>
  <c r="F15" i="1" a="1"/>
  <c r="E15" i="1" a="1"/>
  <c r="D15" i="1" a="1"/>
  <c r="C15" i="1" a="1"/>
  <c r="H14" i="1" a="1"/>
  <c r="G14" i="1" a="1"/>
  <c r="F14" i="1" a="1"/>
  <c r="E14" i="1" a="1"/>
  <c r="D14" i="1" a="1"/>
  <c r="C14" i="1" a="1"/>
  <c r="H13" i="1" a="1"/>
  <c r="G13" i="1" a="1"/>
  <c r="F13" i="1" a="1"/>
  <c r="E13" i="1" a="1"/>
  <c r="D13" i="1" a="1"/>
  <c r="C13" i="1" a="1"/>
  <c r="H11" i="1" a="1"/>
  <c r="G11" i="1" a="1"/>
  <c r="F11" i="1" a="1"/>
  <c r="E11" i="1" a="1"/>
  <c r="D11" i="1" a="1"/>
  <c r="C11" i="1" a="1"/>
  <c r="H10" i="1" a="1"/>
  <c r="G10" i="1" a="1"/>
  <c r="F10" i="1" a="1"/>
  <c r="E10" i="1" a="1"/>
  <c r="D10" i="1" a="1"/>
  <c r="C10" i="1" a="1"/>
  <c r="H9" i="1" a="1"/>
  <c r="G9" i="1" a="1"/>
  <c r="F9" i="1" a="1"/>
  <c r="E9" i="1" a="1"/>
  <c r="D9" i="1" a="1"/>
  <c r="C9" i="1" a="1"/>
  <c r="H8" i="1" a="1"/>
  <c r="G8" i="1" a="1"/>
  <c r="F8" i="1" a="1"/>
  <c r="E8" i="1" a="1"/>
  <c r="D8" i="1" a="1"/>
  <c r="C8" i="1" a="1"/>
  <c r="H7" i="1" a="1"/>
  <c r="G7" i="1" a="1"/>
  <c r="F7" i="1" a="1"/>
  <c r="E7" i="1" a="1"/>
  <c r="D7" i="1" a="1"/>
  <c r="C7" i="1" a="1"/>
  <c r="C20" i="2" a="1"/>
  <c r="C19" i="2" a="1"/>
  <c r="C18" i="2" a="1"/>
  <c r="C16" i="2" a="1"/>
  <c r="C15" i="2" a="1"/>
  <c r="C14" i="2" a="1"/>
  <c r="B14" i="1" s="1"/>
  <c r="C13" i="2" a="1"/>
  <c r="C11" i="2" a="1"/>
  <c r="C10" i="2" a="1"/>
  <c r="C9" i="2" a="1"/>
  <c r="B9" i="1" s="1"/>
  <c r="C8" i="2" a="1"/>
  <c r="C7" i="2" a="1"/>
  <c r="B7" i="1" s="1"/>
  <c r="B20" i="1"/>
  <c r="B19" i="1"/>
  <c r="B18" i="1"/>
  <c r="B16" i="1"/>
  <c r="B15" i="1"/>
  <c r="B13" i="1"/>
  <c r="B11" i="1"/>
  <c r="B10" i="1"/>
  <c r="B8" i="1"/>
  <c r="H4" i="1"/>
  <c r="E4" i="1"/>
  <c r="A8" i="1"/>
  <c r="C17" i="2" a="1"/>
  <c r="C12" i="2" a="1"/>
  <c r="R20" i="2"/>
  <c r="F13" i="4" s="1"/>
  <c r="R19" i="2"/>
  <c r="F12" i="4" s="1"/>
  <c r="R18" i="2"/>
  <c r="R16" i="2"/>
  <c r="F10" i="4" s="1"/>
  <c r="R15" i="2"/>
  <c r="F9" i="4" s="1"/>
  <c r="R14" i="2"/>
  <c r="R13" i="2"/>
  <c r="R11" i="2"/>
  <c r="F6" i="4" s="1"/>
  <c r="R10" i="2"/>
  <c r="F5" i="4" s="1"/>
  <c r="R9" i="2"/>
  <c r="R8" i="2"/>
  <c r="R7" i="2"/>
  <c r="C6" i="2"/>
  <c r="A20" i="1"/>
  <c r="A19" i="1"/>
  <c r="A18" i="1"/>
  <c r="A17" i="1"/>
  <c r="A16" i="1"/>
  <c r="A15" i="1"/>
  <c r="A14" i="1"/>
  <c r="A13" i="1"/>
  <c r="A12" i="1"/>
  <c r="A11" i="1"/>
  <c r="A10" i="1"/>
  <c r="A9" i="1"/>
  <c r="A7" i="1"/>
  <c r="A6" i="1"/>
  <c r="A54" i="3" l="1"/>
  <c r="O14" i="2"/>
  <c r="A99" i="3"/>
  <c r="O13" i="2"/>
  <c r="O9" i="2"/>
  <c r="A61" i="3"/>
  <c r="A34" i="3"/>
  <c r="A23" i="3"/>
  <c r="O8" i="2"/>
  <c r="A12" i="3"/>
  <c r="O7" i="2"/>
  <c r="A72" i="3"/>
  <c r="A91" i="3"/>
  <c r="A92" i="3"/>
  <c r="A53" i="3"/>
  <c r="A4" i="3"/>
  <c r="A5" i="3"/>
  <c r="F11" i="4"/>
  <c r="F2" i="4"/>
  <c r="F8" i="4"/>
  <c r="F7" i="4"/>
  <c r="F4" i="4"/>
  <c r="F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<sst xmlns="http://schemas.openxmlformats.org/spreadsheetml/2006/main" count="114" uniqueCount="77">
  <si>
    <t>Contract / initiative</t>
  </si>
  <si>
    <t>Status</t>
  </si>
  <si>
    <t>2. Mobilising</t>
  </si>
  <si>
    <t>4. UAT</t>
  </si>
  <si>
    <t>5. Live</t>
  </si>
  <si>
    <t>6. Adopted</t>
  </si>
  <si>
    <t>Overdue</t>
  </si>
  <si>
    <t>Delivery-system ref</t>
  </si>
  <si>
    <t>Notes</t>
  </si>
  <si>
    <t>Project kick-off</t>
  </si>
  <si>
    <t>PEP built</t>
  </si>
  <si>
    <t>UAT approval</t>
  </si>
  <si>
    <t>Go-live</t>
  </si>
  <si>
    <t>Hypercare</t>
  </si>
  <si>
    <t>Adoption (30-day)</t>
  </si>
  <si>
    <t>Contract 1</t>
  </si>
  <si>
    <t>Contract 1</t>
  </si>
  <si>
    <t>Initiative 1</t>
  </si>
  <si>
    <t>Initiative 2</t>
  </si>
  <si>
    <t/>
  </si>
  <si>
    <t>Initiative 3</t>
  </si>
  <si>
    <t>Contract 2</t>
  </si>
  <si>
    <t>Contract 2</t>
  </si>
  <si>
    <t>Contract 3</t>
  </si>
  <si>
    <t>Contract 3</t>
  </si>
  <si>
    <t>Initiative 1</t>
  </si>
  <si>
    <t>Action Tracker</t>
  </si>
  <si>
    <t>Action ID</t>
  </si>
  <si>
    <t>Action</t>
  </si>
  <si>
    <t>Owner</t>
  </si>
  <si>
    <t>Due</t>
  </si>
  <si>
    <t>Contract 1 · Contract-level</t>
  </si>
  <si>
    <t>Contract 2 · Contract-level</t>
  </si>
  <si>
    <t>Contract 3 · Contract-level</t>
  </si>
  <si>
    <t>Step state</t>
  </si>
  <si>
    <t>RAG</t>
  </si>
  <si>
    <t>Action status</t>
  </si>
  <si>
    <t>Action step</t>
  </si>
  <si>
    <t>Initiative keys</t>
  </si>
  <si>
    <t>Contracts</t>
  </si>
  <si>
    <t>Green</t>
  </si>
  <si>
    <t>Open</t>
  </si>
  <si>
    <t>Amber</t>
  </si>
  <si>
    <t>In progress</t>
  </si>
  <si>
    <t>Red</t>
  </si>
  <si>
    <t>Blocked</t>
  </si>
  <si>
    <t>Done</t>
  </si>
  <si>
    <t>Cancelled</t>
  </si>
  <si>
    <t>General</t>
  </si>
  <si>
    <t>Digital Programme Overview</t>
  </si>
  <si>
    <t>3. In Delivery</t>
  </si>
  <si>
    <t>Actions (Open)</t>
  </si>
  <si>
    <t>Actions (Overdue)</t>
  </si>
  <si>
    <t>● Complete</t>
  </si>
  <si>
    <t>● Hopper Backlog</t>
  </si>
  <si>
    <t>● Initiation Form in Progress</t>
  </si>
  <si>
    <t>● Not started</t>
  </si>
  <si>
    <t>● Mobilising</t>
  </si>
  <si>
    <t>● Not required</t>
  </si>
  <si>
    <t>● In Delivery</t>
  </si>
  <si>
    <t>● Blocked</t>
  </si>
  <si>
    <t>● Operational / Live</t>
  </si>
  <si>
    <t>● Closed / Retired</t>
  </si>
  <si>
    <t>● Paused (On Hold)</t>
  </si>
  <si>
    <t>Digital Delivery Overview</t>
  </si>
  <si>
    <t>Current Step</t>
  </si>
  <si>
    <t>Vendor Onboarded</t>
  </si>
  <si>
    <t>Leadership Approval</t>
  </si>
  <si>
    <t>Functional Testing</t>
  </si>
  <si>
    <t>1. Commercial Approval</t>
  </si>
  <si>
    <t>● In Progress</t>
  </si>
  <si>
    <t>PEP Build</t>
  </si>
  <si>
    <t>Work Delivered</t>
  </si>
  <si>
    <t>PEP MILESTONES</t>
  </si>
  <si>
    <t>Contract 1 · other / new initiative</t>
  </si>
  <si>
    <t>Contract 2 · other / new initiative</t>
  </si>
  <si>
    <t>Contract 3 · other / new initiative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</si>
</sst>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b/>
      <sz val="10"/>
      <color rgb="FF22272B"/>
      <name val="Arial"/>
      <family val="2"/>
    </font>
    <font>
      <b/>
      <sz val="16"/>
      <color rgb="FF1F2A44"/>
      <name val="Arial"/>
      <family val="2"/>
    </font>
    <font>
      <i/>
      <sz val="9"/>
      <color rgb="FF5A626B"/>
      <name val="Arial"/>
      <family val="2"/>
    </font>
    <font>
      <b/>
      <sz val="9"/>
      <color rgb="FFFFFFFF"/>
      <name val="Arial"/>
      <family val="2"/>
    </font>
    <font>
      <b/>
      <sz val="10"/>
      <color rgb="FF1F2A44"/>
      <name val="Arial"/>
      <family val="2"/>
    </font>
    <font>
      <b/>
      <sz val="9"/>
      <color rgb="FF1F2A44"/>
      <name val="Arial"/>
      <family val="2"/>
    </font>
    <font>
      <i/>
      <sz val="8"/>
      <color rgb="FF5A626B"/>
      <name val="Arial"/>
      <family val="2"/>
    </font>
    <font>
      <b/>
      <sz val="10"/>
      <color rgb="FFFFFFFF"/>
      <name val="Arial"/>
      <family val="2"/>
    </font>
    <font>
      <sz val="9"/>
      <color rgb="FF5A626B"/>
      <name val="Arial"/>
      <family val="2"/>
    </font>
    <font>
      <i/>
      <sz val="8"/>
      <color rgb="FF5A626B"/>
      <name val="Arial"/>
      <family val="2"/>
    </font>
    <font>
      <b/>
      <sz val="9"/>
      <color rgb="FFFFFFFF"/>
      <name val="Arial"/>
      <family val="2"/>
    </font>
    <font>
      <b/>
      <sz val="16"/>
      <color rgb="FF1F2A44"/>
      <name val="Arial"/>
      <family val="2"/>
    </font>
    <font>
      <b/>
      <sz val="9"/>
      <color rgb="FFFFFFFF"/>
      <name val="Arial"/>
      <family val="2"/>
    </font>
    <font>
      <sz val="9"/>
      <color rgb="FF1F1F1F"/>
      <name val="Arial"/>
      <family val="2"/>
    </font>
    <font>
      <sz val="11"/>
      <color rgb="FF1F1F1F"/>
      <name val="Calibri"/>
      <family val="2"/>
      <scheme val="minor"/>
    </font>
    <font>
      <sz val="10"/>
      <color rgb="FF1F1F1F"/>
      <name val="Arial"/>
      <family val="2"/>
    </font>
    <font>
      <sz val="9.5"/>
      <color rgb="FF1F1F1F"/>
      <name val="Arial"/>
      <family val="2"/>
    </font>
    <font>
      <b/>
      <sz val="9.5"/>
      <color rgb="FF1F2A44"/>
      <name val="Arial"/>
      <family val="2"/>
    </font>
    <font>
      <b/>
      <sz val="11"/>
      <color rgb="FFFFFFFF"/>
      <name val="Arial"/>
      <family val="2"/>
    </font>
    <font>
      <b/>
      <sz val="8.5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7.5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rgb="FF146C74"/>
      </patternFill>
    </fill>
    <fill>
      <patternFill patternType="solid">
        <fgColor rgb="FFE9EDF2"/>
      </patternFill>
    </fill>
    <fill>
      <patternFill patternType="solid">
        <fgColor rgb="FFD6EAEC"/>
      </patternFill>
    </fill>
    <fill>
      <patternFill patternType="solid">
        <fgColor rgb="FFEEF1F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9EDF2"/>
        <bgColor indexed="64"/>
      </patternFill>
    </fill>
  </fills>
  <borders count="19">
    <border>
      <left/>
      <right/>
      <top/>
      <bottom/>
      <diagonal/>
    </border>
    <border>
      <left style="thin">
        <color rgb="FFC9D1D8"/>
      </left>
      <right style="thin">
        <color rgb="FFC9D1D8"/>
      </right>
      <top style="thin">
        <color rgb="FFC9D1D8"/>
      </top>
      <bottom style="thin">
        <color rgb="FFC9D1D8"/>
      </bottom>
      <diagonal/>
    </border>
    <border>
      <left style="thin">
        <color rgb="FFC9D1D8"/>
      </left>
      <right style="thin">
        <color rgb="FFC9D1D8"/>
      </right>
      <top/>
      <bottom style="thin">
        <color rgb="FFC9D1D8"/>
      </bottom>
      <diagonal/>
    </border>
    <border>
      <left/>
      <right/>
      <top style="thin">
        <color rgb="FFC9D1D8"/>
      </top>
      <bottom style="thin">
        <color rgb="FFC9D1D8"/>
      </bottom>
      <diagonal/>
    </border>
    <border>
      <left/>
      <right style="thin">
        <color rgb="FFC9D1D8"/>
      </right>
      <top style="thin">
        <color rgb="FFC9D1D8"/>
      </top>
      <bottom style="thin">
        <color rgb="FFC9D1D8"/>
      </bottom>
      <diagonal/>
    </border>
    <border>
      <left style="thin">
        <color rgb="FFC9D1D8"/>
      </left>
      <right style="thin">
        <color rgb="FFC9D1D8"/>
      </right>
      <top style="thin">
        <color rgb="FFC9D1D8"/>
      </top>
      <bottom style="thin">
        <color rgb="FFC9D1D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C9D1D8"/>
      </left>
      <right/>
      <top style="thin">
        <color rgb="FFC9D1D8"/>
      </top>
      <bottom style="thin">
        <color rgb="FFC9D1D8"/>
      </bottom>
      <diagonal/>
    </border>
    <border>
      <left style="thin">
        <color rgb="FFE9EDF2"/>
      </left>
      <right style="thin">
        <color rgb="FFE9EDF2"/>
      </right>
      <top style="thin">
        <color rgb="FFC9D1D8"/>
      </top>
      <bottom style="thin">
        <color rgb="FFC9D1D8"/>
      </bottom>
      <diagonal/>
    </border>
    <border>
      <left style="thin">
        <color rgb="FFE9EDF2"/>
      </left>
      <right style="thin">
        <color rgb="FFC9D1D8"/>
      </right>
      <top style="thin">
        <color rgb="FFC9D1D8"/>
      </top>
      <bottom style="thin">
        <color rgb="FFC9D1D8"/>
      </bottom>
      <diagonal/>
    </border>
    <border>
      <left style="thin">
        <color rgb="FFC9D1D8"/>
      </left>
      <right style="thin">
        <color theme="0"/>
      </right>
      <top style="thin">
        <color rgb="FFC9D1D8"/>
      </top>
      <bottom style="thin">
        <color rgb="FFC9D1D8"/>
      </bottom>
      <diagonal/>
    </border>
    <border>
      <left style="thin">
        <color theme="0"/>
      </left>
      <right style="thin">
        <color theme="0"/>
      </right>
      <top style="thin">
        <color rgb="FFC9D1D8"/>
      </top>
      <bottom style="thin">
        <color rgb="FFC9D1D8"/>
      </bottom>
      <diagonal/>
    </border>
    <border>
      <left style="thin">
        <color theme="0"/>
      </left>
      <right style="thin">
        <color rgb="FFC9D1D8"/>
      </right>
      <top style="thin">
        <color rgb="FFC9D1D8"/>
      </top>
      <bottom style="thin">
        <color rgb="FFC9D1D8"/>
      </bottom>
      <diagonal/>
    </border>
    <border>
      <left style="thin">
        <color rgb="FFC9D1D8"/>
      </left>
      <right style="thin">
        <color rgb="FF146C74"/>
      </right>
      <top style="thin">
        <color rgb="FFC9D1D8"/>
      </top>
      <bottom style="thin">
        <color rgb="FFC9D1D8"/>
      </bottom>
      <diagonal/>
    </border>
    <border>
      <left style="thin">
        <color rgb="FF146C74"/>
      </left>
      <right style="thin">
        <color rgb="FF146C74"/>
      </right>
      <top style="thin">
        <color rgb="FFC9D1D8"/>
      </top>
      <bottom style="thin">
        <color rgb="FFC9D1D8"/>
      </bottom>
      <diagonal/>
    </border>
    <border>
      <left style="thin">
        <color rgb="FF146C74"/>
      </left>
      <right style="thin">
        <color rgb="FFC9D1D8"/>
      </right>
      <top style="thin">
        <color rgb="FFC9D1D8"/>
      </top>
      <bottom style="thin">
        <color rgb="FFC9D1D8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0" borderId="0" xfId="0" applyFont="1"/>
    <xf numFmtId="0" fontId="10" fillId="0" borderId="0" xfId="0" applyFont="1"/>
    <xf numFmtId="0" fontId="5" fillId="4" borderId="5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horizontal="left" vertical="center" wrapText="1" indent="1"/>
    </xf>
    <xf numFmtId="0" fontId="14" fillId="8" borderId="1" xfId="0" applyFont="1" applyFill="1" applyBorder="1" applyAlignment="1">
      <alignment horizontal="left" vertical="center" wrapText="1" indent="1"/>
    </xf>
    <xf numFmtId="0" fontId="14" fillId="8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left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1" fillId="0" borderId="6" xfId="0" applyFont="1" applyBorder="1" applyAlignment="1">
      <alignment horizontal="center"/>
    </xf>
    <xf numFmtId="0" fontId="15" fillId="8" borderId="7" xfId="0" applyFont="1" applyFill="1" applyBorder="1" applyAlignment="1">
      <alignment horizontal="center"/>
    </xf>
    <xf numFmtId="0" fontId="15" fillId="7" borderId="7" xfId="0" applyFont="1" applyFill="1" applyBorder="1" applyAlignment="1">
      <alignment horizontal="center"/>
    </xf>
    <xf numFmtId="0" fontId="15" fillId="8" borderId="8" xfId="0" applyFont="1" applyFill="1" applyBorder="1" applyAlignment="1">
      <alignment horizontal="center"/>
    </xf>
    <xf numFmtId="0" fontId="15" fillId="7" borderId="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5" fillId="8" borderId="9" xfId="0" applyFont="1" applyFill="1" applyBorder="1" applyAlignment="1">
      <alignment horizontal="center"/>
    </xf>
    <xf numFmtId="0" fontId="5" fillId="10" borderId="11" xfId="0" applyFont="1" applyFill="1" applyBorder="1" applyAlignment="1">
      <alignment horizontal="center" vertical="center" wrapText="1"/>
    </xf>
    <xf numFmtId="0" fontId="5" fillId="10" borderId="12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 wrapText="1"/>
    </xf>
    <xf numFmtId="0" fontId="18" fillId="10" borderId="11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1" fillId="4" borderId="5" xfId="0" applyFont="1" applyFill="1" applyBorder="1" applyAlignment="1">
      <alignment horizontal="left" vertical="center" wrapText="1"/>
    </xf>
    <xf numFmtId="0" fontId="21" fillId="4" borderId="1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left" vertical="center" wrapText="1"/>
    </xf>
    <xf numFmtId="0" fontId="16" fillId="7" borderId="5" xfId="0" applyFont="1" applyFill="1" applyBorder="1" applyAlignment="1">
      <alignment horizontal="left" vertical="center" wrapText="1" indent="1"/>
    </xf>
    <xf numFmtId="0" fontId="18" fillId="10" borderId="11" xfId="0" applyFont="1" applyFill="1" applyBorder="1" applyAlignment="1">
      <alignment horizontal="left" vertical="center" wrapText="1" indent="1"/>
    </xf>
    <xf numFmtId="14" fontId="14" fillId="8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6" fillId="5" borderId="10" xfId="0" applyFont="1" applyFill="1" applyBorder="1" applyAlignment="1">
      <alignment vertical="center"/>
    </xf>
    <xf numFmtId="0" fontId="6" fillId="5" borderId="3" xfId="0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0" fontId="9" fillId="6" borderId="10" xfId="0" applyFont="1" applyFill="1" applyBorder="1" applyAlignment="1">
      <alignment vertical="center"/>
    </xf>
    <xf numFmtId="0" fontId="9" fillId="6" borderId="3" xfId="0" applyFont="1" applyFill="1" applyBorder="1" applyAlignment="1">
      <alignment vertical="center"/>
    </xf>
    <xf numFmtId="0" fontId="9" fillId="6" borderId="4" xfId="0" applyFont="1" applyFill="1" applyBorder="1" applyAlignment="1">
      <alignment vertical="center"/>
    </xf>
    <xf numFmtId="0" fontId="8" fillId="2" borderId="10" xfId="0" applyFont="1" applyFill="1" applyBorder="1" applyAlignment="1">
      <alignment vertical="center"/>
    </xf>
    <xf numFmtId="0" fontId="8" fillId="2" borderId="3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0" fontId="13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9" fillId="3" borderId="10" xfId="0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19" fillId="3" borderId="4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11" fillId="2" borderId="1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14">
    <dxf>
      <font>
        <b/>
        <color rgb="FFA12626"/>
        <name val="Arial"/>
      </font>
      <fill>
        <patternFill patternType="solid">
          <fgColor rgb="FFFBE3E3"/>
        </patternFill>
      </fill>
    </dxf>
    <dxf>
      <font>
        <b/>
        <color rgb="FFA12626"/>
        <name val="Arial"/>
      </font>
      <fill>
        <patternFill patternType="solid">
          <fgColor rgb="FFFBE3E3"/>
        </patternFill>
      </fill>
    </dxf>
    <dxf>
      <font>
        <i/>
        <color rgb="FF9AA3AB"/>
        <name val="Arial"/>
      </font>
    </dxf>
    <dxf>
      <font>
        <i/>
        <color rgb="FF7A828A"/>
        <name val="Arial"/>
      </font>
    </dxf>
    <dxf>
      <font>
        <i/>
        <color rgb="FF7A828A"/>
        <name val="Arial"/>
      </font>
    </dxf>
    <dxf>
      <font>
        <i/>
        <color rgb="FF7A828A"/>
        <name val="Arial"/>
      </font>
    </dxf>
    <dxf>
      <font>
        <b val="0"/>
        <i val="0"/>
        <color rgb="FF000000"/>
      </font>
      <fill>
        <patternFill patternType="solid">
          <fgColor indexed="64"/>
          <bgColor rgb="FFFFFFFF"/>
        </patternFill>
      </fill>
    </dxf>
    <dxf>
      <font>
        <b val="0"/>
        <i val="0"/>
        <color rgb="FFC00000"/>
      </font>
      <fill>
        <patternFill patternType="solid">
          <fgColor indexed="64"/>
          <bgColor rgb="FFFFFFFF"/>
        </patternFill>
      </fill>
    </dxf>
    <dxf>
      <font>
        <b val="0"/>
        <i val="0"/>
        <color rgb="FFFFC000"/>
      </font>
      <fill>
        <patternFill patternType="solid">
          <fgColor indexed="64"/>
          <bgColor rgb="FFFFFFFF"/>
        </patternFill>
      </fill>
    </dxf>
    <dxf>
      <font>
        <b val="0"/>
        <i val="0"/>
        <color rgb="FF00B050"/>
      </font>
      <fill>
        <patternFill patternType="solid">
          <fgColor indexed="64"/>
          <bgColor rgb="FFFFFFFF"/>
        </patternFill>
      </fill>
    </dxf>
    <dxf>
      <font>
        <b val="0"/>
        <i val="0"/>
        <color rgb="FF000000"/>
      </font>
      <fill>
        <patternFill patternType="solid">
          <fgColor indexed="64"/>
          <bgColor rgb="FFFFFFFF"/>
        </patternFill>
      </fill>
    </dxf>
    <dxf>
      <font>
        <b val="0"/>
        <i val="0"/>
        <color rgb="FFC00000"/>
      </font>
      <fill>
        <patternFill patternType="solid">
          <fgColor indexed="64"/>
          <bgColor rgb="FFFFFFFF"/>
        </patternFill>
      </fill>
    </dxf>
    <dxf>
      <font>
        <b val="0"/>
        <i val="0"/>
        <color rgb="FFFFC000"/>
      </font>
      <fill>
        <patternFill patternType="solid">
          <fgColor indexed="64"/>
          <bgColor rgb="FFFFFFFF"/>
        </patternFill>
      </fill>
    </dxf>
    <dxf>
      <font>
        <b val="0"/>
        <i val="0"/>
        <color rgb="FF00B050"/>
      </font>
      <fill>
        <patternFill patternType="solid">
          <fgColor indexed="64"/>
          <bgColor rgb="FFFFFFFF"/>
        </patternFill>
      </fill>
    </dxf>
  </dxfs>
  <tableStyles count="0" defaultTableStyle="TableStyleMedium9" defaultPivotStyle="PivotStyleLight16"/>
  <colors>
    <mruColors>
      <color rgb="FF146C74"/>
      <color rgb="FF21AEBD"/>
      <color rgb="FFC9D1D8"/>
      <color rgb="FFE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2A44"/>
    <outlinePr summaryBelow="0" summaryRight="0"/>
    <pageSetUpPr fitToPage="1"/>
  </sheetPr>
  <dimension ref="A1:H20"/>
  <sheetViews>
    <sheetView showGridLines="0" zoomScaleNormal="100" workbookViewId="0">
      <pane xSplit="2" ySplit="5" topLeftCell="C6" activePane="bottomRight" state="frozen"/>
      <selection pane="topRight"/>
      <selection pane="bottomLeft"/>
      <selection pane="bottomRight" activeCell="D11" sqref="D11"/>
    </sheetView>
  </sheetViews>
  <sheetFormatPr defaultRowHeight="14.6" outlineLevelRow="1" x14ac:dyDescent="0.4"/>
  <cols>
    <col min="1" max="1" width="27" customWidth="1"/>
    <col min="2" max="2" width="21.69140625" customWidth="1"/>
    <col min="3" max="8" width="15" customWidth="1"/>
  </cols>
  <sheetData>
    <row r="1" spans="1:8" ht="20.149999999999999" customHeight="1" x14ac:dyDescent="0.5">
      <c r="A1" s="1" t="s">
        <v>49</v>
      </c>
    </row>
    <row r="4" spans="1:8" ht="22" customHeight="1" x14ac:dyDescent="0.4">
      <c r="A4" s="57" t="s">
        <v>0</v>
      </c>
      <c r="B4" s="57" t="s">
        <v>65</v>
      </c>
      <c r="C4" s="58" t="s">
        <v>69</v>
      </c>
      <c r="D4" s="57" t="s">
        <v>2</v>
      </c>
      <c r="E4" s="57" t="str">
        <f>'Delivery Overview'!H4</f>
        <v>3. In Delivery</v>
      </c>
      <c r="F4" s="57" t="s">
        <v>3</v>
      </c>
      <c r="G4" s="57" t="s">
        <v>4</v>
      </c>
      <c r="H4" s="57" t="str">
        <f>'Delivery Overview'!M4</f>
        <v>6. Adopted</v>
      </c>
    </row>
    <row r="5" spans="1:8" x14ac:dyDescent="0.4">
      <c r="A5" s="57"/>
      <c r="B5" s="57"/>
      <c r="C5" s="57"/>
      <c r="D5" s="57"/>
      <c r="E5" s="57"/>
      <c r="F5" s="57"/>
      <c r="G5" s="57"/>
      <c r="H5" s="57"/>
    </row>
    <row r="6" spans="1:8" ht="24" customHeight="1" x14ac:dyDescent="0.4">
      <c r="A6" s="9" t="str">
        <f>'Delivery Overview'!A6</f>
        <v>Contract 1</v>
      </c>
      <c r="B6" s="37"/>
      <c r="C6" s="32"/>
      <c r="D6" s="32"/>
      <c r="E6" s="32"/>
      <c r="F6" s="32"/>
      <c r="G6" s="32"/>
      <c r="H6" s="32"/>
    </row>
    <row r="7" spans="1:8" ht="22.3" customHeight="1" outlineLevel="1" x14ac:dyDescent="0.4">
      <c r="A7" s="10" t="str">
        <f>IF('Delivery Overview'!A7="","",'Delivery Overview'!A7)</f>
        <v>Initiative 1</v>
      </c>
      <c r="B7" s="40" t="str">
        <f>IF('Delivery Overview'!C7="","",'Delivery Overview'!C7)</f>
        <v>Not Started: Leadership Approval</v>
      </c>
      <c r="C7" s="41" t="str" cm="1">
        <f t="array" ref="C7">IF(A7="","",IF(COUNTA('Delivery Overview'!D7:E7)=0,"● Not started",_xlfn.IFS(COUNTIF('Delivery Overview'!D7:E7,"● Blocked")&gt;0,"● Blocked",COUNTIF('Delivery Overview'!D7:E7,"● In Progress")&gt;0,"● In Progress",COUNTIF('Delivery Overview'!D7:E7,"● Not required")=2,"● Not required",COUNTIF('Delivery Overview'!D7:E7,"● Complete")+COUNTIF('Delivery Overview'!D7:E7,"● Not required")=2,"● Complete",COUNTIF('Delivery Overview'!D7:E7,"● Complete")+COUNTIF('Delivery Overview'!D7:E7,"● Not required")&gt;0,"● In Progress",TRUE,"● Not started")))</f>
        <v>● Not started</v>
      </c>
      <c r="D7" s="41" t="str" cm="1">
        <f t="array" ref="D7">IF(A7="","",IF(COUNTA('Delivery Overview'!F7:G7)=0,IF(OR(C7="● Complete",C7="● Not required"),"● Not started",""),_xlfn.IFS(COUNTIF('Delivery Overview'!F7:G7,"● Blocked")&gt;0,"● Blocked",COUNTIF('Delivery Overview'!F7:G7,"● In Progress")&gt;0,"● In Progress",COUNTIF('Delivery Overview'!F7:G7,"● Not required")=2,"● Not required",COUNTIF('Delivery Overview'!F7:G7,"● Complete")+COUNTIF('Delivery Overview'!F7:G7,"● Not required")=2,"● Complete",COUNTIF('Delivery Overview'!F7:G7,"● Complete")+COUNTIF('Delivery Overview'!F7:G7,"● Not required")&gt;0,"● In Progress",TRUE,"● Not started")))</f>
        <v/>
      </c>
      <c r="E7" s="41" t="str" cm="1">
        <f t="array" ref="E7">IF(A7="","",IF(COUNTA('Delivery Overview'!H7:H7)=0,IF(OR(D7="● Complete",D7="● Not required"),"● Not started",""),_xlfn.IFS(COUNTIF('Delivery Overview'!H7:H7,"● Blocked")&gt;0,"● Blocked",COUNTIF('Delivery Overview'!H7:H7,"● In Progress")&gt;0,"● In Progress",COUNTIF('Delivery Overview'!H7:H7,"● Not required")=1,"● Not required",COUNTIF('Delivery Overview'!H7:H7,"● Complete")+COUNTIF('Delivery Overview'!H7:H7,"● Not required")=1,"● Complete",COUNTIF('Delivery Overview'!H7:H7,"● Complete")+COUNTIF('Delivery Overview'!H7:H7,"● Not required")&gt;0,"● In Progress",TRUE,"● Not started")))</f>
        <v/>
      </c>
      <c r="F7" s="41" t="str" cm="1">
        <f t="array" ref="F7">IF(A7="","",IF(COUNTA('Delivery Overview'!I7:J7)=0,IF(OR(E7="● Complete",E7="● Not required"),"● Not started",""),_xlfn.IFS(COUNTIF('Delivery Overview'!I7:J7,"● Blocked")&gt;0,"● Blocked",COUNTIF('Delivery Overview'!I7:J7,"● In Progress")&gt;0,"● In Progress",COUNTIF('Delivery Overview'!I7:J7,"● Not required")=2,"● Not required",COUNTIF('Delivery Overview'!I7:J7,"● Complete")+COUNTIF('Delivery Overview'!I7:J7,"● Not required")=2,"● Complete",COUNTIF('Delivery Overview'!I7:J7,"● Complete")+COUNTIF('Delivery Overview'!I7:J7,"● Not required")&gt;0,"● In Progress",TRUE,"● Not started")))</f>
        <v/>
      </c>
      <c r="G7" s="41" t="str" cm="1">
        <f t="array" ref="G7">IF(A7="","",IF(COUNTA('Delivery Overview'!K7:L7)=0,IF(OR(F7="● Complete",F7="● Not required"),"● Not started",""),_xlfn.IFS(COUNTIF('Delivery Overview'!K7:L7,"● Blocked")&gt;0,"● Blocked",COUNTIF('Delivery Overview'!K7:L7,"● In Progress")&gt;0,"● In Progress",COUNTIF('Delivery Overview'!K7:L7,"● Not required")=2,"● Not required",COUNTIF('Delivery Overview'!K7:L7,"● Complete")+COUNTIF('Delivery Overview'!K7:L7,"● Not required")=2,"● Complete",COUNTIF('Delivery Overview'!K7:L7,"● Complete")+COUNTIF('Delivery Overview'!K7:L7,"● Not required")&gt;0,"● In Progress",TRUE,"● Not started")))</f>
        <v/>
      </c>
      <c r="H7" s="41" t="str" cm="1">
        <f t="array" ref="H7">IF(A7="","",IF(COUNTA('Delivery Overview'!M7:M7)=0,IF(OR(G7="● Complete",G7="● Not required"),"● Not started",""),_xlfn.IFS(COUNTIF('Delivery Overview'!M7:M7,"● Blocked")&gt;0,"● Blocked",COUNTIF('Delivery Overview'!M7:M7,"● In Progress")&gt;0,"● In Progress",COUNTIF('Delivery Overview'!M7:M7,"● Not required")=1,"● Not required",COUNTIF('Delivery Overview'!M7:M7,"● Complete")+COUNTIF('Delivery Overview'!M7:M7,"● Not required")=1,"● Complete",COUNTIF('Delivery Overview'!M7:M7,"● Complete")+COUNTIF('Delivery Overview'!M7:M7,"● Not required")&gt;0,"● In Progress",TRUE,"● Not started")))</f>
        <v/>
      </c>
    </row>
    <row r="8" spans="1:8" ht="22.3" customHeight="1" outlineLevel="1" x14ac:dyDescent="0.4">
      <c r="A8" s="10" t="str">
        <f>IF('Delivery Overview'!A8="","",'Delivery Overview'!A8)</f>
        <v>Initiative 2</v>
      </c>
      <c r="B8" s="40" t="str">
        <f>IF('Delivery Overview'!C8="","",'Delivery Overview'!C8)</f>
        <v>Blocked: Project kick-off</v>
      </c>
      <c r="C8" s="41" t="str" cm="1">
        <f t="array" ref="C8">IF(A8="","",IF(COUNTA('Delivery Overview'!D8:E8)=0,"● Not started",_xlfn.IFS(COUNTIF('Delivery Overview'!D8:E8,"● Blocked")&gt;0,"● Blocked",COUNTIF('Delivery Overview'!D8:E8,"● In Progress")&gt;0,"● In Progress",COUNTIF('Delivery Overview'!D8:E8,"● Not required")=2,"● Not required",COUNTIF('Delivery Overview'!D8:E8,"● Complete")+COUNTIF('Delivery Overview'!D8:E8,"● Not required")=2,"● Complete",COUNTIF('Delivery Overview'!D8:E8,"● Complete")+COUNTIF('Delivery Overview'!D8:E8,"● Not required")&gt;0,"● In Progress",TRUE,"● Not started")))</f>
        <v>● Complete</v>
      </c>
      <c r="D8" s="41" t="str" cm="1">
        <f t="array" ref="D8">IF(A8="","",IF(COUNTA('Delivery Overview'!F8:G8)=0,IF(OR(C8="● Complete",C8="● Not required"),"● Not started",""),_xlfn.IFS(COUNTIF('Delivery Overview'!F8:G8,"● Blocked")&gt;0,"● Blocked",COUNTIF('Delivery Overview'!F8:G8,"● In Progress")&gt;0,"● In Progress",COUNTIF('Delivery Overview'!F8:G8,"● Not required")=2,"● Not required",COUNTIF('Delivery Overview'!F8:G8,"● Complete")+COUNTIF('Delivery Overview'!F8:G8,"● Not required")=2,"● Complete",COUNTIF('Delivery Overview'!F8:G8,"● Complete")+COUNTIF('Delivery Overview'!F8:G8,"● Not required")&gt;0,"● In Progress",TRUE,"● Not started")))</f>
        <v>● Blocked</v>
      </c>
      <c r="E8" s="41" t="str" cm="1">
        <f t="array" ref="E8">IF(A8="","",IF(COUNTA('Delivery Overview'!H8:H8)=0,IF(OR(D8="● Complete",D8="● Not required"),"● Not started",""),_xlfn.IFS(COUNTIF('Delivery Overview'!H8:H8,"● Blocked")&gt;0,"● Blocked",COUNTIF('Delivery Overview'!H8:H8,"● In Progress")&gt;0,"● In Progress",COUNTIF('Delivery Overview'!H8:H8,"● Not required")=1,"● Not required",COUNTIF('Delivery Overview'!H8:H8,"● Complete")+COUNTIF('Delivery Overview'!H8:H8,"● Not required")=1,"● Complete",COUNTIF('Delivery Overview'!H8:H8,"● Complete")+COUNTIF('Delivery Overview'!H8:H8,"● Not required")&gt;0,"● In Progress",TRUE,"● Not started")))</f>
        <v/>
      </c>
      <c r="F8" s="41" t="str" cm="1">
        <f t="array" ref="F8">IF(A8="","",IF(COUNTA('Delivery Overview'!I8:J8)=0,IF(OR(E8="● Complete",E8="● Not required"),"● Not started",""),_xlfn.IFS(COUNTIF('Delivery Overview'!I8:J8,"● Blocked")&gt;0,"● Blocked",COUNTIF('Delivery Overview'!I8:J8,"● In Progress")&gt;0,"● In Progress",COUNTIF('Delivery Overview'!I8:J8,"● Not required")=2,"● Not required",COUNTIF('Delivery Overview'!I8:J8,"● Complete")+COUNTIF('Delivery Overview'!I8:J8,"● Not required")=2,"● Complete",COUNTIF('Delivery Overview'!I8:J8,"● Complete")+COUNTIF('Delivery Overview'!I8:J8,"● Not required")&gt;0,"● In Progress",TRUE,"● Not started")))</f>
        <v/>
      </c>
      <c r="G8" s="41" t="str" cm="1">
        <f t="array" ref="G8">IF(A8="","",IF(COUNTA('Delivery Overview'!K8:L8)=0,IF(OR(F8="● Complete",F8="● Not required"),"● Not started",""),_xlfn.IFS(COUNTIF('Delivery Overview'!K8:L8,"● Blocked")&gt;0,"● Blocked",COUNTIF('Delivery Overview'!K8:L8,"● In Progress")&gt;0,"● In Progress",COUNTIF('Delivery Overview'!K8:L8,"● Not required")=2,"● Not required",COUNTIF('Delivery Overview'!K8:L8,"● Complete")+COUNTIF('Delivery Overview'!K8:L8,"● Not required")=2,"● Complete",COUNTIF('Delivery Overview'!K8:L8,"● Complete")+COUNTIF('Delivery Overview'!K8:L8,"● Not required")&gt;0,"● In Progress",TRUE,"● Not started")))</f>
        <v/>
      </c>
      <c r="H8" s="41" t="str" cm="1">
        <f t="array" ref="H8">IF(A8="","",IF(COUNTA('Delivery Overview'!M8:M8)=0,IF(OR(G8="● Complete",G8="● Not required"),"● Not started",""),_xlfn.IFS(COUNTIF('Delivery Overview'!M8:M8,"● Blocked")&gt;0,"● Blocked",COUNTIF('Delivery Overview'!M8:M8,"● In Progress")&gt;0,"● In Progress",COUNTIF('Delivery Overview'!M8:M8,"● Not required")=1,"● Not required",COUNTIF('Delivery Overview'!M8:M8,"● Complete")+COUNTIF('Delivery Overview'!M8:M8,"● Not required")=1,"● Complete",COUNTIF('Delivery Overview'!M8:M8,"● Complete")+COUNTIF('Delivery Overview'!M8:M8,"● Not required")&gt;0,"● In Progress",TRUE,"● Not started")))</f>
        <v/>
      </c>
    </row>
    <row r="9" spans="1:8" ht="22.3" customHeight="1" outlineLevel="1" x14ac:dyDescent="0.4">
      <c r="A9" s="10" t="str">
        <f>IF('Delivery Overview'!A9="","",'Delivery Overview'!A9)</f>
        <v>Initiative 3</v>
      </c>
      <c r="B9" s="40" t="str">
        <f>IF('Delivery Overview'!C9="","",'Delivery Overview'!C9)</f>
        <v>Not Started: Leadership Approval</v>
      </c>
      <c r="C9" s="41" t="str" cm="1">
        <f t="array" ref="C9">IF(A9="","",IF(COUNTA('Delivery Overview'!D9:E9)=0,"● Not started",_xlfn.IFS(COUNTIF('Delivery Overview'!D9:E9,"● Blocked")&gt;0,"● Blocked",COUNTIF('Delivery Overview'!D9:E9,"● In Progress")&gt;0,"● In Progress",COUNTIF('Delivery Overview'!D9:E9,"● Not required")=2,"● Not required",COUNTIF('Delivery Overview'!D9:E9,"● Complete")+COUNTIF('Delivery Overview'!D9:E9,"● Not required")=2,"● Complete",COUNTIF('Delivery Overview'!D9:E9,"● Complete")+COUNTIF('Delivery Overview'!D9:E9,"● Not required")&gt;0,"● In Progress",TRUE,"● Not started")))</f>
        <v>● Not started</v>
      </c>
      <c r="D9" s="41" t="str" cm="1">
        <f t="array" ref="D9">IF(A9="","",IF(COUNTA('Delivery Overview'!F9:G9)=0,IF(OR(C9="● Complete",C9="● Not required"),"● Not started",""),_xlfn.IFS(COUNTIF('Delivery Overview'!F9:G9,"● Blocked")&gt;0,"● Blocked",COUNTIF('Delivery Overview'!F9:G9,"● In Progress")&gt;0,"● In Progress",COUNTIF('Delivery Overview'!F9:G9,"● Not required")=2,"● Not required",COUNTIF('Delivery Overview'!F9:G9,"● Complete")+COUNTIF('Delivery Overview'!F9:G9,"● Not required")=2,"● Complete",COUNTIF('Delivery Overview'!F9:G9,"● Complete")+COUNTIF('Delivery Overview'!F9:G9,"● Not required")&gt;0,"● In Progress",TRUE,"● Not started")))</f>
        <v/>
      </c>
      <c r="E9" s="41" t="str" cm="1">
        <f t="array" ref="E9">IF(A9="","",IF(COUNTA('Delivery Overview'!H9:H9)=0,IF(OR(D9="● Complete",D9="● Not required"),"● Not started",""),_xlfn.IFS(COUNTIF('Delivery Overview'!H9:H9,"● Blocked")&gt;0,"● Blocked",COUNTIF('Delivery Overview'!H9:H9,"● In Progress")&gt;0,"● In Progress",COUNTIF('Delivery Overview'!H9:H9,"● Not required")=1,"● Not required",COUNTIF('Delivery Overview'!H9:H9,"● Complete")+COUNTIF('Delivery Overview'!H9:H9,"● Not required")=1,"● Complete",COUNTIF('Delivery Overview'!H9:H9,"● Complete")+COUNTIF('Delivery Overview'!H9:H9,"● Not required")&gt;0,"● In Progress",TRUE,"● Not started")))</f>
        <v/>
      </c>
      <c r="F9" s="41" t="str" cm="1">
        <f t="array" ref="F9">IF(A9="","",IF(COUNTA('Delivery Overview'!I9:J9)=0,IF(OR(E9="● Complete",E9="● Not required"),"● Not started",""),_xlfn.IFS(COUNTIF('Delivery Overview'!I9:J9,"● Blocked")&gt;0,"● Blocked",COUNTIF('Delivery Overview'!I9:J9,"● In Progress")&gt;0,"● In Progress",COUNTIF('Delivery Overview'!I9:J9,"● Not required")=2,"● Not required",COUNTIF('Delivery Overview'!I9:J9,"● Complete")+COUNTIF('Delivery Overview'!I9:J9,"● Not required")=2,"● Complete",COUNTIF('Delivery Overview'!I9:J9,"● Complete")+COUNTIF('Delivery Overview'!I9:J9,"● Not required")&gt;0,"● In Progress",TRUE,"● Not started")))</f>
        <v/>
      </c>
      <c r="G9" s="41" t="str" cm="1">
        <f t="array" ref="G9">IF(A9="","",IF(COUNTA('Delivery Overview'!K9:L9)=0,IF(OR(F9="● Complete",F9="● Not required"),"● Not started",""),_xlfn.IFS(COUNTIF('Delivery Overview'!K9:L9,"● Blocked")&gt;0,"● Blocked",COUNTIF('Delivery Overview'!K9:L9,"● In Progress")&gt;0,"● In Progress",COUNTIF('Delivery Overview'!K9:L9,"● Not required")=2,"● Not required",COUNTIF('Delivery Overview'!K9:L9,"● Complete")+COUNTIF('Delivery Overview'!K9:L9,"● Not required")=2,"● Complete",COUNTIF('Delivery Overview'!K9:L9,"● Complete")+COUNTIF('Delivery Overview'!K9:L9,"● Not required")&gt;0,"● In Progress",TRUE,"● Not started")))</f>
        <v/>
      </c>
      <c r="H9" s="41" t="str" cm="1">
        <f t="array" ref="H9">IF(A9="","",IF(COUNTA('Delivery Overview'!M9:M9)=0,IF(OR(G9="● Complete",G9="● Not required"),"● Not started",""),_xlfn.IFS(COUNTIF('Delivery Overview'!M9:M9,"● Blocked")&gt;0,"● Blocked",COUNTIF('Delivery Overview'!M9:M9,"● In Progress")&gt;0,"● In Progress",COUNTIF('Delivery Overview'!M9:M9,"● Not required")=1,"● Not required",COUNTIF('Delivery Overview'!M9:M9,"● Complete")+COUNTIF('Delivery Overview'!M9:M9,"● Not required")=1,"● Complete",COUNTIF('Delivery Overview'!M9:M9,"● Complete")+COUNTIF('Delivery Overview'!M9:M9,"● Not required")&gt;0,"● In Progress",TRUE,"● Not started")))</f>
        <v/>
      </c>
    </row>
    <row r="10" spans="1:8" ht="22.3" customHeight="1" outlineLevel="1" x14ac:dyDescent="0.4">
      <c r="A10" s="10" t="str">
        <f>IF('Delivery Overview'!A10="","",'Delivery Overview'!A10)</f>
        <v/>
      </c>
      <c r="B10" s="40" t="str">
        <f>IF('Delivery Overview'!C10="","",'Delivery Overview'!C10)</f>
        <v/>
      </c>
      <c r="C10" s="41" t="str" cm="1">
        <f t="array" ref="C10">IF(A10="","",IF(COUNTA('Delivery Overview'!D10:E10)=0,"● Not started",_xlfn.IFS(COUNTIF('Delivery Overview'!D10:E10,"● Blocked")&gt;0,"● Blocked",COUNTIF('Delivery Overview'!D10:E10,"● In Progress")&gt;0,"● In Progress",COUNTIF('Delivery Overview'!D10:E10,"● Not required")=2,"● Not required",COUNTIF('Delivery Overview'!D10:E10,"● Complete")+COUNTIF('Delivery Overview'!D10:E10,"● Not required")=2,"● Complete",COUNTIF('Delivery Overview'!D10:E10,"● Complete")+COUNTIF('Delivery Overview'!D10:E10,"● Not required")&gt;0,"● In Progress",TRUE,"● Not started")))</f>
        <v/>
      </c>
      <c r="D10" s="41" t="str" cm="1">
        <f t="array" ref="D10">IF(A10="","",IF(COUNTA('Delivery Overview'!F10:G10)=0,IF(OR(C10="● Complete",C10="● Not required"),"● Not started",""),_xlfn.IFS(COUNTIF('Delivery Overview'!F10:G10,"● Blocked")&gt;0,"● Blocked",COUNTIF('Delivery Overview'!F10:G10,"● In Progress")&gt;0,"● In Progress",COUNTIF('Delivery Overview'!F10:G10,"● Not required")=2,"● Not required",COUNTIF('Delivery Overview'!F10:G10,"● Complete")+COUNTIF('Delivery Overview'!F10:G10,"● Not required")=2,"● Complete",COUNTIF('Delivery Overview'!F10:G10,"● Complete")+COUNTIF('Delivery Overview'!F10:G10,"● Not required")&gt;0,"● In Progress",TRUE,"● Not started")))</f>
        <v/>
      </c>
      <c r="E10" s="41" t="str" cm="1">
        <f t="array" ref="E10">IF(A10="","",IF(COUNTA('Delivery Overview'!H10:H10)=0,IF(OR(D10="● Complete",D10="● Not required"),"● Not started",""),_xlfn.IFS(COUNTIF('Delivery Overview'!H10:H10,"● Blocked")&gt;0,"● Blocked",COUNTIF('Delivery Overview'!H10:H10,"● In Progress")&gt;0,"● In Progress",COUNTIF('Delivery Overview'!H10:H10,"● Not required")=1,"● Not required",COUNTIF('Delivery Overview'!H10:H10,"● Complete")+COUNTIF('Delivery Overview'!H10:H10,"● Not required")=1,"● Complete",COUNTIF('Delivery Overview'!H10:H10,"● Complete")+COUNTIF('Delivery Overview'!H10:H10,"● Not required")&gt;0,"● In Progress",TRUE,"● Not started")))</f>
        <v/>
      </c>
      <c r="F10" s="41" t="str" cm="1">
        <f t="array" ref="F10">IF(A10="","",IF(COUNTA('Delivery Overview'!I10:J10)=0,IF(OR(E10="● Complete",E10="● Not required"),"● Not started",""),_xlfn.IFS(COUNTIF('Delivery Overview'!I10:J10,"● Blocked")&gt;0,"● Blocked",COUNTIF('Delivery Overview'!I10:J10,"● In Progress")&gt;0,"● In Progress",COUNTIF('Delivery Overview'!I10:J10,"● Not required")=2,"● Not required",COUNTIF('Delivery Overview'!I10:J10,"● Complete")+COUNTIF('Delivery Overview'!I10:J10,"● Not required")=2,"● Complete",COUNTIF('Delivery Overview'!I10:J10,"● Complete")+COUNTIF('Delivery Overview'!I10:J10,"● Not required")&gt;0,"● In Progress",TRUE,"● Not started")))</f>
        <v/>
      </c>
      <c r="G10" s="41" t="str" cm="1">
        <f t="array" ref="G10">IF(A10="","",IF(COUNTA('Delivery Overview'!K10:L10)=0,IF(OR(F10="● Complete",F10="● Not required"),"● Not started",""),_xlfn.IFS(COUNTIF('Delivery Overview'!K10:L10,"● Blocked")&gt;0,"● Blocked",COUNTIF('Delivery Overview'!K10:L10,"● In Progress")&gt;0,"● In Progress",COUNTIF('Delivery Overview'!K10:L10,"● Not required")=2,"● Not required",COUNTIF('Delivery Overview'!K10:L10,"● Complete")+COUNTIF('Delivery Overview'!K10:L10,"● Not required")=2,"● Complete",COUNTIF('Delivery Overview'!K10:L10,"● Complete")+COUNTIF('Delivery Overview'!K10:L10,"● Not required")&gt;0,"● In Progress",TRUE,"● Not started")))</f>
        <v/>
      </c>
      <c r="H10" s="41" t="str" cm="1">
        <f t="array" ref="H10">IF(A10="","",IF(COUNTA('Delivery Overview'!M10:M10)=0,IF(OR(G10="● Complete",G10="● Not required"),"● Not started",""),_xlfn.IFS(COUNTIF('Delivery Overview'!M10:M10,"● Blocked")&gt;0,"● Blocked",COUNTIF('Delivery Overview'!M10:M10,"● In Progress")&gt;0,"● In Progress",COUNTIF('Delivery Overview'!M10:M10,"● Not required")=1,"● Not required",COUNTIF('Delivery Overview'!M10:M10,"● Complete")+COUNTIF('Delivery Overview'!M10:M10,"● Not required")=1,"● Complete",COUNTIF('Delivery Overview'!M10:M10,"● Complete")+COUNTIF('Delivery Overview'!M10:M10,"● Not required")&gt;0,"● In Progress",TRUE,"● Not started")))</f>
        <v/>
      </c>
    </row>
    <row r="11" spans="1:8" ht="22.3" customHeight="1" outlineLevel="1" x14ac:dyDescent="0.4">
      <c r="A11" s="10" t="str">
        <f>IF('Delivery Overview'!A11="","",'Delivery Overview'!A11)</f>
        <v/>
      </c>
      <c r="B11" s="40" t="str">
        <f>IF('Delivery Overview'!C11="","",'Delivery Overview'!C11)</f>
        <v/>
      </c>
      <c r="C11" s="41" t="str" cm="1">
        <f t="array" ref="C11">IF(A11="","",IF(COUNTA('Delivery Overview'!D11:E11)=0,"● Not started",_xlfn.IFS(COUNTIF('Delivery Overview'!D11:E11,"● Blocked")&gt;0,"● Blocked",COUNTIF('Delivery Overview'!D11:E11,"● In Progress")&gt;0,"● In Progress",COUNTIF('Delivery Overview'!D11:E11,"● Not required")=2,"● Not required",COUNTIF('Delivery Overview'!D11:E11,"● Complete")+COUNTIF('Delivery Overview'!D11:E11,"● Not required")=2,"● Complete",COUNTIF('Delivery Overview'!D11:E11,"● Complete")+COUNTIF('Delivery Overview'!D11:E11,"● Not required")&gt;0,"● In Progress",TRUE,"● Not started")))</f>
        <v/>
      </c>
      <c r="D11" s="41" t="str" cm="1">
        <f t="array" ref="D11">IF(A11="","",IF(COUNTA('Delivery Overview'!F11:G11)=0,IF(OR(C11="● Complete",C11="● Not required"),"● Not started",""),_xlfn.IFS(COUNTIF('Delivery Overview'!F11:G11,"● Blocked")&gt;0,"● Blocked",COUNTIF('Delivery Overview'!F11:G11,"● In Progress")&gt;0,"● In Progress",COUNTIF('Delivery Overview'!F11:G11,"● Not required")=2,"● Not required",COUNTIF('Delivery Overview'!F11:G11,"● Complete")+COUNTIF('Delivery Overview'!F11:G11,"● Not required")=2,"● Complete",COUNTIF('Delivery Overview'!F11:G11,"● Complete")+COUNTIF('Delivery Overview'!F11:G11,"● Not required")&gt;0,"● In Progress",TRUE,"● Not started")))</f>
        <v/>
      </c>
      <c r="E11" s="41" t="str" cm="1">
        <f t="array" ref="E11">IF(A11="","",IF(COUNTA('Delivery Overview'!H11:H11)=0,IF(OR(D11="● Complete",D11="● Not required"),"● Not started",""),_xlfn.IFS(COUNTIF('Delivery Overview'!H11:H11,"● Blocked")&gt;0,"● Blocked",COUNTIF('Delivery Overview'!H11:H11,"● In Progress")&gt;0,"● In Progress",COUNTIF('Delivery Overview'!H11:H11,"● Not required")=1,"● Not required",COUNTIF('Delivery Overview'!H11:H11,"● Complete")+COUNTIF('Delivery Overview'!H11:H11,"● Not required")=1,"● Complete",COUNTIF('Delivery Overview'!H11:H11,"● Complete")+COUNTIF('Delivery Overview'!H11:H11,"● Not required")&gt;0,"● In Progress",TRUE,"● Not started")))</f>
        <v/>
      </c>
      <c r="F11" s="41" t="str" cm="1">
        <f t="array" ref="F11">IF(A11="","",IF(COUNTA('Delivery Overview'!I11:J11)=0,IF(OR(E11="● Complete",E11="● Not required"),"● Not started",""),_xlfn.IFS(COUNTIF('Delivery Overview'!I11:J11,"● Blocked")&gt;0,"● Blocked",COUNTIF('Delivery Overview'!I11:J11,"● In Progress")&gt;0,"● In Progress",COUNTIF('Delivery Overview'!I11:J11,"● Not required")=2,"● Not required",COUNTIF('Delivery Overview'!I11:J11,"● Complete")+COUNTIF('Delivery Overview'!I11:J11,"● Not required")=2,"● Complete",COUNTIF('Delivery Overview'!I11:J11,"● Complete")+COUNTIF('Delivery Overview'!I11:J11,"● Not required")&gt;0,"● In Progress",TRUE,"● Not started")))</f>
        <v/>
      </c>
      <c r="G11" s="41" t="str" cm="1">
        <f t="array" ref="G11">IF(A11="","",IF(COUNTA('Delivery Overview'!K11:L11)=0,IF(OR(F11="● Complete",F11="● Not required"),"● Not started",""),_xlfn.IFS(COUNTIF('Delivery Overview'!K11:L11,"● Blocked")&gt;0,"● Blocked",COUNTIF('Delivery Overview'!K11:L11,"● In Progress")&gt;0,"● In Progress",COUNTIF('Delivery Overview'!K11:L11,"● Not required")=2,"● Not required",COUNTIF('Delivery Overview'!K11:L11,"● Complete")+COUNTIF('Delivery Overview'!K11:L11,"● Not required")=2,"● Complete",COUNTIF('Delivery Overview'!K11:L11,"● Complete")+COUNTIF('Delivery Overview'!K11:L11,"● Not required")&gt;0,"● In Progress",TRUE,"● Not started")))</f>
        <v/>
      </c>
      <c r="H11" s="41" t="str" cm="1">
        <f t="array" ref="H11">IF(A11="","",IF(COUNTA('Delivery Overview'!M11:M11)=0,IF(OR(G11="● Complete",G11="● Not required"),"● Not started",""),_xlfn.IFS(COUNTIF('Delivery Overview'!M11:M11,"● Blocked")&gt;0,"● Blocked",COUNTIF('Delivery Overview'!M11:M11,"● In Progress")&gt;0,"● In Progress",COUNTIF('Delivery Overview'!M11:M11,"● Not required")=1,"● Not required",COUNTIF('Delivery Overview'!M11:M11,"● Complete")+COUNTIF('Delivery Overview'!M11:M11,"● Not required")=1,"● Complete",COUNTIF('Delivery Overview'!M11:M11,"● Complete")+COUNTIF('Delivery Overview'!M11:M11,"● Not required")&gt;0,"● In Progress",TRUE,"● Not started")))</f>
        <v/>
      </c>
    </row>
    <row r="12" spans="1:8" ht="24" customHeight="1" x14ac:dyDescent="0.4">
      <c r="A12" s="9" t="str">
        <f>'Delivery Overview'!A12</f>
        <v>Contract 2</v>
      </c>
      <c r="B12" s="37"/>
      <c r="C12" s="42"/>
      <c r="D12" s="42"/>
      <c r="E12" s="42"/>
      <c r="F12" s="42"/>
      <c r="G12" s="42"/>
      <c r="H12" s="42"/>
    </row>
    <row r="13" spans="1:8" ht="22.3" customHeight="1" outlineLevel="1" x14ac:dyDescent="0.4">
      <c r="A13" s="10" t="str">
        <f>IF('Delivery Overview'!A13="","",'Delivery Overview'!A13)</f>
        <v>Initiative 1</v>
      </c>
      <c r="B13" s="40" t="str">
        <f>IF('Delivery Overview'!C13="","",'Delivery Overview'!C13)</f>
        <v>Not Started: Leadership Approval</v>
      </c>
      <c r="C13" s="41" t="str" cm="1">
        <f t="array" ref="C13">IF(A13="","",IF(COUNTA('Delivery Overview'!D13:E13)=0,"● Not started",_xlfn.IFS(COUNTIF('Delivery Overview'!D13:E13,"● Blocked")&gt;0,"● Blocked",COUNTIF('Delivery Overview'!D13:E13,"● In Progress")&gt;0,"● In Progress",COUNTIF('Delivery Overview'!D13:E13,"● Not required")=2,"● Not required",COUNTIF('Delivery Overview'!D13:E13,"● Complete")+COUNTIF('Delivery Overview'!D13:E13,"● Not required")=2,"● Complete",COUNTIF('Delivery Overview'!D13:E13,"● Complete")+COUNTIF('Delivery Overview'!D13:E13,"● Not required")&gt;0,"● In Progress",TRUE,"● Not started")))</f>
        <v>● Not started</v>
      </c>
      <c r="D13" s="41" t="str" cm="1">
        <f t="array" ref="D13">IF(A13="","",IF(COUNTA('Delivery Overview'!F13:G13)=0,IF(OR(C13="● Complete",C13="● Not required"),"● Not started",""),_xlfn.IFS(COUNTIF('Delivery Overview'!F13:G13,"● Blocked")&gt;0,"● Blocked",COUNTIF('Delivery Overview'!F13:G13,"● In Progress")&gt;0,"● In Progress",COUNTIF('Delivery Overview'!F13:G13,"● Not required")=2,"● Not required",COUNTIF('Delivery Overview'!F13:G13,"● Complete")+COUNTIF('Delivery Overview'!F13:G13,"● Not required")=2,"● Complete",COUNTIF('Delivery Overview'!F13:G13,"● Complete")+COUNTIF('Delivery Overview'!F13:G13,"● Not required")&gt;0,"● In Progress",TRUE,"● Not started")))</f>
        <v/>
      </c>
      <c r="E13" s="41" t="str" cm="1">
        <f t="array" ref="E13">IF(A13="","",IF(COUNTA('Delivery Overview'!H13:H13)=0,IF(OR(D13="● Complete",D13="● Not required"),"● Not started",""),_xlfn.IFS(COUNTIF('Delivery Overview'!H13:H13,"● Blocked")&gt;0,"● Blocked",COUNTIF('Delivery Overview'!H13:H13,"● In Progress")&gt;0,"● In Progress",COUNTIF('Delivery Overview'!H13:H13,"● Not required")=1,"● Not required",COUNTIF('Delivery Overview'!H13:H13,"● Complete")+COUNTIF('Delivery Overview'!H13:H13,"● Not required")=1,"● Complete",COUNTIF('Delivery Overview'!H13:H13,"● Complete")+COUNTIF('Delivery Overview'!H13:H13,"● Not required")&gt;0,"● In Progress",TRUE,"● Not started")))</f>
        <v/>
      </c>
      <c r="F13" s="41" t="str" cm="1">
        <f t="array" ref="F13">IF(A13="","",IF(COUNTA('Delivery Overview'!I13:J13)=0,IF(OR(E13="● Complete",E13="● Not required"),"● Not started",""),_xlfn.IFS(COUNTIF('Delivery Overview'!I13:J13,"● Blocked")&gt;0,"● Blocked",COUNTIF('Delivery Overview'!I13:J13,"● In Progress")&gt;0,"● In Progress",COUNTIF('Delivery Overview'!I13:J13,"● Not required")=2,"● Not required",COUNTIF('Delivery Overview'!I13:J13,"● Complete")+COUNTIF('Delivery Overview'!I13:J13,"● Not required")=2,"● Complete",COUNTIF('Delivery Overview'!I13:J13,"● Complete")+COUNTIF('Delivery Overview'!I13:J13,"● Not required")&gt;0,"● In Progress",TRUE,"● Not started")))</f>
        <v/>
      </c>
      <c r="G13" s="41" t="str" cm="1">
        <f t="array" ref="G13">IF(A13="","",IF(COUNTA('Delivery Overview'!K13:L13)=0,IF(OR(F13="● Complete",F13="● Not required"),"● Not started",""),_xlfn.IFS(COUNTIF('Delivery Overview'!K13:L13,"● Blocked")&gt;0,"● Blocked",COUNTIF('Delivery Overview'!K13:L13,"● In Progress")&gt;0,"● In Progress",COUNTIF('Delivery Overview'!K13:L13,"● Not required")=2,"● Not required",COUNTIF('Delivery Overview'!K13:L13,"● Complete")+COUNTIF('Delivery Overview'!K13:L13,"● Not required")=2,"● Complete",COUNTIF('Delivery Overview'!K13:L13,"● Complete")+COUNTIF('Delivery Overview'!K13:L13,"● Not required")&gt;0,"● In Progress",TRUE,"● Not started")))</f>
        <v/>
      </c>
      <c r="H13" s="41" t="str" cm="1">
        <f t="array" ref="H13">IF(A13="","",IF(COUNTA('Delivery Overview'!M13:M13)=0,IF(OR(G13="● Complete",G13="● Not required"),"● Not started",""),_xlfn.IFS(COUNTIF('Delivery Overview'!M13:M13,"● Blocked")&gt;0,"● Blocked",COUNTIF('Delivery Overview'!M13:M13,"● In Progress")&gt;0,"● In Progress",COUNTIF('Delivery Overview'!M13:M13,"● Not required")=1,"● Not required",COUNTIF('Delivery Overview'!M13:M13,"● Complete")+COUNTIF('Delivery Overview'!M13:M13,"● Not required")=1,"● Complete",COUNTIF('Delivery Overview'!M13:M13,"● Complete")+COUNTIF('Delivery Overview'!M13:M13,"● Not required")&gt;0,"● In Progress",TRUE,"● Not started")))</f>
        <v/>
      </c>
    </row>
    <row r="14" spans="1:8" ht="22.3" customHeight="1" outlineLevel="1" x14ac:dyDescent="0.4">
      <c r="A14" s="10" t="str">
        <f>IF('Delivery Overview'!A14="","",'Delivery Overview'!A14)</f>
        <v>Initiative 2</v>
      </c>
      <c r="B14" s="40" t="str">
        <f>IF('Delivery Overview'!C14="","",'Delivery Overview'!C14)</f>
        <v>Not Started: Leadership Approval</v>
      </c>
      <c r="C14" s="41" t="str" cm="1">
        <f t="array" ref="C14">IF(A14="","",IF(COUNTA('Delivery Overview'!D14:E14)=0,"● Not started",_xlfn.IFS(COUNTIF('Delivery Overview'!D14:E14,"● Blocked")&gt;0,"● Blocked",COUNTIF('Delivery Overview'!D14:E14,"● In Progress")&gt;0,"● In Progress",COUNTIF('Delivery Overview'!D14:E14,"● Not required")=2,"● Not required",COUNTIF('Delivery Overview'!D14:E14,"● Complete")+COUNTIF('Delivery Overview'!D14:E14,"● Not required")=2,"● Complete",COUNTIF('Delivery Overview'!D14:E14,"● Complete")+COUNTIF('Delivery Overview'!D14:E14,"● Not required")&gt;0,"● In Progress",TRUE,"● Not started")))</f>
        <v>● Not started</v>
      </c>
      <c r="D14" s="41" t="str" cm="1">
        <f t="array" ref="D14">IF(A14="","",IF(COUNTA('Delivery Overview'!F14:G14)=0,IF(OR(C14="● Complete",C14="● Not required"),"● Not started",""),_xlfn.IFS(COUNTIF('Delivery Overview'!F14:G14,"● Blocked")&gt;0,"● Blocked",COUNTIF('Delivery Overview'!F14:G14,"● In Progress")&gt;0,"● In Progress",COUNTIF('Delivery Overview'!F14:G14,"● Not required")=2,"● Not required",COUNTIF('Delivery Overview'!F14:G14,"● Complete")+COUNTIF('Delivery Overview'!F14:G14,"● Not required")=2,"● Complete",COUNTIF('Delivery Overview'!F14:G14,"● Complete")+COUNTIF('Delivery Overview'!F14:G14,"● Not required")&gt;0,"● In Progress",TRUE,"● Not started")))</f>
        <v/>
      </c>
      <c r="E14" s="41" t="str" cm="1">
        <f t="array" ref="E14">IF(A14="","",IF(COUNTA('Delivery Overview'!H14:H14)=0,IF(OR(D14="● Complete",D14="● Not required"),"● Not started",""),_xlfn.IFS(COUNTIF('Delivery Overview'!H14:H14,"● Blocked")&gt;0,"● Blocked",COUNTIF('Delivery Overview'!H14:H14,"● In Progress")&gt;0,"● In Progress",COUNTIF('Delivery Overview'!H14:H14,"● Not required")=1,"● Not required",COUNTIF('Delivery Overview'!H14:H14,"● Complete")+COUNTIF('Delivery Overview'!H14:H14,"● Not required")=1,"● Complete",COUNTIF('Delivery Overview'!H14:H14,"● Complete")+COUNTIF('Delivery Overview'!H14:H14,"● Not required")&gt;0,"● In Progress",TRUE,"● Not started")))</f>
        <v/>
      </c>
      <c r="F14" s="41" t="str" cm="1">
        <f t="array" ref="F14">IF(A14="","",IF(COUNTA('Delivery Overview'!I14:J14)=0,IF(OR(E14="● Complete",E14="● Not required"),"● Not started",""),_xlfn.IFS(COUNTIF('Delivery Overview'!I14:J14,"● Blocked")&gt;0,"● Blocked",COUNTIF('Delivery Overview'!I14:J14,"● In Progress")&gt;0,"● In Progress",COUNTIF('Delivery Overview'!I14:J14,"● Not required")=2,"● Not required",COUNTIF('Delivery Overview'!I14:J14,"● Complete")+COUNTIF('Delivery Overview'!I14:J14,"● Not required")=2,"● Complete",COUNTIF('Delivery Overview'!I14:J14,"● Complete")+COUNTIF('Delivery Overview'!I14:J14,"● Not required")&gt;0,"● In Progress",TRUE,"● Not started")))</f>
        <v/>
      </c>
      <c r="G14" s="41" t="str" cm="1">
        <f t="array" ref="G14">IF(A14="","",IF(COUNTA('Delivery Overview'!K14:L14)=0,IF(OR(F14="● Complete",F14="● Not required"),"● Not started",""),_xlfn.IFS(COUNTIF('Delivery Overview'!K14:L14,"● Blocked")&gt;0,"● Blocked",COUNTIF('Delivery Overview'!K14:L14,"● In Progress")&gt;0,"● In Progress",COUNTIF('Delivery Overview'!K14:L14,"● Not required")=2,"● Not required",COUNTIF('Delivery Overview'!K14:L14,"● Complete")+COUNTIF('Delivery Overview'!K14:L14,"● Not required")=2,"● Complete",COUNTIF('Delivery Overview'!K14:L14,"● Complete")+COUNTIF('Delivery Overview'!K14:L14,"● Not required")&gt;0,"● In Progress",TRUE,"● Not started")))</f>
        <v/>
      </c>
      <c r="H14" s="41" t="str" cm="1">
        <f t="array" ref="H14">IF(A14="","",IF(COUNTA('Delivery Overview'!M14:M14)=0,IF(OR(G14="● Complete",G14="● Not required"),"● Not started",""),_xlfn.IFS(COUNTIF('Delivery Overview'!M14:M14,"● Blocked")&gt;0,"● Blocked",COUNTIF('Delivery Overview'!M14:M14,"● In Progress")&gt;0,"● In Progress",COUNTIF('Delivery Overview'!M14:M14,"● Not required")=1,"● Not required",COUNTIF('Delivery Overview'!M14:M14,"● Complete")+COUNTIF('Delivery Overview'!M14:M14,"● Not required")=1,"● Complete",COUNTIF('Delivery Overview'!M14:M14,"● Complete")+COUNTIF('Delivery Overview'!M14:M14,"● Not required")&gt;0,"● In Progress",TRUE,"● Not started")))</f>
        <v/>
      </c>
    </row>
    <row r="15" spans="1:8" ht="22.3" customHeight="1" outlineLevel="1" x14ac:dyDescent="0.4">
      <c r="A15" s="10" t="str">
        <f>IF('Delivery Overview'!A15="","",'Delivery Overview'!A15)</f>
        <v/>
      </c>
      <c r="B15" s="40" t="str">
        <f>IF('Delivery Overview'!C15="","",'Delivery Overview'!C15)</f>
        <v/>
      </c>
      <c r="C15" s="41" t="str" cm="1">
        <f t="array" ref="C15">IF(A15="","",IF(COUNTA('Delivery Overview'!D15:E15)=0,"● Not started",_xlfn.IFS(COUNTIF('Delivery Overview'!D15:E15,"● Blocked")&gt;0,"● Blocked",COUNTIF('Delivery Overview'!D15:E15,"● In Progress")&gt;0,"● In Progress",COUNTIF('Delivery Overview'!D15:E15,"● Not required")=2,"● Not required",COUNTIF('Delivery Overview'!D15:E15,"● Complete")+COUNTIF('Delivery Overview'!D15:E15,"● Not required")=2,"● Complete",COUNTIF('Delivery Overview'!D15:E15,"● Complete")+COUNTIF('Delivery Overview'!D15:E15,"● Not required")&gt;0,"● In Progress",TRUE,"● Not started")))</f>
        <v/>
      </c>
      <c r="D15" s="41" t="str" cm="1">
        <f t="array" ref="D15">IF(A15="","",IF(COUNTA('Delivery Overview'!F15:G15)=0,IF(OR(C15="● Complete",C15="● Not required"),"● Not started",""),_xlfn.IFS(COUNTIF('Delivery Overview'!F15:G15,"● Blocked")&gt;0,"● Blocked",COUNTIF('Delivery Overview'!F15:G15,"● In Progress")&gt;0,"● In Progress",COUNTIF('Delivery Overview'!F15:G15,"● Not required")=2,"● Not required",COUNTIF('Delivery Overview'!F15:G15,"● Complete")+COUNTIF('Delivery Overview'!F15:G15,"● Not required")=2,"● Complete",COUNTIF('Delivery Overview'!F15:G15,"● Complete")+COUNTIF('Delivery Overview'!F15:G15,"● Not required")&gt;0,"● In Progress",TRUE,"● Not started")))</f>
        <v/>
      </c>
      <c r="E15" s="41" t="str" cm="1">
        <f t="array" ref="E15">IF(A15="","",IF(COUNTA('Delivery Overview'!H15:H15)=0,IF(OR(D15="● Complete",D15="● Not required"),"● Not started",""),_xlfn.IFS(COUNTIF('Delivery Overview'!H15:H15,"● Blocked")&gt;0,"● Blocked",COUNTIF('Delivery Overview'!H15:H15,"● In Progress")&gt;0,"● In Progress",COUNTIF('Delivery Overview'!H15:H15,"● Not required")=1,"● Not required",COUNTIF('Delivery Overview'!H15:H15,"● Complete")+COUNTIF('Delivery Overview'!H15:H15,"● Not required")=1,"● Complete",COUNTIF('Delivery Overview'!H15:H15,"● Complete")+COUNTIF('Delivery Overview'!H15:H15,"● Not required")&gt;0,"● In Progress",TRUE,"● Not started")))</f>
        <v/>
      </c>
      <c r="F15" s="41" t="str" cm="1">
        <f t="array" ref="F15">IF(A15="","",IF(COUNTA('Delivery Overview'!I15:J15)=0,IF(OR(E15="● Complete",E15="● Not required"),"● Not started",""),_xlfn.IFS(COUNTIF('Delivery Overview'!I15:J15,"● Blocked")&gt;0,"● Blocked",COUNTIF('Delivery Overview'!I15:J15,"● In Progress")&gt;0,"● In Progress",COUNTIF('Delivery Overview'!I15:J15,"● Not required")=2,"● Not required",COUNTIF('Delivery Overview'!I15:J15,"● Complete")+COUNTIF('Delivery Overview'!I15:J15,"● Not required")=2,"● Complete",COUNTIF('Delivery Overview'!I15:J15,"● Complete")+COUNTIF('Delivery Overview'!I15:J15,"● Not required")&gt;0,"● In Progress",TRUE,"● Not started")))</f>
        <v/>
      </c>
      <c r="G15" s="41" t="str" cm="1">
        <f t="array" ref="G15">IF(A15="","",IF(COUNTA('Delivery Overview'!K15:L15)=0,IF(OR(F15="● Complete",F15="● Not required"),"● Not started",""),_xlfn.IFS(COUNTIF('Delivery Overview'!K15:L15,"● Blocked")&gt;0,"● Blocked",COUNTIF('Delivery Overview'!K15:L15,"● In Progress")&gt;0,"● In Progress",COUNTIF('Delivery Overview'!K15:L15,"● Not required")=2,"● Not required",COUNTIF('Delivery Overview'!K15:L15,"● Complete")+COUNTIF('Delivery Overview'!K15:L15,"● Not required")=2,"● Complete",COUNTIF('Delivery Overview'!K15:L15,"● Complete")+COUNTIF('Delivery Overview'!K15:L15,"● Not required")&gt;0,"● In Progress",TRUE,"● Not started")))</f>
        <v/>
      </c>
      <c r="H15" s="41" t="str" cm="1">
        <f t="array" ref="H15">IF(A15="","",IF(COUNTA('Delivery Overview'!M15:M15)=0,IF(OR(G15="● Complete",G15="● Not required"),"● Not started",""),_xlfn.IFS(COUNTIF('Delivery Overview'!M15:M15,"● Blocked")&gt;0,"● Blocked",COUNTIF('Delivery Overview'!M15:M15,"● In Progress")&gt;0,"● In Progress",COUNTIF('Delivery Overview'!M15:M15,"● Not required")=1,"● Not required",COUNTIF('Delivery Overview'!M15:M15,"● Complete")+COUNTIF('Delivery Overview'!M15:M15,"● Not required")=1,"● Complete",COUNTIF('Delivery Overview'!M15:M15,"● Complete")+COUNTIF('Delivery Overview'!M15:M15,"● Not required")&gt;0,"● In Progress",TRUE,"● Not started")))</f>
        <v/>
      </c>
    </row>
    <row r="16" spans="1:8" ht="22.3" customHeight="1" outlineLevel="1" x14ac:dyDescent="0.4">
      <c r="A16" s="10" t="str">
        <f>IF('Delivery Overview'!A16="","",'Delivery Overview'!A16)</f>
        <v/>
      </c>
      <c r="B16" s="40" t="str">
        <f>IF('Delivery Overview'!C16="","",'Delivery Overview'!C16)</f>
        <v/>
      </c>
      <c r="C16" s="41" t="str" cm="1">
        <f t="array" ref="C16">IF(A16="","",IF(COUNTA('Delivery Overview'!D16:E16)=0,"● Not started",_xlfn.IFS(COUNTIF('Delivery Overview'!D16:E16,"● Blocked")&gt;0,"● Blocked",COUNTIF('Delivery Overview'!D16:E16,"● In Progress")&gt;0,"● In Progress",COUNTIF('Delivery Overview'!D16:E16,"● Not required")=2,"● Not required",COUNTIF('Delivery Overview'!D16:E16,"● Complete")+COUNTIF('Delivery Overview'!D16:E16,"● Not required")=2,"● Complete",COUNTIF('Delivery Overview'!D16:E16,"● Complete")+COUNTIF('Delivery Overview'!D16:E16,"● Not required")&gt;0,"● In Progress",TRUE,"● Not started")))</f>
        <v/>
      </c>
      <c r="D16" s="41" t="str" cm="1">
        <f t="array" ref="D16">IF(A16="","",IF(COUNTA('Delivery Overview'!F16:G16)=0,IF(OR(C16="● Complete",C16="● Not required"),"● Not started",""),_xlfn.IFS(COUNTIF('Delivery Overview'!F16:G16,"● Blocked")&gt;0,"● Blocked",COUNTIF('Delivery Overview'!F16:G16,"● In Progress")&gt;0,"● In Progress",COUNTIF('Delivery Overview'!F16:G16,"● Not required")=2,"● Not required",COUNTIF('Delivery Overview'!F16:G16,"● Complete")+COUNTIF('Delivery Overview'!F16:G16,"● Not required")=2,"● Complete",COUNTIF('Delivery Overview'!F16:G16,"● Complete")+COUNTIF('Delivery Overview'!F16:G16,"● Not required")&gt;0,"● In Progress",TRUE,"● Not started")))</f>
        <v/>
      </c>
      <c r="E16" s="41" t="str" cm="1">
        <f t="array" ref="E16">IF(A16="","",IF(COUNTA('Delivery Overview'!H16:H16)=0,IF(OR(D16="● Complete",D16="● Not required"),"● Not started",""),_xlfn.IFS(COUNTIF('Delivery Overview'!H16:H16,"● Blocked")&gt;0,"● Blocked",COUNTIF('Delivery Overview'!H16:H16,"● In Progress")&gt;0,"● In Progress",COUNTIF('Delivery Overview'!H16:H16,"● Not required")=1,"● Not required",COUNTIF('Delivery Overview'!H16:H16,"● Complete")+COUNTIF('Delivery Overview'!H16:H16,"● Not required")=1,"● Complete",COUNTIF('Delivery Overview'!H16:H16,"● Complete")+COUNTIF('Delivery Overview'!H16:H16,"● Not required")&gt;0,"● In Progress",TRUE,"● Not started")))</f>
        <v/>
      </c>
      <c r="F16" s="41" t="str" cm="1">
        <f t="array" ref="F16">IF(A16="","",IF(COUNTA('Delivery Overview'!I16:J16)=0,IF(OR(E16="● Complete",E16="● Not required"),"● Not started",""),_xlfn.IFS(COUNTIF('Delivery Overview'!I16:J16,"● Blocked")&gt;0,"● Blocked",COUNTIF('Delivery Overview'!I16:J16,"● In Progress")&gt;0,"● In Progress",COUNTIF('Delivery Overview'!I16:J16,"● Not required")=2,"● Not required",COUNTIF('Delivery Overview'!I16:J16,"● Complete")+COUNTIF('Delivery Overview'!I16:J16,"● Not required")=2,"● Complete",COUNTIF('Delivery Overview'!I16:J16,"● Complete")+COUNTIF('Delivery Overview'!I16:J16,"● Not required")&gt;0,"● In Progress",TRUE,"● Not started")))</f>
        <v/>
      </c>
      <c r="G16" s="41" t="str" cm="1">
        <f t="array" ref="G16">IF(A16="","",IF(COUNTA('Delivery Overview'!K16:L16)=0,IF(OR(F16="● Complete",F16="● Not required"),"● Not started",""),_xlfn.IFS(COUNTIF('Delivery Overview'!K16:L16,"● Blocked")&gt;0,"● Blocked",COUNTIF('Delivery Overview'!K16:L16,"● In Progress")&gt;0,"● In Progress",COUNTIF('Delivery Overview'!K16:L16,"● Not required")=2,"● Not required",COUNTIF('Delivery Overview'!K16:L16,"● Complete")+COUNTIF('Delivery Overview'!K16:L16,"● Not required")=2,"● Complete",COUNTIF('Delivery Overview'!K16:L16,"● Complete")+COUNTIF('Delivery Overview'!K16:L16,"● Not required")&gt;0,"● In Progress",TRUE,"● Not started")))</f>
        <v/>
      </c>
      <c r="H16" s="41" t="str" cm="1">
        <f t="array" ref="H16">IF(A16="","",IF(COUNTA('Delivery Overview'!M16:M16)=0,IF(OR(G16="● Complete",G16="● Not required"),"● Not started",""),_xlfn.IFS(COUNTIF('Delivery Overview'!M16:M16,"● Blocked")&gt;0,"● Blocked",COUNTIF('Delivery Overview'!M16:M16,"● In Progress")&gt;0,"● In Progress",COUNTIF('Delivery Overview'!M16:M16,"● Not required")=1,"● Not required",COUNTIF('Delivery Overview'!M16:M16,"● Complete")+COUNTIF('Delivery Overview'!M16:M16,"● Not required")=1,"● Complete",COUNTIF('Delivery Overview'!M16:M16,"● Complete")+COUNTIF('Delivery Overview'!M16:M16,"● Not required")&gt;0,"● In Progress",TRUE,"● Not started")))</f>
        <v/>
      </c>
    </row>
    <row r="17" spans="1:8" ht="24" customHeight="1" x14ac:dyDescent="0.4">
      <c r="A17" s="9" t="str">
        <f>'Delivery Overview'!A17</f>
        <v>Contract 3</v>
      </c>
      <c r="B17" s="37"/>
      <c r="C17" s="42"/>
      <c r="D17" s="42"/>
      <c r="E17" s="42"/>
      <c r="F17" s="42"/>
      <c r="G17" s="42"/>
      <c r="H17" s="42"/>
    </row>
    <row r="18" spans="1:8" ht="22.3" customHeight="1" outlineLevel="1" x14ac:dyDescent="0.4">
      <c r="A18" s="10" t="str">
        <f>IF('Delivery Overview'!A18="","",'Delivery Overview'!A18)</f>
        <v>Initiative 1</v>
      </c>
      <c r="B18" s="40" t="str">
        <f>IF('Delivery Overview'!C18="","",'Delivery Overview'!C18)</f>
        <v>Not Started: Leadership Approval</v>
      </c>
      <c r="C18" s="41" t="str" cm="1">
        <f t="array" ref="C18">IF(A18="","",IF(COUNTA('Delivery Overview'!D18:E18)=0,"● Not started",_xlfn.IFS(COUNTIF('Delivery Overview'!D18:E18,"● Blocked")&gt;0,"● Blocked",COUNTIF('Delivery Overview'!D18:E18,"● In Progress")&gt;0,"● In Progress",COUNTIF('Delivery Overview'!D18:E18,"● Not required")=2,"● Not required",COUNTIF('Delivery Overview'!D18:E18,"● Complete")+COUNTIF('Delivery Overview'!D18:E18,"● Not required")=2,"● Complete",COUNTIF('Delivery Overview'!D18:E18,"● Complete")+COUNTIF('Delivery Overview'!D18:E18,"● Not required")&gt;0,"● In Progress",TRUE,"● Not started")))</f>
        <v>● Not started</v>
      </c>
      <c r="D18" s="41" t="str" cm="1">
        <f t="array" ref="D18">IF(A18="","",IF(COUNTA('Delivery Overview'!F18:G18)=0,IF(OR(C18="● Complete",C18="● Not required"),"● Not started",""),_xlfn.IFS(COUNTIF('Delivery Overview'!F18:G18,"● Blocked")&gt;0,"● Blocked",COUNTIF('Delivery Overview'!F18:G18,"● In Progress")&gt;0,"● In Progress",COUNTIF('Delivery Overview'!F18:G18,"● Not required")=2,"● Not required",COUNTIF('Delivery Overview'!F18:G18,"● Complete")+COUNTIF('Delivery Overview'!F18:G18,"● Not required")=2,"● Complete",COUNTIF('Delivery Overview'!F18:G18,"● Complete")+COUNTIF('Delivery Overview'!F18:G18,"● Not required")&gt;0,"● In Progress",TRUE,"● Not started")))</f>
        <v/>
      </c>
      <c r="E18" s="41" t="str" cm="1">
        <f t="array" ref="E18">IF(A18="","",IF(COUNTA('Delivery Overview'!H18:H18)=0,IF(OR(D18="● Complete",D18="● Not required"),"● Not started",""),_xlfn.IFS(COUNTIF('Delivery Overview'!H18:H18,"● Blocked")&gt;0,"● Blocked",COUNTIF('Delivery Overview'!H18:H18,"● In Progress")&gt;0,"● In Progress",COUNTIF('Delivery Overview'!H18:H18,"● Not required")=1,"● Not required",COUNTIF('Delivery Overview'!H18:H18,"● Complete")+COUNTIF('Delivery Overview'!H18:H18,"● Not required")=1,"● Complete",COUNTIF('Delivery Overview'!H18:H18,"● Complete")+COUNTIF('Delivery Overview'!H18:H18,"● Not required")&gt;0,"● In Progress",TRUE,"● Not started")))</f>
        <v/>
      </c>
      <c r="F18" s="41" t="str" cm="1">
        <f t="array" ref="F18">IF(A18="","",IF(COUNTA('Delivery Overview'!I18:J18)=0,IF(OR(E18="● Complete",E18="● Not required"),"● Not started",""),_xlfn.IFS(COUNTIF('Delivery Overview'!I18:J18,"● Blocked")&gt;0,"● Blocked",COUNTIF('Delivery Overview'!I18:J18,"● In Progress")&gt;0,"● In Progress",COUNTIF('Delivery Overview'!I18:J18,"● Not required")=2,"● Not required",COUNTIF('Delivery Overview'!I18:J18,"● Complete")+COUNTIF('Delivery Overview'!I18:J18,"● Not required")=2,"● Complete",COUNTIF('Delivery Overview'!I18:J18,"● Complete")+COUNTIF('Delivery Overview'!I18:J18,"● Not required")&gt;0,"● In Progress",TRUE,"● Not started")))</f>
        <v/>
      </c>
      <c r="G18" s="41" t="str" cm="1">
        <f t="array" ref="G18">IF(A18="","",IF(COUNTA('Delivery Overview'!K18:L18)=0,IF(OR(F18="● Complete",F18="● Not required"),"● Not started",""),_xlfn.IFS(COUNTIF('Delivery Overview'!K18:L18,"● Blocked")&gt;0,"● Blocked",COUNTIF('Delivery Overview'!K18:L18,"● In Progress")&gt;0,"● In Progress",COUNTIF('Delivery Overview'!K18:L18,"● Not required")=2,"● Not required",COUNTIF('Delivery Overview'!K18:L18,"● Complete")+COUNTIF('Delivery Overview'!K18:L18,"● Not required")=2,"● Complete",COUNTIF('Delivery Overview'!K18:L18,"● Complete")+COUNTIF('Delivery Overview'!K18:L18,"● Not required")&gt;0,"● In Progress",TRUE,"● Not started")))</f>
        <v/>
      </c>
      <c r="H18" s="41" t="str" cm="1">
        <f t="array" ref="H18">IF(A18="","",IF(COUNTA('Delivery Overview'!M18:M18)=0,IF(OR(G18="● Complete",G18="● Not required"),"● Not started",""),_xlfn.IFS(COUNTIF('Delivery Overview'!M18:M18,"● Blocked")&gt;0,"● Blocked",COUNTIF('Delivery Overview'!M18:M18,"● In Progress")&gt;0,"● In Progress",COUNTIF('Delivery Overview'!M18:M18,"● Not required")=1,"● Not required",COUNTIF('Delivery Overview'!M18:M18,"● Complete")+COUNTIF('Delivery Overview'!M18:M18,"● Not required")=1,"● Complete",COUNTIF('Delivery Overview'!M18:M18,"● Complete")+COUNTIF('Delivery Overview'!M18:M18,"● Not required")&gt;0,"● In Progress",TRUE,"● Not started")))</f>
        <v/>
      </c>
    </row>
    <row r="19" spans="1:8" ht="22.3" customHeight="1" outlineLevel="1" x14ac:dyDescent="0.4">
      <c r="A19" s="10" t="str">
        <f>IF('Delivery Overview'!A19="","",'Delivery Overview'!A19)</f>
        <v/>
      </c>
      <c r="B19" s="40" t="str">
        <f>IF('Delivery Overview'!C19="","",'Delivery Overview'!C19)</f>
        <v/>
      </c>
      <c r="C19" s="41" t="str" cm="1">
        <f t="array" ref="C19">IF(A19="","",IF(COUNTA('Delivery Overview'!D19:E19)=0,"● Not started",_xlfn.IFS(COUNTIF('Delivery Overview'!D19:E19,"● Blocked")&gt;0,"● Blocked",COUNTIF('Delivery Overview'!D19:E19,"● In Progress")&gt;0,"● In Progress",COUNTIF('Delivery Overview'!D19:E19,"● Not required")=2,"● Not required",COUNTIF('Delivery Overview'!D19:E19,"● Complete")+COUNTIF('Delivery Overview'!D19:E19,"● Not required")=2,"● Complete",COUNTIF('Delivery Overview'!D19:E19,"● Complete")+COUNTIF('Delivery Overview'!D19:E19,"● Not required")&gt;0,"● In Progress",TRUE,"● Not started")))</f>
        <v/>
      </c>
      <c r="D19" s="41" t="str" cm="1">
        <f t="array" ref="D19">IF(A19="","",IF(COUNTA('Delivery Overview'!F19:G19)=0,IF(OR(C19="● Complete",C19="● Not required"),"● Not started",""),_xlfn.IFS(COUNTIF('Delivery Overview'!F19:G19,"● Blocked")&gt;0,"● Blocked",COUNTIF('Delivery Overview'!F19:G19,"● In Progress")&gt;0,"● In Progress",COUNTIF('Delivery Overview'!F19:G19,"● Not required")=2,"● Not required",COUNTIF('Delivery Overview'!F19:G19,"● Complete")+COUNTIF('Delivery Overview'!F19:G19,"● Not required")=2,"● Complete",COUNTIF('Delivery Overview'!F19:G19,"● Complete")+COUNTIF('Delivery Overview'!F19:G19,"● Not required")&gt;0,"● In Progress",TRUE,"● Not started")))</f>
        <v/>
      </c>
      <c r="E19" s="41" t="str" cm="1">
        <f t="array" ref="E19">IF(A19="","",IF(COUNTA('Delivery Overview'!H19:H19)=0,IF(OR(D19="● Complete",D19="● Not required"),"● Not started",""),_xlfn.IFS(COUNTIF('Delivery Overview'!H19:H19,"● Blocked")&gt;0,"● Blocked",COUNTIF('Delivery Overview'!H19:H19,"● In Progress")&gt;0,"● In Progress",COUNTIF('Delivery Overview'!H19:H19,"● Not required")=1,"● Not required",COUNTIF('Delivery Overview'!H19:H19,"● Complete")+COUNTIF('Delivery Overview'!H19:H19,"● Not required")=1,"● Complete",COUNTIF('Delivery Overview'!H19:H19,"● Complete")+COUNTIF('Delivery Overview'!H19:H19,"● Not required")&gt;0,"● In Progress",TRUE,"● Not started")))</f>
        <v/>
      </c>
      <c r="F19" s="41" t="str" cm="1">
        <f t="array" ref="F19">IF(A19="","",IF(COUNTA('Delivery Overview'!I19:J19)=0,IF(OR(E19="● Complete",E19="● Not required"),"● Not started",""),_xlfn.IFS(COUNTIF('Delivery Overview'!I19:J19,"● Blocked")&gt;0,"● Blocked",COUNTIF('Delivery Overview'!I19:J19,"● In Progress")&gt;0,"● In Progress",COUNTIF('Delivery Overview'!I19:J19,"● Not required")=2,"● Not required",COUNTIF('Delivery Overview'!I19:J19,"● Complete")+COUNTIF('Delivery Overview'!I19:J19,"● Not required")=2,"● Complete",COUNTIF('Delivery Overview'!I19:J19,"● Complete")+COUNTIF('Delivery Overview'!I19:J19,"● Not required")&gt;0,"● In Progress",TRUE,"● Not started")))</f>
        <v/>
      </c>
      <c r="G19" s="41" t="str" cm="1">
        <f t="array" ref="G19">IF(A19="","",IF(COUNTA('Delivery Overview'!K19:L19)=0,IF(OR(F19="● Complete",F19="● Not required"),"● Not started",""),_xlfn.IFS(COUNTIF('Delivery Overview'!K19:L19,"● Blocked")&gt;0,"● Blocked",COUNTIF('Delivery Overview'!K19:L19,"● In Progress")&gt;0,"● In Progress",COUNTIF('Delivery Overview'!K19:L19,"● Not required")=2,"● Not required",COUNTIF('Delivery Overview'!K19:L19,"● Complete")+COUNTIF('Delivery Overview'!K19:L19,"● Not required")=2,"● Complete",COUNTIF('Delivery Overview'!K19:L19,"● Complete")+COUNTIF('Delivery Overview'!K19:L19,"● Not required")&gt;0,"● In Progress",TRUE,"● Not started")))</f>
        <v/>
      </c>
      <c r="H19" s="41" t="str" cm="1">
        <f t="array" ref="H19">IF(A19="","",IF(COUNTA('Delivery Overview'!M19:M19)=0,IF(OR(G19="● Complete",G19="● Not required"),"● Not started",""),_xlfn.IFS(COUNTIF('Delivery Overview'!M19:M19,"● Blocked")&gt;0,"● Blocked",COUNTIF('Delivery Overview'!M19:M19,"● In Progress")&gt;0,"● In Progress",COUNTIF('Delivery Overview'!M19:M19,"● Not required")=1,"● Not required",COUNTIF('Delivery Overview'!M19:M19,"● Complete")+COUNTIF('Delivery Overview'!M19:M19,"● Not required")=1,"● Complete",COUNTIF('Delivery Overview'!M19:M19,"● Complete")+COUNTIF('Delivery Overview'!M19:M19,"● Not required")&gt;0,"● In Progress",TRUE,"● Not started")))</f>
        <v/>
      </c>
    </row>
    <row r="20" spans="1:8" ht="22.3" customHeight="1" outlineLevel="1" x14ac:dyDescent="0.4">
      <c r="A20" s="10" t="str">
        <f>IF('Delivery Overview'!A20="","",'Delivery Overview'!A20)</f>
        <v/>
      </c>
      <c r="B20" s="40" t="str">
        <f>IF('Delivery Overview'!C20="","",'Delivery Overview'!C20)</f>
        <v/>
      </c>
      <c r="C20" s="41" t="str" cm="1">
        <f t="array" ref="C20">IF(A20="","",IF(COUNTA('Delivery Overview'!D20:E20)=0,"● Not started",_xlfn.IFS(COUNTIF('Delivery Overview'!D20:E20,"● Blocked")&gt;0,"● Blocked",COUNTIF('Delivery Overview'!D20:E20,"● In Progress")&gt;0,"● In Progress",COUNTIF('Delivery Overview'!D20:E20,"● Not required")=2,"● Not required",COUNTIF('Delivery Overview'!D20:E20,"● Complete")+COUNTIF('Delivery Overview'!D20:E20,"● Not required")=2,"● Complete",COUNTIF('Delivery Overview'!D20:E20,"● Complete")+COUNTIF('Delivery Overview'!D20:E20,"● Not required")&gt;0,"● In Progress",TRUE,"● Not started")))</f>
        <v/>
      </c>
      <c r="D20" s="41" t="str" cm="1">
        <f t="array" ref="D20">IF(A20="","",IF(COUNTA('Delivery Overview'!F20:G20)=0,IF(OR(C20="● Complete",C20="● Not required"),"● Not started",""),_xlfn.IFS(COUNTIF('Delivery Overview'!F20:G20,"● Blocked")&gt;0,"● Blocked",COUNTIF('Delivery Overview'!F20:G20,"● In Progress")&gt;0,"● In Progress",COUNTIF('Delivery Overview'!F20:G20,"● Not required")=2,"● Not required",COUNTIF('Delivery Overview'!F20:G20,"● Complete")+COUNTIF('Delivery Overview'!F20:G20,"● Not required")=2,"● Complete",COUNTIF('Delivery Overview'!F20:G20,"● Complete")+COUNTIF('Delivery Overview'!F20:G20,"● Not required")&gt;0,"● In Progress",TRUE,"● Not started")))</f>
        <v/>
      </c>
      <c r="E20" s="41" t="str" cm="1">
        <f t="array" ref="E20">IF(A20="","",IF(COUNTA('Delivery Overview'!H20:H20)=0,IF(OR(D20="● Complete",D20="● Not required"),"● Not started",""),_xlfn.IFS(COUNTIF('Delivery Overview'!H20:H20,"● Blocked")&gt;0,"● Blocked",COUNTIF('Delivery Overview'!H20:H20,"● In Progress")&gt;0,"● In Progress",COUNTIF('Delivery Overview'!H20:H20,"● Not required")=1,"● Not required",COUNTIF('Delivery Overview'!H20:H20,"● Complete")+COUNTIF('Delivery Overview'!H20:H20,"● Not required")=1,"● Complete",COUNTIF('Delivery Overview'!H20:H20,"● Complete")+COUNTIF('Delivery Overview'!H20:H20,"● Not required")&gt;0,"● In Progress",TRUE,"● Not started")))</f>
        <v/>
      </c>
      <c r="F20" s="41" t="str" cm="1">
        <f t="array" ref="F20">IF(A20="","",IF(COUNTA('Delivery Overview'!I20:J20)=0,IF(OR(E20="● Complete",E20="● Not required"),"● Not started",""),_xlfn.IFS(COUNTIF('Delivery Overview'!I20:J20,"● Blocked")&gt;0,"● Blocked",COUNTIF('Delivery Overview'!I20:J20,"● In Progress")&gt;0,"● In Progress",COUNTIF('Delivery Overview'!I20:J20,"● Not required")=2,"● Not required",COUNTIF('Delivery Overview'!I20:J20,"● Complete")+COUNTIF('Delivery Overview'!I20:J20,"● Not required")=2,"● Complete",COUNTIF('Delivery Overview'!I20:J20,"● Complete")+COUNTIF('Delivery Overview'!I20:J20,"● Not required")&gt;0,"● In Progress",TRUE,"● Not started")))</f>
        <v/>
      </c>
      <c r="G20" s="41" t="str" cm="1">
        <f t="array" ref="G20">IF(A20="","",IF(COUNTA('Delivery Overview'!K20:L20)=0,IF(OR(F20="● Complete",F20="● Not required"),"● Not started",""),_xlfn.IFS(COUNTIF('Delivery Overview'!K20:L20,"● Blocked")&gt;0,"● Blocked",COUNTIF('Delivery Overview'!K20:L20,"● In Progress")&gt;0,"● In Progress",COUNTIF('Delivery Overview'!K20:L20,"● Not required")=2,"● Not required",COUNTIF('Delivery Overview'!K20:L20,"● Complete")+COUNTIF('Delivery Overview'!K20:L20,"● Not required")=2,"● Complete",COUNTIF('Delivery Overview'!K20:L20,"● Complete")+COUNTIF('Delivery Overview'!K20:L20,"● Not required")&gt;0,"● In Progress",TRUE,"● Not started")))</f>
        <v/>
      </c>
      <c r="H20" s="41" t="str" cm="1">
        <f t="array" ref="H20">IF(A20="","",IF(COUNTA('Delivery Overview'!M20:M20)=0,IF(OR(G20="● Complete",G20="● Not required"),"● Not started",""),_xlfn.IFS(COUNTIF('Delivery Overview'!M20:M20,"● Blocked")&gt;0,"● Blocked",COUNTIF('Delivery Overview'!M20:M20,"● In Progress")&gt;0,"● In Progress",COUNTIF('Delivery Overview'!M20:M20,"● Not required")=1,"● Not required",COUNTIF('Delivery Overview'!M20:M20,"● Complete")+COUNTIF('Delivery Overview'!M20:M20,"● Not required")=1,"● Complete",COUNTIF('Delivery Overview'!M20:M20,"● Complete")+COUNTIF('Delivery Overview'!M20:M20,"● Not required")&gt;0,"● In Progress",TRUE,"● Not started")))</f>
        <v/>
      </c>
    </row>
  </sheetData>
  <mergeCells count="8">
    <mergeCell ref="F4:F5"/>
    <mergeCell ref="G4:G5"/>
    <mergeCell ref="H4:H5"/>
    <mergeCell ref="B4:B5"/>
    <mergeCell ref="A4:A5"/>
    <mergeCell ref="E4:E5"/>
    <mergeCell ref="D4:D5"/>
    <mergeCell ref="C4:C5"/>
  </mergeCells>
  <conditionalFormatting sqref="C6:H20">
    <cfRule type="expression" dxfId="13" priority="1">
      <formula>OR(C6="● Complete",C6="● Not required")</formula>
    </cfRule>
    <cfRule type="expression" dxfId="12" priority="2">
      <formula>OR(C6="● In Progress",C6="● In progress",C6="● In Delivery")</formula>
    </cfRule>
    <cfRule type="expression" dxfId="11" priority="3">
      <formula>C6="● Blocked"</formula>
    </cfRule>
    <cfRule type="expression" dxfId="10" priority="4">
      <formula>OR(C6="● Not started",C6="● Paused (On Hold)")</formula>
    </cfRule>
  </conditionalFormatting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2A44"/>
    <outlinePr summaryBelow="0" summaryRight="0"/>
    <pageSetUpPr fitToPage="1"/>
  </sheetPr>
  <dimension ref="A1:S23"/>
  <sheetViews>
    <sheetView showGridLines="0" zoomScale="90" zoomScaleNormal="90" workbookViewId="0">
      <pane xSplit="3" ySplit="5" topLeftCell="D6" activePane="bottomRight" state="frozen"/>
      <selection pane="topRight"/>
      <selection pane="bottomLeft"/>
      <selection pane="bottomRight" activeCell="D9" sqref="D9"/>
    </sheetView>
  </sheetViews>
  <sheetFormatPr defaultRowHeight="14.6" outlineLevelRow="1" outlineLevelCol="1" x14ac:dyDescent="0.4"/>
  <cols>
    <col min="1" max="1" width="28.15234375" customWidth="1"/>
    <col min="2" max="2" width="8.84375" bestFit="1" customWidth="1"/>
    <col min="3" max="3" width="23.3828125" customWidth="1"/>
    <col min="4" max="5" width="12.53515625" customWidth="1"/>
    <col min="6" max="7" width="12.53515625" customWidth="1" outlineLevel="1"/>
    <col min="8" max="8" width="21.84375" customWidth="1"/>
    <col min="9" max="12" width="12.53515625" customWidth="1" outlineLevel="1"/>
    <col min="13" max="13" width="21.84375" customWidth="1"/>
    <col min="14" max="15" width="9.3046875" customWidth="1"/>
    <col min="16" max="16" width="25.921875" customWidth="1"/>
    <col min="17" max="17" width="14.07421875" hidden="1" customWidth="1"/>
    <col min="18" max="18" width="38.84375" hidden="1" customWidth="1"/>
    <col min="19" max="19" width="8.921875" hidden="1" customWidth="1"/>
  </cols>
  <sheetData>
    <row r="1" spans="1:18" ht="20.149999999999999" customHeight="1" x14ac:dyDescent="0.5">
      <c r="A1" s="1" t="s">
        <v>64</v>
      </c>
    </row>
    <row r="2" spans="1:18" x14ac:dyDescent="0.4">
      <c r="A2" s="2"/>
    </row>
    <row r="3" spans="1:18" ht="26.6" customHeight="1" x14ac:dyDescent="0.4">
      <c r="H3" s="59" t="s">
        <v>73</v>
      </c>
      <c r="I3" s="60"/>
      <c r="J3" s="60"/>
      <c r="K3" s="60"/>
      <c r="L3" s="60"/>
      <c r="M3" s="61"/>
    </row>
    <row r="4" spans="1:18" ht="19.75" customHeight="1" x14ac:dyDescent="0.4">
      <c r="A4" s="62" t="s">
        <v>0</v>
      </c>
      <c r="B4" s="64" t="s">
        <v>7</v>
      </c>
      <c r="C4" s="62" t="s">
        <v>65</v>
      </c>
      <c r="D4" s="65" t="s">
        <v>69</v>
      </c>
      <c r="E4" s="66"/>
      <c r="F4" s="66" t="s">
        <v>2</v>
      </c>
      <c r="G4" s="66"/>
      <c r="H4" s="33" t="s">
        <v>50</v>
      </c>
      <c r="I4" s="66" t="s">
        <v>3</v>
      </c>
      <c r="J4" s="66"/>
      <c r="K4" s="66" t="s">
        <v>4</v>
      </c>
      <c r="L4" s="67"/>
      <c r="M4" s="3" t="s">
        <v>5</v>
      </c>
      <c r="N4" s="62" t="s">
        <v>51</v>
      </c>
      <c r="O4" s="62" t="s">
        <v>52</v>
      </c>
      <c r="P4" s="62" t="s">
        <v>8</v>
      </c>
    </row>
    <row r="5" spans="1:18" ht="26.6" customHeight="1" x14ac:dyDescent="0.4">
      <c r="A5" s="63"/>
      <c r="B5" s="63"/>
      <c r="C5" s="63"/>
      <c r="D5" s="34" t="s">
        <v>67</v>
      </c>
      <c r="E5" s="35" t="s">
        <v>66</v>
      </c>
      <c r="F5" s="35" t="s">
        <v>9</v>
      </c>
      <c r="G5" s="35" t="s">
        <v>71</v>
      </c>
      <c r="H5" s="35" t="s">
        <v>72</v>
      </c>
      <c r="I5" s="35" t="s">
        <v>68</v>
      </c>
      <c r="J5" s="35" t="s">
        <v>11</v>
      </c>
      <c r="K5" s="35" t="s">
        <v>12</v>
      </c>
      <c r="L5" s="35" t="s">
        <v>13</v>
      </c>
      <c r="M5" s="36" t="s">
        <v>14</v>
      </c>
      <c r="N5" s="63"/>
      <c r="O5" s="63"/>
      <c r="P5" s="63"/>
    </row>
    <row r="6" spans="1:18" ht="24" customHeight="1" x14ac:dyDescent="0.4">
      <c r="A6" s="5" t="s">
        <v>15</v>
      </c>
      <c r="B6" s="6"/>
      <c r="C6" s="38" t="str">
        <f>SUMPRODUCT(--(LEN(A7:A11)&gt;0))&amp;IF(SUMPRODUCT(--(LEN(A7:A11)&gt;0))=1," initiative"," initiatives")</f>
        <v>3 initiatives</v>
      </c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8"/>
      <c r="Q6" t="s">
        <v>16</v>
      </c>
    </row>
    <row r="7" spans="1:18" ht="21.55" customHeight="1" outlineLevel="1" x14ac:dyDescent="0.4">
      <c r="A7" s="11" t="s">
        <v>17</v>
      </c>
      <c r="B7" s="12"/>
      <c r="C7" s="40" t="str" cm="1">
        <f t="array" ref="C7">IF(A7="","",_xlfn.LET(_xlpm.s,D7:M7,_xlpm.h,$D$5:$M$5,_xlpm.g,COUNTIF(_xlpm.s,"●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required")),COLUMN(_xlpm.s)-COLUMN(D7)+1),0),_xlpm.nxt,IFERROR(MATCH(1,(_xlpm.s="")*(_xlfn.SEQUENCE(1,COLUMNS(_xlpm.s))&gt;_xlpm.last),0),IFERROR(MATCH("",_xlpm.s,0),0)),IF(_xlpm.nxt=0,"No current step","Not Started: "&amp;INDEX(_xlpm.h,1,_xlpm.nxt))))))))</f>
        <v>Not Started: Leadership Approval</v>
      </c>
      <c r="D7" s="30"/>
      <c r="E7" s="31"/>
      <c r="F7" s="30"/>
      <c r="G7" s="31"/>
      <c r="H7" s="29"/>
      <c r="I7" s="30"/>
      <c r="J7" s="31"/>
      <c r="K7" s="30"/>
      <c r="L7" s="31"/>
      <c r="M7" s="29"/>
      <c r="N7" s="15">
        <f>IF(A7="","",COUNTIF(Actions!$E$13:$E$22,"Open")+COUNTIF(Actions!$E$13:$E$22,"In progress")+COUNTIF(Actions!$E$13:$E$22,"Blocked"))</f>
        <v>0</v>
      </c>
      <c r="O7" s="15">
        <f ca="1">IF(A7="","",COUNTIF(Actions!$G$13:$G$22,"Overdue"))</f>
        <v>0</v>
      </c>
      <c r="P7" s="13"/>
      <c r="Q7" t="s">
        <v>16</v>
      </c>
      <c r="R7" t="str">
        <f>IF(A7="","",Q7&amp;" · "&amp;A7)</f>
        <v>Contract 1 · Initiative 1</v>
      </c>
    </row>
    <row r="8" spans="1:18" ht="21.55" customHeight="1" outlineLevel="1" x14ac:dyDescent="0.4">
      <c r="A8" s="11" t="s">
        <v>18</v>
      </c>
      <c r="B8" s="12"/>
      <c r="C8" s="40" t="str" cm="1">
        <f t="array" ref="C8">IF(A8="","",_xlfn.LET(_xlpm.s,D8:M8,_xlpm.h,$D$5:$M$5,_xlpm.g,COUNTIF(_xlpm.s,"●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required")),COLUMN(_xlpm.s)-COLUMN(D8)+1),0),_xlpm.nxt,IFERROR(MATCH(1,(_xlpm.s="")*(_xlfn.SEQUENCE(1,COLUMNS(_xlpm.s))&gt;_xlpm.last),0),IFERROR(MATCH("",_xlpm.s,0),0)),IF(_xlpm.nxt=0,"No current step","Not Started: "&amp;INDEX(_xlpm.h,1,_xlpm.nxt))))))))</f>
        <v>Blocked: Project kick-off</v>
      </c>
      <c r="D8" s="30"/>
      <c r="E8" s="31"/>
      <c r="F8" s="30"/>
      <c r="G8" s="31"/>
      <c r="H8" s="29"/>
      <c r="I8" s="30"/>
      <c r="J8" s="31"/>
      <c r="K8" s="30"/>
      <c r="L8" s="31"/>
      <c r="M8" s="29"/>
      <c r="N8" s="15">
        <f>IF(A8="","",COUNTIF(Actions!$E$24:$E$33,"Open")+COUNTIF(Actions!$E$24:$E$33,"In progress")+COUNTIF(Actions!$E$24:$E$33,"Blocked"))</f>
        <v>0</v>
      </c>
      <c r="O8" s="15">
        <f ca="1">IF(A8="","",COUNTIF(Actions!$G$24:$G$33,"Overdue"))</f>
        <v>0</v>
      </c>
      <c r="P8" s="13"/>
      <c r="Q8" t="s">
        <v>16</v>
      </c>
      <c r="R8" t="str">
        <f>IF(A8="","",Q8&amp;" · "&amp;A8)</f>
        <v>Contract 1 · Initiative 2</v>
      </c>
    </row>
    <row r="9" spans="1:18" ht="21.55" customHeight="1" outlineLevel="1" x14ac:dyDescent="0.4">
      <c r="A9" s="11" t="s">
        <v>20</v>
      </c>
      <c r="B9" s="12"/>
      <c r="C9" s="40" t="str" cm="1">
        <f t="array" ref="C9">IF(A9="","",_xlfn.LET(_xlpm.s,D9:M9,_xlpm.h,$D$5:$M$5,_xlpm.g,COUNTIF(_xlpm.s,"●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required")),COLUMN(_xlpm.s)-COLUMN(D9)+1),0),_xlpm.nxt,IFERROR(MATCH(1,(_xlpm.s="")*(_xlfn.SEQUENCE(1,COLUMNS(_xlpm.s))&gt;_xlpm.last),0),IFERROR(MATCH("",_xlpm.s,0),0)),IF(_xlpm.nxt=0,"No current step","Not Started: "&amp;INDEX(_xlpm.h,1,_xlpm.nxt))))))))</f>
        <v>Not Started: Leadership Approval</v>
      </c>
      <c r="D9" s="30"/>
      <c r="E9" s="31"/>
      <c r="F9" s="30"/>
      <c r="G9" s="31"/>
      <c r="H9" s="29"/>
      <c r="I9" s="30"/>
      <c r="J9" s="31"/>
      <c r="K9" s="30"/>
      <c r="L9" s="31"/>
      <c r="M9" s="29"/>
      <c r="N9" s="15">
        <f>IF(A9="","",COUNTIF(Actions!$E$35:$E$44,"Open")+COUNTIF(Actions!$E$35:$E$44,"In progress")+COUNTIF(Actions!$E$35:$E$44,"Blocked"))</f>
        <v>0</v>
      </c>
      <c r="O9" s="15">
        <f ca="1">IF(A9="","",COUNTIF(Actions!$G$35:$G$44,"Overdue"))</f>
        <v>0</v>
      </c>
      <c r="P9" s="13"/>
      <c r="Q9" t="s">
        <v>16</v>
      </c>
      <c r="R9" t="str">
        <f>IF(A9="","",Q9&amp;" · "&amp;A9)</f>
        <v>Contract 1 · Initiative 3</v>
      </c>
    </row>
    <row r="10" spans="1:18" ht="21.55" customHeight="1" outlineLevel="1" x14ac:dyDescent="0.4">
      <c r="A10" s="11"/>
      <c r="B10" s="12"/>
      <c r="C10" s="40" t="str" cm="1">
        <f t="array" ref="C10">IF(A10="","",_xlfn.LET(_xlpm.s,D10:M10,_xlpm.h,$D$5:$M$5,_xlpm.g,COUNTIF(_xlpm.s,"●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required")),COLUMN(_xlpm.s)-COLUMN(D10)+1),0),_xlpm.nxt,IFERROR(MATCH(1,(_xlpm.s="")*(_xlfn.SEQUENCE(1,COLUMNS(_xlpm.s))&gt;_xlpm.last),0),IFERROR(MATCH("",_xlpm.s,0),0)),IF(_xlpm.nxt=0,"No current step","Not Started: "&amp;INDEX(_xlpm.h,1,_xlpm.nxt))))))))</f>
        <v/>
      </c>
      <c r="D10" s="30"/>
      <c r="E10" s="31"/>
      <c r="F10" s="30"/>
      <c r="G10" s="31"/>
      <c r="H10" s="29"/>
      <c r="I10" s="30"/>
      <c r="J10" s="31"/>
      <c r="K10" s="30"/>
      <c r="L10" s="31"/>
      <c r="M10" s="29"/>
      <c r="N10" s="15" t="str">
        <f>IF(A10="","",COUNTIF(Actions!$E$46:$E$51,"Open")+COUNTIF(Actions!$E$46:$E$51,"In progress")+COUNTIF(Actions!$E$46:$E$51,"Blocked"))</f>
        <v/>
      </c>
      <c r="O10" s="15" t="str">
        <f>IF(A10="","",COUNTIF(Actions!$G$46:$G$51,"Overdue"))</f>
        <v/>
      </c>
      <c r="P10" s="13"/>
      <c r="Q10" t="s">
        <v>16</v>
      </c>
      <c r="R10" t="str">
        <f>IF(A10="","",Q10&amp;" · "&amp;A10)</f>
        <v/>
      </c>
    </row>
    <row r="11" spans="1:18" ht="21.55" customHeight="1" outlineLevel="1" x14ac:dyDescent="0.4">
      <c r="A11" s="11"/>
      <c r="B11" s="12"/>
      <c r="C11" s="40" t="str" cm="1">
        <f t="array" ref="C11">IF(A11="","",_xlfn.LET(_xlpm.s,D11:M11,_xlpm.h,$D$5:$M$5,_xlpm.g,COUNTIF(_xlpm.s,"●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required")),COLUMN(_xlpm.s)-COLUMN(D11)+1),0),_xlpm.nxt,IFERROR(MATCH(1,(_xlpm.s="")*(_xlfn.SEQUENCE(1,COLUMNS(_xlpm.s))&gt;_xlpm.last),0),IFERROR(MATCH("",_xlpm.s,0),0)),IF(_xlpm.nxt=0,"No current step","Not Started: "&amp;INDEX(_xlpm.h,1,_xlpm.nxt))))))))</f>
        <v/>
      </c>
      <c r="D11" s="30"/>
      <c r="E11" s="31"/>
      <c r="F11" s="30"/>
      <c r="G11" s="31"/>
      <c r="H11" s="29"/>
      <c r="I11" s="30"/>
      <c r="J11" s="31"/>
      <c r="K11" s="30"/>
      <c r="L11" s="31"/>
      <c r="M11" s="29"/>
      <c r="N11" s="15" t="str">
        <f>IF(A11="","",0)</f>
        <v/>
      </c>
      <c r="O11" s="15" t="str">
        <f>IF(A11="","",0)</f>
        <v/>
      </c>
      <c r="P11" s="13"/>
      <c r="Q11" t="s">
        <v>16</v>
      </c>
      <c r="R11" t="str">
        <f>IF(A11="","",Q11&amp;" · "&amp;A11)</f>
        <v/>
      </c>
    </row>
    <row r="12" spans="1:18" ht="24" customHeight="1" x14ac:dyDescent="0.4">
      <c r="A12" s="5" t="s">
        <v>21</v>
      </c>
      <c r="B12" s="6"/>
      <c r="C12" s="39" t="str" cm="1">
        <f t="array" ref="C12">SUMPRODUCT(--(LEN(A13:A16)&gt;0))&amp;IF(SUMPRODUCT(--(LEN(A13:A16)&gt;0))=1," initiative"," initiatives")</f>
        <v>2 initiatives</v>
      </c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27"/>
      <c r="O12" s="27"/>
      <c r="P12" s="28"/>
      <c r="Q12" t="s">
        <v>22</v>
      </c>
    </row>
    <row r="13" spans="1:18" ht="21.55" customHeight="1" outlineLevel="1" x14ac:dyDescent="0.4">
      <c r="A13" s="11" t="s">
        <v>17</v>
      </c>
      <c r="B13" s="12"/>
      <c r="C13" s="40" t="str" cm="1">
        <f t="array" ref="C13">IF(A13="","",_xlfn.LET(_xlpm.s,D13:M13,_xlpm.h,$D$5:$M$5,_xlpm.g,COUNTIF(_xlpm.s,"●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required")),COLUMN(_xlpm.s)-COLUMN(D13)+1),0),_xlpm.nxt,IFERROR(MATCH(1,(_xlpm.s="")*(_xlfn.SEQUENCE(1,COLUMNS(_xlpm.s))&gt;_xlpm.last),0),IFERROR(MATCH("",_xlpm.s,0),0)),IF(_xlpm.nxt=0,"No current step","Not Started: "&amp;INDEX(_xlpm.h,1,_xlpm.nxt))))))))</f>
        <v>Not Started: Leadership Approval</v>
      </c>
      <c r="D13" s="30"/>
      <c r="E13" s="31"/>
      <c r="F13" s="30"/>
      <c r="G13" s="31"/>
      <c r="H13" s="29"/>
      <c r="I13" s="30"/>
      <c r="J13" s="31"/>
      <c r="K13" s="30"/>
      <c r="L13" s="31"/>
      <c r="M13" s="29"/>
      <c r="N13" s="15">
        <f>IF(A13="","",COUNTIF(Actions!$E$62:$E$71,"Open")+COUNTIF(Actions!$E$62:$E$71,"In progress")+COUNTIF(Actions!$E$62:$E$71,"Blocked"))</f>
        <v>0</v>
      </c>
      <c r="O13" s="15">
        <f ca="1">IF(A13="","",COUNTIF(Actions!$G$62:$G$71,"Overdue"))</f>
        <v>0</v>
      </c>
      <c r="P13" s="13"/>
      <c r="Q13" t="s">
        <v>22</v>
      </c>
      <c r="R13" t="str">
        <f>IF(A13="","",Q13&amp;" · "&amp;A13)</f>
        <v>Contract 2 · Initiative 1</v>
      </c>
    </row>
    <row r="14" spans="1:18" ht="21.55" customHeight="1" outlineLevel="1" x14ac:dyDescent="0.4">
      <c r="A14" s="11" t="s">
        <v>18</v>
      </c>
      <c r="B14" s="12"/>
      <c r="C14" s="40" t="str" cm="1">
        <f t="array" ref="C14">IF(A14="","",_xlfn.LET(_xlpm.s,D14:M14,_xlpm.h,$D$5:$M$5,_xlpm.g,COUNTIF(_xlpm.s,"●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required")),COLUMN(_xlpm.s)-COLUMN(D14)+1),0),_xlpm.nxt,IFERROR(MATCH(1,(_xlpm.s="")*(_xlfn.SEQUENCE(1,COLUMNS(_xlpm.s))&gt;_xlpm.last),0),IFERROR(MATCH("",_xlpm.s,0),0)),IF(_xlpm.nxt=0,"No current step","Not Started: "&amp;INDEX(_xlpm.h,1,_xlpm.nxt))))))))</f>
        <v>Not Started: Leadership Approval</v>
      </c>
      <c r="D14" s="30"/>
      <c r="E14" s="31"/>
      <c r="F14" s="30"/>
      <c r="G14" s="31"/>
      <c r="H14" s="29"/>
      <c r="I14" s="30"/>
      <c r="J14" s="31"/>
      <c r="K14" s="30"/>
      <c r="L14" s="31"/>
      <c r="M14" s="29"/>
      <c r="N14" s="15">
        <f>IF(A14="","",COUNTIF(Actions!$E$73:$E$82,"Open")+COUNTIF(Actions!$E$73:$E$82,"In progress")+COUNTIF(Actions!$E$73:$E$82,"Blocked"))</f>
        <v>0</v>
      </c>
      <c r="O14" s="15">
        <f ca="1">IF(A14="","",COUNTIF(Actions!$G$73:$G$82,"Overdue"))</f>
        <v>0</v>
      </c>
      <c r="P14" s="13"/>
      <c r="Q14" t="s">
        <v>22</v>
      </c>
      <c r="R14" t="str">
        <f>IF(A14="","",Q14&amp;" · "&amp;A14)</f>
        <v>Contract 2 · Initiative 2</v>
      </c>
    </row>
    <row r="15" spans="1:18" ht="21.55" customHeight="1" outlineLevel="1" x14ac:dyDescent="0.4">
      <c r="A15" s="11"/>
      <c r="B15" s="12"/>
      <c r="C15" s="40" t="str" cm="1">
        <f t="array" ref="C15">IF(A15="","",_xlfn.LET(_xlpm.s,D15:M15,_xlpm.h,$D$5:$M$5,_xlpm.g,COUNTIF(_xlpm.s,"●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required")),COLUMN(_xlpm.s)-COLUMN(D15)+1),0),_xlpm.nxt,IFERROR(MATCH(1,(_xlpm.s="")*(_xlfn.SEQUENCE(1,COLUMNS(_xlpm.s))&gt;_xlpm.last),0),IFERROR(MATCH("",_xlpm.s,0),0)),IF(_xlpm.nxt=0,"No current step","Not Started: "&amp;INDEX(_xlpm.h,1,_xlpm.nxt))))))))</f>
        <v/>
      </c>
      <c r="D15" s="30"/>
      <c r="E15" s="31"/>
      <c r="F15" s="30"/>
      <c r="G15" s="31"/>
      <c r="H15" s="29"/>
      <c r="I15" s="30"/>
      <c r="J15" s="31"/>
      <c r="K15" s="30"/>
      <c r="L15" s="31"/>
      <c r="M15" s="29"/>
      <c r="N15" s="15" t="str">
        <f>IF(A15="","",COUNTIF(Actions!$E$84:$E$89,"Open")+COUNTIF(Actions!$E$84:$E$89,"In progress")+COUNTIF(Actions!$E$84:$E$89,"Blocked"))</f>
        <v/>
      </c>
      <c r="O15" s="15" t="str">
        <f>IF(A15="","",COUNTIF(Actions!$G$84:$G$89,"Overdue"))</f>
        <v/>
      </c>
      <c r="P15" s="13"/>
      <c r="Q15" t="s">
        <v>22</v>
      </c>
      <c r="R15" t="str">
        <f>IF(A15="","",Q15&amp;" · "&amp;A15)</f>
        <v/>
      </c>
    </row>
    <row r="16" spans="1:18" ht="21.55" customHeight="1" outlineLevel="1" x14ac:dyDescent="0.4">
      <c r="A16" s="11"/>
      <c r="B16" s="12"/>
      <c r="C16" s="40" t="str" cm="1">
        <f t="array" ref="C16">IF(A16="","",_xlfn.LET(_xlpm.s,D16:M16,_xlpm.h,$D$5:$M$5,_xlpm.g,COUNTIF(_xlpm.s,"●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required")),COLUMN(_xlpm.s)-COLUMN(D16)+1),0),_xlpm.nxt,IFERROR(MATCH(1,(_xlpm.s="")*(_xlfn.SEQUENCE(1,COLUMNS(_xlpm.s))&gt;_xlpm.last),0),IFERROR(MATCH("",_xlpm.s,0),0)),IF(_xlpm.nxt=0,"No current step","Not Started: "&amp;INDEX(_xlpm.h,1,_xlpm.nxt))))))))</f>
        <v/>
      </c>
      <c r="D16" s="30"/>
      <c r="E16" s="31"/>
      <c r="F16" s="30"/>
      <c r="G16" s="31"/>
      <c r="H16" s="29"/>
      <c r="I16" s="30"/>
      <c r="J16" s="31"/>
      <c r="K16" s="30"/>
      <c r="L16" s="31"/>
      <c r="M16" s="29"/>
      <c r="N16" s="15" t="str">
        <f>IF(A16="","",0)</f>
        <v/>
      </c>
      <c r="O16" s="15" t="str">
        <f>IF(A16="","",0)</f>
        <v/>
      </c>
      <c r="P16" s="13"/>
      <c r="Q16" t="s">
        <v>22</v>
      </c>
      <c r="R16" t="str">
        <f>IF(A16="","",Q16&amp;" · "&amp;A16)</f>
        <v/>
      </c>
    </row>
    <row r="17" spans="1:18" ht="24" customHeight="1" x14ac:dyDescent="0.4">
      <c r="A17" s="5" t="s">
        <v>23</v>
      </c>
      <c r="B17" s="6"/>
      <c r="C17" s="39" t="str" cm="1">
        <f t="array" ref="C17">SUMPRODUCT(--(LEN(A18:A20)&gt;0))&amp;IF(SUMPRODUCT(--(LEN(A18:A20)&gt;0))=1," initiative"," initiatives")</f>
        <v>1 initiative</v>
      </c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27"/>
      <c r="O17" s="27"/>
      <c r="P17" s="28"/>
      <c r="Q17" t="s">
        <v>24</v>
      </c>
    </row>
    <row r="18" spans="1:18" ht="21.55" customHeight="1" outlineLevel="1" x14ac:dyDescent="0.4">
      <c r="A18" s="11" t="s">
        <v>25</v>
      </c>
      <c r="B18" s="12"/>
      <c r="C18" s="40" t="str" cm="1">
        <f t="array" ref="C18">IF(A18="","",_xlfn.LET(_xlpm.s,D18:M18,_xlpm.h,$D$5:$M$5,_xlpm.g,COUNTIF(_xlpm.s,"●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required")),COLUMN(_xlpm.s)-COLUMN(D18)+1),0),_xlpm.nxt,IFERROR(MATCH(1,(_xlpm.s="")*(_xlfn.SEQUENCE(1,COLUMNS(_xlpm.s))&gt;_xlpm.last),0),IFERROR(MATCH("",_xlpm.s,0),0)),IF(_xlpm.nxt=0,"No current step","Not Started: "&amp;INDEX(_xlpm.h,1,_xlpm.nxt))))))))</f>
        <v>Not Started: Leadership Approval</v>
      </c>
      <c r="D18" s="30"/>
      <c r="E18" s="31"/>
      <c r="F18" s="30"/>
      <c r="G18" s="31"/>
      <c r="H18" s="29"/>
      <c r="I18" s="30"/>
      <c r="J18" s="31"/>
      <c r="K18" s="30"/>
      <c r="L18" s="31"/>
      <c r="M18" s="29"/>
      <c r="N18" s="15">
        <f>IF(A18="","",COUNTIF(Actions!$E$100:$E$109,"Open")+COUNTIF(Actions!$E$100:$E$109,"In progress")+COUNTIF(Actions!$E$100:$E$109,"Blocked"))</f>
        <v>0</v>
      </c>
      <c r="O18" s="15">
        <f ca="1">IF(A18="","",COUNTIF(Actions!$G$100:$G$109,"Overdue"))</f>
        <v>0</v>
      </c>
      <c r="P18" s="13"/>
      <c r="Q18" t="s">
        <v>24</v>
      </c>
      <c r="R18" t="str">
        <f>IF(A18="","",Q18&amp;" · "&amp;A18)</f>
        <v>Contract 3 · Initiative 1</v>
      </c>
    </row>
    <row r="19" spans="1:18" ht="21.55" customHeight="1" outlineLevel="1" x14ac:dyDescent="0.4">
      <c r="A19" s="11"/>
      <c r="B19" s="12"/>
      <c r="C19" s="40" t="str" cm="1">
        <f t="array" ref="C19">IF(A19="","",_xlfn.LET(_xlpm.s,D19:M19,_xlpm.h,$D$5:$M$5,_xlpm.g,COUNTIF(_xlpm.s,"●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required")),COLUMN(_xlpm.s)-COLUMN(D19)+1),0),_xlpm.nxt,IFERROR(MATCH(1,(_xlpm.s="")*(_xlfn.SEQUENCE(1,COLUMNS(_xlpm.s))&gt;_xlpm.last),0),IFERROR(MATCH("",_xlpm.s,0),0)),IF(_xlpm.nxt=0,"No current step","Not Started: "&amp;INDEX(_xlpm.h,1,_xlpm.nxt))))))))</f>
        <v/>
      </c>
      <c r="D19" s="30"/>
      <c r="E19" s="31"/>
      <c r="F19" s="30"/>
      <c r="G19" s="31"/>
      <c r="H19" s="29"/>
      <c r="I19" s="30"/>
      <c r="J19" s="31"/>
      <c r="K19" s="30"/>
      <c r="L19" s="31"/>
      <c r="M19" s="29"/>
      <c r="N19" s="15" t="str">
        <f>IF(A19="","",COUNTIF(Actions!$E$111:$E$116,"Open")+COUNTIF(Actions!$E$111:$E$116,"In progress")+COUNTIF(Actions!$E$111:$E$116,"Blocked"))</f>
        <v/>
      </c>
      <c r="O19" s="15" t="str">
        <f>IF(A19="","",COUNTIF(Actions!$G$111:$G$116,"Overdue"))</f>
        <v/>
      </c>
      <c r="P19" s="13"/>
      <c r="Q19" t="s">
        <v>24</v>
      </c>
      <c r="R19" t="str">
        <f>IF(A19="","",Q19&amp;" · "&amp;A19)</f>
        <v/>
      </c>
    </row>
    <row r="20" spans="1:18" ht="21.55" customHeight="1" outlineLevel="1" x14ac:dyDescent="0.4">
      <c r="A20" s="11"/>
      <c r="B20" s="12"/>
      <c r="C20" s="40" t="str" cm="1">
        <f t="array" ref="C20">IF(A20="","",_xlfn.LET(_xlpm.s,D20:M20,_xlpm.h,$D$5:$M$5,_xlpm.g,COUNTIF(_xlpm.s,"●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required")),COLUMN(_xlpm.s)-COLUMN(D20)+1),0),_xlpm.nxt,IFERROR(MATCH(1,(_xlpm.s="")*(_xlfn.SEQUENCE(1,COLUMNS(_xlpm.s))&gt;_xlpm.last),0),IFERROR(MATCH("",_xlpm.s,0),0)),IF(_xlpm.nxt=0,"No current step","Not Started: "&amp;INDEX(_xlpm.h,1,_xlpm.nxt))))))))</f>
        <v/>
      </c>
      <c r="D20" s="30"/>
      <c r="E20" s="31"/>
      <c r="F20" s="30"/>
      <c r="G20" s="31"/>
      <c r="H20" s="29"/>
      <c r="I20" s="30"/>
      <c r="J20" s="31"/>
      <c r="K20" s="30"/>
      <c r="L20" s="31"/>
      <c r="M20" s="29"/>
      <c r="N20" s="15" t="str">
        <f>IF(A20="","",0)</f>
        <v/>
      </c>
      <c r="O20" s="15" t="str">
        <f>IF(A20="","",0)</f>
        <v/>
      </c>
      <c r="P20" s="13"/>
      <c r="Q20" t="s">
        <v>24</v>
      </c>
      <c r="R20" t="str">
        <f>IF(A20="","",Q20&amp;" · "&amp;A20)</f>
        <v/>
      </c>
    </row>
    <row r="22" spans="1:18" x14ac:dyDescent="0.4">
      <c r="A22" s="8"/>
    </row>
    <row r="23" spans="1:18" x14ac:dyDescent="0.4">
      <c r="A23" s="7"/>
    </row>
  </sheetData>
  <mergeCells count="11">
    <mergeCell ref="H3:M3"/>
    <mergeCell ref="A4:A5"/>
    <mergeCell ref="C4:C5"/>
    <mergeCell ref="P4:P5"/>
    <mergeCell ref="B4:B5"/>
    <mergeCell ref="O4:O5"/>
    <mergeCell ref="N4:N5"/>
    <mergeCell ref="D4:E4"/>
    <mergeCell ref="F4:G4"/>
    <mergeCell ref="I4:J4"/>
    <mergeCell ref="K4:L4"/>
  </mergeCells>
  <conditionalFormatting sqref="D6:M20">
    <cfRule type="expression" dxfId="9" priority="7">
      <formula>OR(D6="● Complete",D6="● Not required")</formula>
    </cfRule>
    <cfRule type="expression" dxfId="8" priority="8">
      <formula>OR(D6="● In Progress",D6="● In progress",D6="● In Delivery")</formula>
    </cfRule>
    <cfRule type="expression" dxfId="7" priority="9">
      <formula>D6="● Blocked"</formula>
    </cfRule>
    <cfRule type="expression" dxfId="6" priority="10">
      <formula>OR(D6="● Not started",D6="● Paused (On Hold)")</formula>
    </cfRule>
  </conditionalFormatting>
  <conditionalFormatting sqref="N7:O11">
    <cfRule type="expression" dxfId="5" priority="6">
      <formula>OR(N7="Not recorded",N7="No current step")</formula>
    </cfRule>
  </conditionalFormatting>
  <conditionalFormatting sqref="N13:O16">
    <cfRule type="expression" dxfId="4" priority="2">
      <formula>OR(N13="Not recorded",N13="No current step")</formula>
    </cfRule>
  </conditionalFormatting>
  <conditionalFormatting sqref="N18:O20">
    <cfRule type="expression" dxfId="3" priority="1">
      <formula>OR(N18="Not recorded",N18="No current step")</formula>
    </cfRule>
  </conditionalFormatting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="Pick a value from the dropdown." xr:uid="{00000000-0002-0000-0100-000001000000}">
          <x14:formula1>
            <xm:f>Lists!$A$2:$A$6</xm:f>
          </x14:formula1>
          <xm:sqref>D7:M11 D13:M16 D18:M20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46C74"/>
    <outlinePr summaryBelow="0" summaryRight="0"/>
    <pageSetUpPr fitToPage="1"/>
  </sheetPr>
  <dimension ref="A1:G116"/>
  <sheetViews>
    <sheetView showGridLines="0" tabSelected="1" zoomScale="90" zoomScaleNormal="90" workbookViewId="0">
      <pane ySplit="3" topLeftCell="A4" activePane="bottomLeft" state="frozen"/>
      <selection pane="bottomLeft" activeCell="C21" sqref="C21"/>
    </sheetView>
  </sheetViews>
  <sheetFormatPr defaultRowHeight="14.6" outlineLevelRow="2" x14ac:dyDescent="0.4"/>
  <cols>
    <col min="1" max="1" width="14.3046875" style="45" customWidth="1"/>
    <col min="2" max="2" width="40.3828125" style="45" customWidth="1"/>
    <col min="3" max="3" width="14.4609375" style="46" customWidth="1"/>
    <col min="4" max="4" width="11.53515625" style="46" customWidth="1"/>
    <col min="5" max="5" width="10.53515625" style="46" customWidth="1"/>
    <col min="6" max="6" width="29.07421875" style="47" customWidth="1"/>
    <col min="7" max="7" width="13.3828125" style="45" customWidth="1"/>
    <col min="8" max="16384" width="9.23046875" style="45"/>
  </cols>
  <sheetData>
    <row r="1" spans="1:7" ht="20.149999999999999" customHeight="1" x14ac:dyDescent="0.4">
      <c r="A1" s="44" t="s">
        <v>26</v>
      </c>
    </row>
    <row r="3" spans="1:7" ht="24" customHeight="1" x14ac:dyDescent="0.4">
      <c r="A3" s="4" t="s">
        <v>27</v>
      </c>
      <c r="B3" s="4" t="s">
        <v>28</v>
      </c>
      <c r="C3" s="4" t="s">
        <v>29</v>
      </c>
      <c r="D3" s="4" t="s">
        <v>30</v>
      </c>
      <c r="E3" s="4" t="s">
        <v>1</v>
      </c>
      <c r="F3" s="4" t="s">
        <v>8</v>
      </c>
      <c r="G3" s="4" t="s">
        <v>6</v>
      </c>
    </row>
    <row r="4" spans="1:7" ht="22" customHeight="1" x14ac:dyDescent="0.4">
      <c r="A4" s="54" t="str">
        <f ca="1">"Contract 1   —   "&amp;(COUNTIF($E$6:$E$51,"Open")+COUNTIF($E$6:$E$51,"In progress")+COUNTIF($E$6:$E$51,"Blocked"))&amp;" open · "&amp;COUNTIF($G$6:$G$51,"Overdue")&amp;" overdue"</f>
        <v>Contract 1   —   0 open · 0 overdue</v>
      </c>
      <c r="B4" s="55"/>
      <c r="C4" s="55"/>
      <c r="D4" s="55"/>
      <c r="E4" s="55"/>
      <c r="F4" s="55"/>
      <c r="G4" s="56"/>
    </row>
    <row r="5" spans="1:7" ht="22" customHeight="1" outlineLevel="1" x14ac:dyDescent="0.4">
      <c r="A5" s="48" t="str">
        <f ca="1">"Contract 1 · Contract-level   —   "&amp;(COUNTIF($E$6:$E$11,"Open")+COUNTIF($E$6:$E$11,"In progress")+COUNTIF($E$6:$E$11,"Blocked"))&amp;" open · "&amp;COUNTIF($G$6:$G$11,"Overdue")&amp;" overdue"</f>
        <v>Contract 1 · Contract-level   —   0 open · 0 overdue</v>
      </c>
      <c r="B5" s="49"/>
      <c r="C5" s="49"/>
      <c r="D5" s="49"/>
      <c r="E5" s="49"/>
      <c r="F5" s="49"/>
      <c r="G5" s="50"/>
    </row>
    <row r="6" spans="1:7" ht="20.05" customHeight="1" outlineLevel="2" x14ac:dyDescent="0.4">
      <c r="A6" s="16"/>
      <c r="B6" s="16"/>
      <c r="C6" s="12"/>
      <c r="D6" s="43"/>
      <c r="E6" s="14"/>
      <c r="F6" s="13"/>
      <c r="G6" s="17" t="str">
        <f ca="1">IF(AND(B6&lt;&gt;"",D6&lt;&gt;"",OR(E6="Open",E6="In progress",E6="Blocked")),IF(D6&lt;TODAY(),"Overdue",""),"")</f>
        <v/>
      </c>
    </row>
    <row r="7" spans="1:7" ht="20.05" customHeight="1" outlineLevel="2" x14ac:dyDescent="0.4">
      <c r="A7" s="16"/>
      <c r="B7" s="16"/>
      <c r="C7" s="12"/>
      <c r="D7" s="43"/>
      <c r="E7" s="14"/>
      <c r="F7" s="13"/>
      <c r="G7" s="17" t="str">
        <f t="shared" ref="G7:G11" ca="1" si="0">IF(AND(B7&lt;&gt;"",D7&lt;&gt;"",OR(E7="Open",E7="In progress",E7="Blocked")),IF(D7&lt;TODAY(),"Overdue",""),"")</f>
        <v/>
      </c>
    </row>
    <row r="8" spans="1:7" ht="20.05" customHeight="1" outlineLevel="2" x14ac:dyDescent="0.4">
      <c r="A8" s="16"/>
      <c r="B8" s="16"/>
      <c r="C8" s="12"/>
      <c r="D8" s="43"/>
      <c r="E8" s="14"/>
      <c r="F8" s="13"/>
      <c r="G8" s="17" t="str">
        <f t="shared" ca="1" si="0"/>
        <v/>
      </c>
    </row>
    <row r="9" spans="1:7" ht="20.05" customHeight="1" outlineLevel="2" x14ac:dyDescent="0.4">
      <c r="A9" s="16"/>
      <c r="B9" s="16"/>
      <c r="C9" s="12"/>
      <c r="D9" s="43"/>
      <c r="E9" s="14"/>
      <c r="F9" s="13"/>
      <c r="G9" s="17" t="str">
        <f t="shared" ca="1" si="0"/>
        <v/>
      </c>
    </row>
    <row r="10" spans="1:7" ht="20.05" customHeight="1" outlineLevel="2" x14ac:dyDescent="0.4">
      <c r="A10" s="16"/>
      <c r="B10" s="16"/>
      <c r="C10" s="12"/>
      <c r="D10" s="43"/>
      <c r="E10" s="14"/>
      <c r="F10" s="13"/>
      <c r="G10" s="17" t="str">
        <f t="shared" ca="1" si="0"/>
        <v/>
      </c>
    </row>
    <row r="11" spans="1:7" ht="20.05" customHeight="1" outlineLevel="2" x14ac:dyDescent="0.4">
      <c r="A11" s="16"/>
      <c r="B11" s="16"/>
      <c r="C11" s="12"/>
      <c r="D11" s="43"/>
      <c r="E11" s="14"/>
      <c r="F11" s="13"/>
      <c r="G11" s="17" t="str">
        <f t="shared" ca="1" si="0"/>
        <v/>
      </c>
    </row>
    <row r="12" spans="1:7" ht="22" customHeight="1" outlineLevel="1" x14ac:dyDescent="0.4">
      <c r="A12" s="48" t="str">
        <f ca="1">"Contract 1 · Initiative 1   —   "&amp;(COUNTIF($E$13:$E$22,"Open")+COUNTIF($E$13:$E$22,"In progress")+COUNTIF($E$13:$E$22,"Blocked"))&amp;" open · "&amp;COUNTIF($G$13:$G$22,"Overdue")&amp;" overdue"</f>
        <v>Contract 1 · Initiative 1   —   0 open · 0 overdue</v>
      </c>
      <c r="B12" s="49"/>
      <c r="C12" s="49"/>
      <c r="D12" s="49"/>
      <c r="E12" s="49"/>
      <c r="F12" s="49"/>
      <c r="G12" s="50"/>
    </row>
    <row r="13" spans="1:7" ht="20.05" customHeight="1" outlineLevel="2" x14ac:dyDescent="0.4">
      <c r="A13" s="16"/>
      <c r="B13" s="16"/>
      <c r="C13" s="12"/>
      <c r="D13" s="43"/>
      <c r="E13" s="14"/>
      <c r="F13" s="13"/>
      <c r="G13" s="17" t="str">
        <f ca="1">IF(AND(B13&lt;&gt;"",D13&lt;&gt;"",OR(E13="Open",E13="In progress",E13="Blocked")),IF(D13&lt;TODAY(),"Overdue",""),"")</f>
        <v/>
      </c>
    </row>
    <row r="14" spans="1:7" ht="20.05" customHeight="1" outlineLevel="2" x14ac:dyDescent="0.4">
      <c r="A14" s="16"/>
      <c r="B14" s="16"/>
      <c r="C14" s="12"/>
      <c r="D14" s="43"/>
      <c r="E14" s="14"/>
      <c r="F14" s="13"/>
      <c r="G14" s="17" t="str">
        <f t="shared" ref="G14:G22" ca="1" si="1">IF(AND(B14&lt;&gt;"",D14&lt;&gt;"",OR(E14="Open",E14="In progress",E14="Blocked")),IF(D14&lt;TODAY(),"Overdue",""),"")</f>
        <v/>
      </c>
    </row>
    <row r="15" spans="1:7" ht="20.05" customHeight="1" outlineLevel="2" x14ac:dyDescent="0.4">
      <c r="A15" s="16"/>
      <c r="B15" s="16"/>
      <c r="C15" s="12"/>
      <c r="D15" s="43"/>
      <c r="E15" s="14"/>
      <c r="F15" s="13"/>
      <c r="G15" s="17" t="str">
        <f t="shared" ca="1" si="1"/>
        <v/>
      </c>
    </row>
    <row r="16" spans="1:7" ht="20.05" customHeight="1" outlineLevel="2" x14ac:dyDescent="0.4">
      <c r="A16" s="16"/>
      <c r="B16" s="16"/>
      <c r="C16" s="12"/>
      <c r="D16" s="43"/>
      <c r="E16" s="14"/>
      <c r="F16" s="13"/>
      <c r="G16" s="17" t="str">
        <f t="shared" ca="1" si="1"/>
        <v/>
      </c>
    </row>
    <row r="17" spans="1:7" ht="20.05" customHeight="1" outlineLevel="2" x14ac:dyDescent="0.4">
      <c r="A17" s="16"/>
      <c r="B17" s="16"/>
      <c r="C17" s="12"/>
      <c r="D17" s="43"/>
      <c r="E17" s="14"/>
      <c r="F17" s="13"/>
      <c r="G17" s="17" t="str">
        <f t="shared" ca="1" si="1"/>
        <v/>
      </c>
    </row>
    <row r="18" spans="1:7" ht="20.05" customHeight="1" outlineLevel="2" x14ac:dyDescent="0.4">
      <c r="A18" s="16"/>
      <c r="B18" s="16"/>
      <c r="C18" s="12"/>
      <c r="D18" s="43"/>
      <c r="E18" s="14"/>
      <c r="F18" s="13"/>
      <c r="G18" s="17" t="str">
        <f t="shared" ca="1" si="1"/>
        <v/>
      </c>
    </row>
    <row r="19" spans="1:7" ht="20.05" customHeight="1" outlineLevel="2" x14ac:dyDescent="0.4">
      <c r="A19" s="16"/>
      <c r="B19" s="16"/>
      <c r="C19" s="12"/>
      <c r="D19" s="43"/>
      <c r="E19" s="14"/>
      <c r="F19" s="13"/>
      <c r="G19" s="17" t="str">
        <f t="shared" ca="1" si="1"/>
        <v/>
      </c>
    </row>
    <row r="20" spans="1:7" ht="20.05" customHeight="1" outlineLevel="2" x14ac:dyDescent="0.4">
      <c r="A20" s="16"/>
      <c r="B20" s="16"/>
      <c r="C20" s="12"/>
      <c r="D20" s="43"/>
      <c r="E20" s="14"/>
      <c r="F20" s="13"/>
      <c r="G20" s="17" t="str">
        <f t="shared" ca="1" si="1"/>
        <v/>
      </c>
    </row>
    <row r="21" spans="1:7" ht="20.05" customHeight="1" outlineLevel="2" x14ac:dyDescent="0.4">
      <c r="A21" s="16"/>
      <c r="B21" s="16"/>
      <c r="C21" s="12"/>
      <c r="D21" s="43"/>
      <c r="E21" s="14"/>
      <c r="F21" s="13"/>
      <c r="G21" s="17" t="str">
        <f t="shared" ca="1" si="1"/>
        <v/>
      </c>
    </row>
    <row r="22" spans="1:7" ht="20.05" customHeight="1" outlineLevel="2" x14ac:dyDescent="0.4">
      <c r="A22" s="16"/>
      <c r="B22" s="16"/>
      <c r="C22" s="12"/>
      <c r="D22" s="43"/>
      <c r="E22" s="14"/>
      <c r="F22" s="13"/>
      <c r="G22" s="17" t="str">
        <f t="shared" ca="1" si="1"/>
        <v/>
      </c>
    </row>
    <row r="23" spans="1:7" ht="22" customHeight="1" outlineLevel="1" x14ac:dyDescent="0.4">
      <c r="A23" s="48" t="str">
        <f ca="1">"Contract 1 · Initiative 2   —   "&amp;(COUNTIF($E$24:$E$33,"Open")+COUNTIF($E$24:$E$33,"In progress")+COUNTIF($E$24:$E$33,"Blocked"))&amp;" open · "&amp;COUNTIF($G$24:$G$33,"Overdue")&amp;" overdue"</f>
        <v>Contract 1 · Initiative 2   —   0 open · 0 overdue</v>
      </c>
      <c r="B23" s="49"/>
      <c r="C23" s="49"/>
      <c r="D23" s="49"/>
      <c r="E23" s="49"/>
      <c r="F23" s="49"/>
      <c r="G23" s="50"/>
    </row>
    <row r="24" spans="1:7" ht="20.05" customHeight="1" outlineLevel="2" x14ac:dyDescent="0.4">
      <c r="A24" s="16"/>
      <c r="B24" s="16"/>
      <c r="C24" s="12"/>
      <c r="D24" s="43"/>
      <c r="E24" s="14"/>
      <c r="F24" s="13"/>
      <c r="G24" s="17" t="str">
        <f ca="1">IF(AND(B24&lt;&gt;"",D24&lt;&gt;"",OR(E24="Open",E24="In progress",E24="Blocked")),IF(D24&lt;TODAY(),"Overdue",""),"")</f>
        <v/>
      </c>
    </row>
    <row r="25" spans="1:7" ht="20.05" customHeight="1" outlineLevel="2" x14ac:dyDescent="0.4">
      <c r="A25" s="16"/>
      <c r="B25" s="16"/>
      <c r="C25" s="12"/>
      <c r="D25" s="43"/>
      <c r="E25" s="14"/>
      <c r="F25" s="13"/>
      <c r="G25" s="17" t="str">
        <f t="shared" ref="G25:G33" ca="1" si="2">IF(AND(B25&lt;&gt;"",D25&lt;&gt;"",OR(E25="Open",E25="In progress",E25="Blocked")),IF(D25&lt;TODAY(),"Overdue",""),"")</f>
        <v/>
      </c>
    </row>
    <row r="26" spans="1:7" ht="20.05" customHeight="1" outlineLevel="2" x14ac:dyDescent="0.4">
      <c r="A26" s="16"/>
      <c r="B26" s="16"/>
      <c r="C26" s="12"/>
      <c r="D26" s="43"/>
      <c r="E26" s="14"/>
      <c r="F26" s="13"/>
      <c r="G26" s="17" t="str">
        <f t="shared" ca="1" si="2"/>
        <v/>
      </c>
    </row>
    <row r="27" spans="1:7" ht="20.05" customHeight="1" outlineLevel="2" x14ac:dyDescent="0.4">
      <c r="A27" s="16"/>
      <c r="B27" s="16"/>
      <c r="C27" s="12"/>
      <c r="D27" s="43"/>
      <c r="E27" s="14"/>
      <c r="F27" s="13"/>
      <c r="G27" s="17" t="str">
        <f t="shared" ca="1" si="2"/>
        <v/>
      </c>
    </row>
    <row r="28" spans="1:7" ht="20.05" customHeight="1" outlineLevel="2" x14ac:dyDescent="0.4">
      <c r="A28" s="16"/>
      <c r="B28" s="16"/>
      <c r="C28" s="12"/>
      <c r="D28" s="43"/>
      <c r="E28" s="14"/>
      <c r="F28" s="13"/>
      <c r="G28" s="17" t="str">
        <f t="shared" ca="1" si="2"/>
        <v/>
      </c>
    </row>
    <row r="29" spans="1:7" ht="20.05" customHeight="1" outlineLevel="2" x14ac:dyDescent="0.4">
      <c r="A29" s="16"/>
      <c r="B29" s="16"/>
      <c r="C29" s="12"/>
      <c r="D29" s="43"/>
      <c r="E29" s="14"/>
      <c r="F29" s="13"/>
      <c r="G29" s="17" t="str">
        <f t="shared" ca="1" si="2"/>
        <v/>
      </c>
    </row>
    <row r="30" spans="1:7" ht="20.05" customHeight="1" outlineLevel="2" x14ac:dyDescent="0.4">
      <c r="A30" s="16"/>
      <c r="B30" s="16"/>
      <c r="C30" s="12"/>
      <c r="D30" s="43"/>
      <c r="E30" s="14"/>
      <c r="F30" s="13"/>
      <c r="G30" s="17" t="str">
        <f t="shared" ca="1" si="2"/>
        <v/>
      </c>
    </row>
    <row r="31" spans="1:7" ht="20.05" customHeight="1" outlineLevel="2" x14ac:dyDescent="0.4">
      <c r="A31" s="16"/>
      <c r="B31" s="16"/>
      <c r="C31" s="12"/>
      <c r="D31" s="43"/>
      <c r="E31" s="14"/>
      <c r="F31" s="13"/>
      <c r="G31" s="17" t="str">
        <f t="shared" ca="1" si="2"/>
        <v/>
      </c>
    </row>
    <row r="32" spans="1:7" ht="20.05" customHeight="1" outlineLevel="2" x14ac:dyDescent="0.4">
      <c r="A32" s="16"/>
      <c r="B32" s="16"/>
      <c r="C32" s="12"/>
      <c r="D32" s="43"/>
      <c r="E32" s="14"/>
      <c r="F32" s="13"/>
      <c r="G32" s="17" t="str">
        <f t="shared" ca="1" si="2"/>
        <v/>
      </c>
    </row>
    <row r="33" spans="1:7" ht="20.05" customHeight="1" outlineLevel="2" x14ac:dyDescent="0.4">
      <c r="A33" s="16"/>
      <c r="B33" s="16"/>
      <c r="C33" s="12"/>
      <c r="D33" s="43"/>
      <c r="E33" s="14"/>
      <c r="F33" s="13"/>
      <c r="G33" s="17" t="str">
        <f t="shared" ca="1" si="2"/>
        <v/>
      </c>
    </row>
    <row r="34" spans="1:7" ht="22" customHeight="1" outlineLevel="1" x14ac:dyDescent="0.4">
      <c r="A34" s="48" t="str">
        <f ca="1">"Contract 1 · Initiative 3   —   "&amp;(COUNTIF($E$35:$E$44,"Open")+COUNTIF($E$35:$E$44,"In progress")+COUNTIF($E$35:$E$44,"Blocked"))&amp;" open · "&amp;COUNTIF($G$35:$G$44,"Overdue")&amp;" overdue"</f>
        <v>Contract 1 · Initiative 3   —   0 open · 0 overdue</v>
      </c>
      <c r="B34" s="49"/>
      <c r="C34" s="49"/>
      <c r="D34" s="49"/>
      <c r="E34" s="49"/>
      <c r="F34" s="49"/>
      <c r="G34" s="50"/>
    </row>
    <row r="35" spans="1:7" ht="20.05" customHeight="1" outlineLevel="2" x14ac:dyDescent="0.4">
      <c r="A35" s="16"/>
      <c r="B35" s="16"/>
      <c r="C35" s="12"/>
      <c r="D35" s="43"/>
      <c r="E35" s="14"/>
      <c r="F35" s="13"/>
      <c r="G35" s="17" t="str">
        <f ca="1">IF(AND(B35&lt;&gt;"",D35&lt;&gt;"",OR(E35="Open",E35="In progress",E35="Blocked")),IF(D35&lt;TODAY(),"Overdue",""),"")</f>
        <v/>
      </c>
    </row>
    <row r="36" spans="1:7" ht="20.05" customHeight="1" outlineLevel="2" x14ac:dyDescent="0.4">
      <c r="A36" s="16"/>
      <c r="B36" s="16"/>
      <c r="C36" s="12"/>
      <c r="D36" s="43"/>
      <c r="E36" s="14"/>
      <c r="F36" s="13"/>
      <c r="G36" s="17" t="str">
        <f t="shared" ref="G36:G44" ca="1" si="3">IF(AND(B36&lt;&gt;"",D36&lt;&gt;"",OR(E36="Open",E36="In progress",E36="Blocked")),IF(D36&lt;TODAY(),"Overdue",""),"")</f>
        <v/>
      </c>
    </row>
    <row r="37" spans="1:7" ht="20.05" customHeight="1" outlineLevel="2" x14ac:dyDescent="0.4">
      <c r="A37" s="16"/>
      <c r="B37" s="16"/>
      <c r="C37" s="12"/>
      <c r="D37" s="43"/>
      <c r="E37" s="14"/>
      <c r="F37" s="13"/>
      <c r="G37" s="17" t="str">
        <f t="shared" ca="1" si="3"/>
        <v/>
      </c>
    </row>
    <row r="38" spans="1:7" ht="20.05" customHeight="1" outlineLevel="2" x14ac:dyDescent="0.4">
      <c r="A38" s="16"/>
      <c r="B38" s="16"/>
      <c r="C38" s="12"/>
      <c r="D38" s="43"/>
      <c r="E38" s="14"/>
      <c r="F38" s="13"/>
      <c r="G38" s="17" t="str">
        <f t="shared" ca="1" si="3"/>
        <v/>
      </c>
    </row>
    <row r="39" spans="1:7" ht="20.05" customHeight="1" outlineLevel="2" x14ac:dyDescent="0.4">
      <c r="A39" s="16"/>
      <c r="B39" s="16"/>
      <c r="C39" s="12"/>
      <c r="D39" s="43"/>
      <c r="E39" s="14"/>
      <c r="F39" s="13"/>
      <c r="G39" s="17" t="str">
        <f t="shared" ca="1" si="3"/>
        <v/>
      </c>
    </row>
    <row r="40" spans="1:7" ht="20.05" customHeight="1" outlineLevel="2" x14ac:dyDescent="0.4">
      <c r="A40" s="16"/>
      <c r="B40" s="16"/>
      <c r="C40" s="12"/>
      <c r="D40" s="43"/>
      <c r="E40" s="14"/>
      <c r="F40" s="13"/>
      <c r="G40" s="17" t="str">
        <f t="shared" ca="1" si="3"/>
        <v/>
      </c>
    </row>
    <row r="41" spans="1:7" ht="20.05" customHeight="1" outlineLevel="2" x14ac:dyDescent="0.4">
      <c r="A41" s="16"/>
      <c r="B41" s="16"/>
      <c r="C41" s="12"/>
      <c r="D41" s="43"/>
      <c r="E41" s="14"/>
      <c r="F41" s="13"/>
      <c r="G41" s="17" t="str">
        <f t="shared" ca="1" si="3"/>
        <v/>
      </c>
    </row>
    <row r="42" spans="1:7" ht="20.05" customHeight="1" outlineLevel="2" x14ac:dyDescent="0.4">
      <c r="A42" s="16"/>
      <c r="B42" s="16"/>
      <c r="C42" s="12"/>
      <c r="D42" s="43"/>
      <c r="E42" s="14"/>
      <c r="F42" s="13"/>
      <c r="G42" s="17" t="str">
        <f t="shared" ca="1" si="3"/>
        <v/>
      </c>
    </row>
    <row r="43" spans="1:7" ht="20.05" customHeight="1" outlineLevel="2" x14ac:dyDescent="0.4">
      <c r="A43" s="16"/>
      <c r="B43" s="16"/>
      <c r="C43" s="12"/>
      <c r="D43" s="43"/>
      <c r="E43" s="14"/>
      <c r="F43" s="13"/>
      <c r="G43" s="17" t="str">
        <f t="shared" ca="1" si="3"/>
        <v/>
      </c>
    </row>
    <row r="44" spans="1:7" ht="20.05" customHeight="1" outlineLevel="2" x14ac:dyDescent="0.4">
      <c r="A44" s="16"/>
      <c r="B44" s="16"/>
      <c r="C44" s="12"/>
      <c r="D44" s="43"/>
      <c r="E44" s="14"/>
      <c r="F44" s="13"/>
      <c r="G44" s="17" t="str">
        <f t="shared" ca="1" si="3"/>
        <v/>
      </c>
    </row>
    <row r="45" spans="1:7" ht="22" customHeight="1" outlineLevel="1" x14ac:dyDescent="0.4">
      <c r="A45" s="51" t="s">
        <v>74</v>
      </c>
      <c r="B45" s="52"/>
      <c r="C45" s="52"/>
      <c r="D45" s="52"/>
      <c r="E45" s="52"/>
      <c r="F45" s="52"/>
      <c r="G45" s="53"/>
    </row>
    <row r="46" spans="1:7" ht="20.05" customHeight="1" outlineLevel="2" x14ac:dyDescent="0.4">
      <c r="A46" s="16"/>
      <c r="B46" s="16"/>
      <c r="C46" s="12"/>
      <c r="D46" s="43"/>
      <c r="E46" s="14"/>
      <c r="F46" s="13"/>
      <c r="G46" s="17" t="str">
        <f ca="1">IF(AND(B46&lt;&gt;"",D46&lt;&gt;"",OR(E46="Open",E46="In progress",E46="Blocked")),IF(D46&lt;TODAY(),"Overdue",""),"")</f>
        <v/>
      </c>
    </row>
    <row r="47" spans="1:7" ht="20.05" customHeight="1" outlineLevel="2" x14ac:dyDescent="0.4">
      <c r="A47" s="16"/>
      <c r="B47" s="16"/>
      <c r="C47" s="12"/>
      <c r="D47" s="43"/>
      <c r="E47" s="14"/>
      <c r="F47" s="13"/>
      <c r="G47" s="17" t="str">
        <f t="shared" ref="G47:G51" ca="1" si="4">IF(AND(B47&lt;&gt;"",D47&lt;&gt;"",OR(E47="Open",E47="In progress",E47="Blocked")),IF(D47&lt;TODAY(),"Overdue",""),"")</f>
        <v/>
      </c>
    </row>
    <row r="48" spans="1:7" ht="20.05" customHeight="1" outlineLevel="2" x14ac:dyDescent="0.4">
      <c r="A48" s="16"/>
      <c r="B48" s="16"/>
      <c r="C48" s="12"/>
      <c r="D48" s="43"/>
      <c r="E48" s="14"/>
      <c r="F48" s="13"/>
      <c r="G48" s="17" t="str">
        <f t="shared" ca="1" si="4"/>
        <v/>
      </c>
    </row>
    <row r="49" spans="1:7" ht="20.05" customHeight="1" outlineLevel="2" x14ac:dyDescent="0.4">
      <c r="A49" s="16"/>
      <c r="B49" s="16"/>
      <c r="C49" s="12"/>
      <c r="D49" s="43"/>
      <c r="E49" s="14"/>
      <c r="F49" s="13"/>
      <c r="G49" s="17" t="str">
        <f t="shared" ca="1" si="4"/>
        <v/>
      </c>
    </row>
    <row r="50" spans="1:7" ht="20.05" customHeight="1" outlineLevel="2" x14ac:dyDescent="0.4">
      <c r="A50" s="16"/>
      <c r="B50" s="16"/>
      <c r="C50" s="12"/>
      <c r="D50" s="43"/>
      <c r="E50" s="14"/>
      <c r="F50" s="13"/>
      <c r="G50" s="17" t="str">
        <f t="shared" ca="1" si="4"/>
        <v/>
      </c>
    </row>
    <row r="51" spans="1:7" ht="20.05" customHeight="1" outlineLevel="2" x14ac:dyDescent="0.4">
      <c r="A51" s="16"/>
      <c r="B51" s="16"/>
      <c r="C51" s="12"/>
      <c r="D51" s="43"/>
      <c r="E51" s="14"/>
      <c r="F51" s="13"/>
      <c r="G51" s="17" t="str">
        <f t="shared" ca="1" si="4"/>
        <v/>
      </c>
    </row>
    <row r="53" spans="1:7" ht="22" customHeight="1" x14ac:dyDescent="0.4">
      <c r="A53" s="54" t="str">
        <f ca="1">"Contract 2   —   "&amp;(COUNTIF($E$55:$E$89,"Open")+COUNTIF($E$55:$E$89,"In progress")+COUNTIF($E$55:$E$89,"Blocked"))&amp;" open · "&amp;COUNTIF($G$55:$G$89,"Overdue")&amp;" overdue"</f>
        <v>Contract 2   —   0 open · 0 overdue</v>
      </c>
      <c r="B53" s="55"/>
      <c r="C53" s="55"/>
      <c r="D53" s="55"/>
      <c r="E53" s="55"/>
      <c r="F53" s="55"/>
      <c r="G53" s="56"/>
    </row>
    <row r="54" spans="1:7" ht="22" customHeight="1" outlineLevel="1" x14ac:dyDescent="0.4">
      <c r="A54" s="48" t="str">
        <f ca="1">"Contract 2 · Contract-level   —   "&amp;(COUNTIF($E$55:$E$60,"Open")+COUNTIF($E$55:$E$60,"In progress")+COUNTIF($E$55:$E$60,"Blocked"))&amp;" open · "&amp;COUNTIF($G$55:$G$60,"Overdue")&amp;" overdue"</f>
        <v>Contract 2 · Contract-level   —   0 open · 0 overdue</v>
      </c>
      <c r="B54" s="49"/>
      <c r="C54" s="49"/>
      <c r="D54" s="49"/>
      <c r="E54" s="49"/>
      <c r="F54" s="49"/>
      <c r="G54" s="50"/>
    </row>
    <row r="55" spans="1:7" ht="20.05" customHeight="1" outlineLevel="2" x14ac:dyDescent="0.4">
      <c r="A55" s="16"/>
      <c r="B55" s="16"/>
      <c r="C55" s="12"/>
      <c r="D55" s="43"/>
      <c r="E55" s="14"/>
      <c r="F55" s="13"/>
      <c r="G55" s="17" t="str">
        <f ca="1">IF(AND(B55&lt;&gt;"",D55&lt;&gt;"",OR(E55="Open",E55="In progress",E55="Blocked")),IF(D55&lt;TODAY(),"Overdue",""),"")</f>
        <v/>
      </c>
    </row>
    <row r="56" spans="1:7" ht="20.05" customHeight="1" outlineLevel="2" x14ac:dyDescent="0.4">
      <c r="A56" s="16"/>
      <c r="B56" s="16"/>
      <c r="C56" s="12"/>
      <c r="D56" s="43"/>
      <c r="E56" s="14"/>
      <c r="F56" s="13"/>
      <c r="G56" s="17" t="str">
        <f t="shared" ref="G56:G60" ca="1" si="5">IF(AND(B56&lt;&gt;"",D56&lt;&gt;"",OR(E56="Open",E56="In progress",E56="Blocked")),IF(D56&lt;TODAY(),"Overdue",""),"")</f>
        <v/>
      </c>
    </row>
    <row r="57" spans="1:7" ht="20.05" customHeight="1" outlineLevel="2" x14ac:dyDescent="0.4">
      <c r="A57" s="16"/>
      <c r="B57" s="16"/>
      <c r="C57" s="12"/>
      <c r="D57" s="43"/>
      <c r="E57" s="14"/>
      <c r="F57" s="13"/>
      <c r="G57" s="17" t="str">
        <f t="shared" ca="1" si="5"/>
        <v/>
      </c>
    </row>
    <row r="58" spans="1:7" ht="20.05" customHeight="1" outlineLevel="2" x14ac:dyDescent="0.4">
      <c r="A58" s="16"/>
      <c r="B58" s="16"/>
      <c r="C58" s="12"/>
      <c r="D58" s="43"/>
      <c r="E58" s="14"/>
      <c r="F58" s="13"/>
      <c r="G58" s="17" t="str">
        <f t="shared" ca="1" si="5"/>
        <v/>
      </c>
    </row>
    <row r="59" spans="1:7" ht="20.05" customHeight="1" outlineLevel="2" x14ac:dyDescent="0.4">
      <c r="A59" s="16"/>
      <c r="B59" s="16"/>
      <c r="C59" s="12"/>
      <c r="D59" s="43"/>
      <c r="E59" s="14"/>
      <c r="F59" s="13"/>
      <c r="G59" s="17" t="str">
        <f t="shared" ca="1" si="5"/>
        <v/>
      </c>
    </row>
    <row r="60" spans="1:7" ht="20.05" customHeight="1" outlineLevel="2" x14ac:dyDescent="0.4">
      <c r="A60" s="16"/>
      <c r="B60" s="16"/>
      <c r="C60" s="12"/>
      <c r="D60" s="43"/>
      <c r="E60" s="14"/>
      <c r="F60" s="13"/>
      <c r="G60" s="17" t="str">
        <f t="shared" ca="1" si="5"/>
        <v/>
      </c>
    </row>
    <row r="61" spans="1:7" ht="22" customHeight="1" outlineLevel="1" x14ac:dyDescent="0.4">
      <c r="A61" s="48" t="str">
        <f ca="1">"Contract 2 · Initiative 1   —   "&amp;(COUNTIF($E$62:$E$71,"Open")+COUNTIF($E$62:$E$71,"In progress")+COUNTIF($E$62:$E$71,"Blocked"))&amp;" open · "&amp;COUNTIF($G$62:$G$71,"Overdue")&amp;" overdue"</f>
        <v>Contract 2 · Initiative 1   —   0 open · 0 overdue</v>
      </c>
      <c r="B61" s="49"/>
      <c r="C61" s="49"/>
      <c r="D61" s="49"/>
      <c r="E61" s="49"/>
      <c r="F61" s="49"/>
      <c r="G61" s="50"/>
    </row>
    <row r="62" spans="1:7" ht="20.05" customHeight="1" outlineLevel="2" x14ac:dyDescent="0.4">
      <c r="A62" s="16"/>
      <c r="B62" s="16"/>
      <c r="C62" s="12"/>
      <c r="D62" s="43"/>
      <c r="E62" s="14"/>
      <c r="F62" s="13"/>
      <c r="G62" s="17" t="str">
        <f ca="1">IF(AND(B62&lt;&gt;"",D62&lt;&gt;"",OR(E62="Open",E62="In progress",E62="Blocked")),IF(D62&lt;TODAY(),"Overdue",""),"")</f>
        <v/>
      </c>
    </row>
    <row r="63" spans="1:7" ht="20.05" customHeight="1" outlineLevel="2" x14ac:dyDescent="0.4">
      <c r="A63" s="16"/>
      <c r="B63" s="16"/>
      <c r="C63" s="12"/>
      <c r="D63" s="43"/>
      <c r="E63" s="14"/>
      <c r="F63" s="13"/>
      <c r="G63" s="17" t="str">
        <f t="shared" ref="G63:G71" ca="1" si="6">IF(AND(B63&lt;&gt;"",D63&lt;&gt;"",OR(E63="Open",E63="In progress",E63="Blocked")),IF(D63&lt;TODAY(),"Overdue",""),"")</f>
        <v/>
      </c>
    </row>
    <row r="64" spans="1:7" ht="20.05" customHeight="1" outlineLevel="2" x14ac:dyDescent="0.4">
      <c r="A64" s="16"/>
      <c r="B64" s="16"/>
      <c r="C64" s="12"/>
      <c r="D64" s="43"/>
      <c r="E64" s="14"/>
      <c r="F64" s="13"/>
      <c r="G64" s="17" t="str">
        <f t="shared" ca="1" si="6"/>
        <v/>
      </c>
    </row>
    <row r="65" spans="1:7" ht="20.05" customHeight="1" outlineLevel="2" x14ac:dyDescent="0.4">
      <c r="A65" s="16"/>
      <c r="B65" s="16"/>
      <c r="C65" s="12"/>
      <c r="D65" s="43"/>
      <c r="E65" s="14"/>
      <c r="F65" s="13"/>
      <c r="G65" s="17" t="str">
        <f t="shared" ca="1" si="6"/>
        <v/>
      </c>
    </row>
    <row r="66" spans="1:7" ht="20.05" customHeight="1" outlineLevel="2" x14ac:dyDescent="0.4">
      <c r="A66" s="16"/>
      <c r="B66" s="16"/>
      <c r="C66" s="12"/>
      <c r="D66" s="43"/>
      <c r="E66" s="14"/>
      <c r="F66" s="13"/>
      <c r="G66" s="17" t="str">
        <f t="shared" ca="1" si="6"/>
        <v/>
      </c>
    </row>
    <row r="67" spans="1:7" ht="20.05" customHeight="1" outlineLevel="2" x14ac:dyDescent="0.4">
      <c r="A67" s="16"/>
      <c r="B67" s="16"/>
      <c r="C67" s="12"/>
      <c r="D67" s="43"/>
      <c r="E67" s="14"/>
      <c r="F67" s="13"/>
      <c r="G67" s="17" t="str">
        <f t="shared" ca="1" si="6"/>
        <v/>
      </c>
    </row>
    <row r="68" spans="1:7" ht="20.05" customHeight="1" outlineLevel="2" x14ac:dyDescent="0.4">
      <c r="A68" s="16"/>
      <c r="B68" s="16"/>
      <c r="C68" s="12"/>
      <c r="D68" s="43"/>
      <c r="E68" s="14"/>
      <c r="F68" s="13"/>
      <c r="G68" s="17" t="str">
        <f t="shared" ca="1" si="6"/>
        <v/>
      </c>
    </row>
    <row r="69" spans="1:7" ht="20.05" customHeight="1" outlineLevel="2" x14ac:dyDescent="0.4">
      <c r="A69" s="16"/>
      <c r="B69" s="16"/>
      <c r="C69" s="12"/>
      <c r="D69" s="43"/>
      <c r="E69" s="14"/>
      <c r="F69" s="13"/>
      <c r="G69" s="17" t="str">
        <f t="shared" ca="1" si="6"/>
        <v/>
      </c>
    </row>
    <row r="70" spans="1:7" ht="20.05" customHeight="1" outlineLevel="2" x14ac:dyDescent="0.4">
      <c r="A70" s="16"/>
      <c r="B70" s="16"/>
      <c r="C70" s="12"/>
      <c r="D70" s="43"/>
      <c r="E70" s="14"/>
      <c r="F70" s="13"/>
      <c r="G70" s="17" t="str">
        <f t="shared" ca="1" si="6"/>
        <v/>
      </c>
    </row>
    <row r="71" spans="1:7" ht="20.05" customHeight="1" outlineLevel="2" x14ac:dyDescent="0.4">
      <c r="A71" s="16"/>
      <c r="B71" s="16"/>
      <c r="C71" s="12"/>
      <c r="D71" s="43"/>
      <c r="E71" s="14"/>
      <c r="F71" s="13"/>
      <c r="G71" s="17" t="str">
        <f t="shared" ca="1" si="6"/>
        <v/>
      </c>
    </row>
    <row r="72" spans="1:7" ht="22" customHeight="1" outlineLevel="1" x14ac:dyDescent="0.4">
      <c r="A72" s="48" t="str">
        <f ca="1">"Contract 2 · Initiative 2   —   "&amp;(COUNTIF($E$73:$E$82,"Open")+COUNTIF($E$73:$E$82,"In progress")+COUNTIF($E$73:$E$82,"Blocked"))&amp;" open · "&amp;COUNTIF($G$73:$G$82,"Overdue")&amp;" overdue"</f>
        <v>Contract 2 · Initiative 2   —   0 open · 0 overdue</v>
      </c>
      <c r="B72" s="49"/>
      <c r="C72" s="49"/>
      <c r="D72" s="49"/>
      <c r="E72" s="49"/>
      <c r="F72" s="49"/>
      <c r="G72" s="50"/>
    </row>
    <row r="73" spans="1:7" ht="20.05" customHeight="1" outlineLevel="2" x14ac:dyDescent="0.4">
      <c r="A73" s="16"/>
      <c r="B73" s="16"/>
      <c r="C73" s="12"/>
      <c r="D73" s="43"/>
      <c r="E73" s="14"/>
      <c r="F73" s="13"/>
      <c r="G73" s="17" t="str">
        <f ca="1">IF(AND(B73&lt;&gt;"",D73&lt;&gt;"",OR(E73="Open",E73="In progress",E73="Blocked")),IF(D73&lt;TODAY(),"Overdue",""),"")</f>
        <v/>
      </c>
    </row>
    <row r="74" spans="1:7" ht="20.05" customHeight="1" outlineLevel="2" x14ac:dyDescent="0.4">
      <c r="A74" s="16"/>
      <c r="B74" s="16"/>
      <c r="C74" s="12"/>
      <c r="D74" s="43"/>
      <c r="E74" s="14"/>
      <c r="F74" s="13"/>
      <c r="G74" s="17" t="str">
        <f t="shared" ref="G74:G82" ca="1" si="7">IF(AND(B74&lt;&gt;"",D74&lt;&gt;"",OR(E74="Open",E74="In progress",E74="Blocked")),IF(D74&lt;TODAY(),"Overdue",""),"")</f>
        <v/>
      </c>
    </row>
    <row r="75" spans="1:7" ht="20.05" customHeight="1" outlineLevel="2" x14ac:dyDescent="0.4">
      <c r="A75" s="16"/>
      <c r="B75" s="16"/>
      <c r="C75" s="12"/>
      <c r="D75" s="43"/>
      <c r="E75" s="14"/>
      <c r="F75" s="13"/>
      <c r="G75" s="17" t="str">
        <f t="shared" ca="1" si="7"/>
        <v/>
      </c>
    </row>
    <row r="76" spans="1:7" ht="20.05" customHeight="1" outlineLevel="2" x14ac:dyDescent="0.4">
      <c r="A76" s="16"/>
      <c r="B76" s="16"/>
      <c r="C76" s="12"/>
      <c r="D76" s="43"/>
      <c r="E76" s="14"/>
      <c r="F76" s="13"/>
      <c r="G76" s="17" t="str">
        <f t="shared" ca="1" si="7"/>
        <v/>
      </c>
    </row>
    <row r="77" spans="1:7" ht="20.05" customHeight="1" outlineLevel="2" x14ac:dyDescent="0.4">
      <c r="A77" s="16"/>
      <c r="B77" s="16"/>
      <c r="C77" s="12"/>
      <c r="D77" s="43"/>
      <c r="E77" s="14"/>
      <c r="F77" s="13"/>
      <c r="G77" s="17" t="str">
        <f t="shared" ca="1" si="7"/>
        <v/>
      </c>
    </row>
    <row r="78" spans="1:7" ht="20.05" customHeight="1" outlineLevel="2" x14ac:dyDescent="0.4">
      <c r="A78" s="16"/>
      <c r="B78" s="16"/>
      <c r="C78" s="12"/>
      <c r="D78" s="43"/>
      <c r="E78" s="14"/>
      <c r="F78" s="13"/>
      <c r="G78" s="17" t="str">
        <f t="shared" ca="1" si="7"/>
        <v/>
      </c>
    </row>
    <row r="79" spans="1:7" ht="20.05" customHeight="1" outlineLevel="2" x14ac:dyDescent="0.4">
      <c r="A79" s="16"/>
      <c r="B79" s="16"/>
      <c r="C79" s="12"/>
      <c r="D79" s="43"/>
      <c r="E79" s="14"/>
      <c r="F79" s="13"/>
      <c r="G79" s="17" t="str">
        <f t="shared" ca="1" si="7"/>
        <v/>
      </c>
    </row>
    <row r="80" spans="1:7" ht="20.05" customHeight="1" outlineLevel="2" x14ac:dyDescent="0.4">
      <c r="A80" s="16"/>
      <c r="B80" s="16"/>
      <c r="C80" s="12"/>
      <c r="D80" s="43"/>
      <c r="E80" s="14"/>
      <c r="F80" s="13"/>
      <c r="G80" s="17" t="str">
        <f t="shared" ca="1" si="7"/>
        <v/>
      </c>
    </row>
    <row r="81" spans="1:7" ht="20.05" customHeight="1" outlineLevel="2" x14ac:dyDescent="0.4">
      <c r="A81" s="16"/>
      <c r="B81" s="16"/>
      <c r="C81" s="12"/>
      <c r="D81" s="43"/>
      <c r="E81" s="14"/>
      <c r="F81" s="13"/>
      <c r="G81" s="17" t="str">
        <f t="shared" ca="1" si="7"/>
        <v/>
      </c>
    </row>
    <row r="82" spans="1:7" ht="20.05" customHeight="1" outlineLevel="2" x14ac:dyDescent="0.4">
      <c r="A82" s="16"/>
      <c r="B82" s="16"/>
      <c r="C82" s="12"/>
      <c r="D82" s="43"/>
      <c r="E82" s="14"/>
      <c r="F82" s="13"/>
      <c r="G82" s="17" t="str">
        <f t="shared" ca="1" si="7"/>
        <v/>
      </c>
    </row>
    <row r="83" spans="1:7" ht="22" customHeight="1" outlineLevel="1" x14ac:dyDescent="0.4">
      <c r="A83" s="51" t="s">
        <v>75</v>
      </c>
      <c r="B83" s="52"/>
      <c r="C83" s="52"/>
      <c r="D83" s="52"/>
      <c r="E83" s="52"/>
      <c r="F83" s="52"/>
      <c r="G83" s="53"/>
    </row>
    <row r="84" spans="1:7" ht="20.05" customHeight="1" outlineLevel="2" x14ac:dyDescent="0.4">
      <c r="A84" s="16"/>
      <c r="B84" s="16"/>
      <c r="C84" s="12"/>
      <c r="D84" s="43"/>
      <c r="E84" s="14"/>
      <c r="F84" s="13"/>
      <c r="G84" s="17" t="str">
        <f ca="1">IF(AND(B84&lt;&gt;"",D84&lt;&gt;"",OR(E84="Open",E84="In progress",E84="Blocked")),IF(D84&lt;TODAY(),"Overdue",""),"")</f>
        <v/>
      </c>
    </row>
    <row r="85" spans="1:7" ht="20.05" customHeight="1" outlineLevel="2" x14ac:dyDescent="0.4">
      <c r="A85" s="16"/>
      <c r="B85" s="16"/>
      <c r="C85" s="12"/>
      <c r="D85" s="43"/>
      <c r="E85" s="14"/>
      <c r="F85" s="13"/>
      <c r="G85" s="17" t="str">
        <f t="shared" ref="G85:G89" ca="1" si="8">IF(AND(B85&lt;&gt;"",D85&lt;&gt;"",OR(E85="Open",E85="In progress",E85="Blocked")),IF(D85&lt;TODAY(),"Overdue",""),"")</f>
        <v/>
      </c>
    </row>
    <row r="86" spans="1:7" ht="20.05" customHeight="1" outlineLevel="2" x14ac:dyDescent="0.4">
      <c r="A86" s="16"/>
      <c r="B86" s="16"/>
      <c r="C86" s="12"/>
      <c r="D86" s="43"/>
      <c r="E86" s="14"/>
      <c r="F86" s="13"/>
      <c r="G86" s="17" t="str">
        <f t="shared" ca="1" si="8"/>
        <v/>
      </c>
    </row>
    <row r="87" spans="1:7" ht="20.05" customHeight="1" outlineLevel="2" x14ac:dyDescent="0.4">
      <c r="A87" s="16"/>
      <c r="B87" s="16"/>
      <c r="C87" s="12"/>
      <c r="D87" s="43"/>
      <c r="E87" s="14"/>
      <c r="F87" s="13"/>
      <c r="G87" s="17" t="str">
        <f t="shared" ca="1" si="8"/>
        <v/>
      </c>
    </row>
    <row r="88" spans="1:7" ht="20.05" customHeight="1" outlineLevel="2" x14ac:dyDescent="0.4">
      <c r="A88" s="16"/>
      <c r="B88" s="16"/>
      <c r="C88" s="12"/>
      <c r="D88" s="43"/>
      <c r="E88" s="14"/>
      <c r="F88" s="13"/>
      <c r="G88" s="17" t="str">
        <f t="shared" ca="1" si="8"/>
        <v/>
      </c>
    </row>
    <row r="89" spans="1:7" ht="20.05" customHeight="1" outlineLevel="2" x14ac:dyDescent="0.4">
      <c r="A89" s="16"/>
      <c r="B89" s="16"/>
      <c r="C89" s="12"/>
      <c r="D89" s="43"/>
      <c r="E89" s="14"/>
      <c r="F89" s="13"/>
      <c r="G89" s="17" t="str">
        <f t="shared" ca="1" si="8"/>
        <v/>
      </c>
    </row>
    <row r="91" spans="1:7" ht="22" customHeight="1" x14ac:dyDescent="0.4">
      <c r="A91" s="54" t="str">
        <f ca="1">"Contract 3   —   "&amp;(COUNTIF($E$93:$E$116,"Open")+COUNTIF($E$93:$E$116,"In progress")+COUNTIF($E$93:$E$116,"Blocked"))&amp;" open · "&amp;COUNTIF($G$93:$G$116,"Overdue")&amp;" overdue"</f>
        <v>Contract 3   —   0 open · 0 overdue</v>
      </c>
      <c r="B91" s="55"/>
      <c r="C91" s="55"/>
      <c r="D91" s="55"/>
      <c r="E91" s="55"/>
      <c r="F91" s="55"/>
      <c r="G91" s="56"/>
    </row>
    <row r="92" spans="1:7" ht="22" customHeight="1" outlineLevel="1" x14ac:dyDescent="0.4">
      <c r="A92" s="48" t="str">
        <f ca="1">"Contract 3 · Contract-level   —   "&amp;(COUNTIF($E$93:$E$98,"Open")+COUNTIF($E$93:$E$98,"In progress")+COUNTIF($E$93:$E$98,"Blocked"))&amp;" open · "&amp;COUNTIF($G$93:$G$98,"Overdue")&amp;" overdue"</f>
        <v>Contract 3 · Contract-level   —   0 open · 0 overdue</v>
      </c>
      <c r="B92" s="49"/>
      <c r="C92" s="49"/>
      <c r="D92" s="49"/>
      <c r="E92" s="49"/>
      <c r="F92" s="49"/>
      <c r="G92" s="50"/>
    </row>
    <row r="93" spans="1:7" ht="20.05" customHeight="1" outlineLevel="2" x14ac:dyDescent="0.4">
      <c r="A93" s="16"/>
      <c r="B93" s="16"/>
      <c r="C93" s="12"/>
      <c r="D93" s="43"/>
      <c r="E93" s="14"/>
      <c r="F93" s="13"/>
      <c r="G93" s="17" t="str">
        <f ca="1">IF(AND(B93&lt;&gt;"",D93&lt;&gt;"",OR(E93="Open",E93="In progress",E93="Blocked")),IF(D93&lt;TODAY(),"Overdue",""),"")</f>
        <v/>
      </c>
    </row>
    <row r="94" spans="1:7" ht="20.05" customHeight="1" outlineLevel="2" x14ac:dyDescent="0.4">
      <c r="A94" s="16"/>
      <c r="B94" s="16"/>
      <c r="C94" s="12"/>
      <c r="D94" s="43"/>
      <c r="E94" s="14"/>
      <c r="F94" s="13"/>
      <c r="G94" s="17" t="str">
        <f t="shared" ref="G94:G98" ca="1" si="9">IF(AND(B94&lt;&gt;"",D94&lt;&gt;"",OR(E94="Open",E94="In progress",E94="Blocked")),IF(D94&lt;TODAY(),"Overdue",""),"")</f>
        <v/>
      </c>
    </row>
    <row r="95" spans="1:7" ht="20.05" customHeight="1" outlineLevel="2" x14ac:dyDescent="0.4">
      <c r="A95" s="16"/>
      <c r="B95" s="16"/>
      <c r="C95" s="12"/>
      <c r="D95" s="43"/>
      <c r="E95" s="14"/>
      <c r="F95" s="13"/>
      <c r="G95" s="17" t="str">
        <f t="shared" ca="1" si="9"/>
        <v/>
      </c>
    </row>
    <row r="96" spans="1:7" ht="20.05" customHeight="1" outlineLevel="2" x14ac:dyDescent="0.4">
      <c r="A96" s="16"/>
      <c r="B96" s="16"/>
      <c r="C96" s="12"/>
      <c r="D96" s="43"/>
      <c r="E96" s="14"/>
      <c r="F96" s="13"/>
      <c r="G96" s="17" t="str">
        <f t="shared" ca="1" si="9"/>
        <v/>
      </c>
    </row>
    <row r="97" spans="1:7" ht="20.05" customHeight="1" outlineLevel="2" x14ac:dyDescent="0.4">
      <c r="A97" s="16"/>
      <c r="B97" s="16"/>
      <c r="C97" s="12"/>
      <c r="D97" s="43"/>
      <c r="E97" s="14"/>
      <c r="F97" s="13"/>
      <c r="G97" s="17" t="str">
        <f t="shared" ca="1" si="9"/>
        <v/>
      </c>
    </row>
    <row r="98" spans="1:7" ht="20.05" customHeight="1" outlineLevel="2" x14ac:dyDescent="0.4">
      <c r="A98" s="16"/>
      <c r="B98" s="16"/>
      <c r="C98" s="12"/>
      <c r="D98" s="43"/>
      <c r="E98" s="14"/>
      <c r="F98" s="13"/>
      <c r="G98" s="17" t="str">
        <f t="shared" ca="1" si="9"/>
        <v/>
      </c>
    </row>
    <row r="99" spans="1:7" ht="22" customHeight="1" outlineLevel="1" x14ac:dyDescent="0.4">
      <c r="A99" s="48" t="str">
        <f ca="1">"Contract 3 · Initiative 1   —   "&amp;(COUNTIF($E$100:$E$109,"Open")+COUNTIF($E$100:$E$109,"In progress")+COUNTIF($E$100:$E$109,"Blocked"))&amp;" open · "&amp;COUNTIF($G$100:$G$109,"Overdue")&amp;" overdue"</f>
        <v>Contract 3 · Initiative 1   —   0 open · 0 overdue</v>
      </c>
      <c r="B99" s="49"/>
      <c r="C99" s="49"/>
      <c r="D99" s="49"/>
      <c r="E99" s="49"/>
      <c r="F99" s="49"/>
      <c r="G99" s="50"/>
    </row>
    <row r="100" spans="1:7" ht="20.05" customHeight="1" outlineLevel="2" x14ac:dyDescent="0.4">
      <c r="A100" s="16"/>
      <c r="B100" s="16"/>
      <c r="C100" s="12"/>
      <c r="D100" s="43"/>
      <c r="E100" s="14"/>
      <c r="F100" s="13"/>
      <c r="G100" s="17" t="str">
        <f ca="1">IF(AND(B100&lt;&gt;"",D100&lt;&gt;"",OR(E100="Open",E100="In progress",E100="Blocked")),IF(D100&lt;TODAY(),"Overdue",""),"")</f>
        <v/>
      </c>
    </row>
    <row r="101" spans="1:7" ht="20.05" customHeight="1" outlineLevel="2" x14ac:dyDescent="0.4">
      <c r="A101" s="16"/>
      <c r="B101" s="16"/>
      <c r="C101" s="12"/>
      <c r="D101" s="43"/>
      <c r="E101" s="14"/>
      <c r="F101" s="13"/>
      <c r="G101" s="17" t="str">
        <f t="shared" ref="G101:G109" ca="1" si="10">IF(AND(B101&lt;&gt;"",D101&lt;&gt;"",OR(E101="Open",E101="In progress",E101="Blocked")),IF(D101&lt;TODAY(),"Overdue",""),"")</f>
        <v/>
      </c>
    </row>
    <row r="102" spans="1:7" ht="20.05" customHeight="1" outlineLevel="2" x14ac:dyDescent="0.4">
      <c r="A102" s="16"/>
      <c r="B102" s="16"/>
      <c r="C102" s="12"/>
      <c r="D102" s="43"/>
      <c r="E102" s="14"/>
      <c r="F102" s="13"/>
      <c r="G102" s="17" t="str">
        <f t="shared" ca="1" si="10"/>
        <v/>
      </c>
    </row>
    <row r="103" spans="1:7" ht="20.05" customHeight="1" outlineLevel="2" x14ac:dyDescent="0.4">
      <c r="A103" s="16"/>
      <c r="B103" s="16"/>
      <c r="C103" s="12"/>
      <c r="D103" s="43"/>
      <c r="E103" s="14"/>
      <c r="F103" s="13"/>
      <c r="G103" s="17" t="str">
        <f t="shared" ca="1" si="10"/>
        <v/>
      </c>
    </row>
    <row r="104" spans="1:7" ht="20.05" customHeight="1" outlineLevel="2" x14ac:dyDescent="0.4">
      <c r="A104" s="16"/>
      <c r="B104" s="16"/>
      <c r="C104" s="12"/>
      <c r="D104" s="43"/>
      <c r="E104" s="14"/>
      <c r="F104" s="13"/>
      <c r="G104" s="17" t="str">
        <f t="shared" ca="1" si="10"/>
        <v/>
      </c>
    </row>
    <row r="105" spans="1:7" ht="20.05" customHeight="1" outlineLevel="2" x14ac:dyDescent="0.4">
      <c r="A105" s="16"/>
      <c r="B105" s="16"/>
      <c r="C105" s="12"/>
      <c r="D105" s="43"/>
      <c r="E105" s="14"/>
      <c r="F105" s="13"/>
      <c r="G105" s="17" t="str">
        <f t="shared" ca="1" si="10"/>
        <v/>
      </c>
    </row>
    <row r="106" spans="1:7" ht="20.05" customHeight="1" outlineLevel="2" x14ac:dyDescent="0.4">
      <c r="A106" s="16"/>
      <c r="B106" s="16"/>
      <c r="C106" s="12"/>
      <c r="D106" s="43"/>
      <c r="E106" s="14"/>
      <c r="F106" s="13"/>
      <c r="G106" s="17" t="str">
        <f t="shared" ca="1" si="10"/>
        <v/>
      </c>
    </row>
    <row r="107" spans="1:7" ht="20.05" customHeight="1" outlineLevel="2" x14ac:dyDescent="0.4">
      <c r="A107" s="16"/>
      <c r="B107" s="16"/>
      <c r="C107" s="12"/>
      <c r="D107" s="43"/>
      <c r="E107" s="14"/>
      <c r="F107" s="13"/>
      <c r="G107" s="17" t="str">
        <f t="shared" ca="1" si="10"/>
        <v/>
      </c>
    </row>
    <row r="108" spans="1:7" ht="20.05" customHeight="1" outlineLevel="2" x14ac:dyDescent="0.4">
      <c r="A108" s="16"/>
      <c r="B108" s="16"/>
      <c r="C108" s="12"/>
      <c r="D108" s="43"/>
      <c r="E108" s="14"/>
      <c r="F108" s="13"/>
      <c r="G108" s="17" t="str">
        <f t="shared" ca="1" si="10"/>
        <v/>
      </c>
    </row>
    <row r="109" spans="1:7" ht="20.05" customHeight="1" outlineLevel="2" x14ac:dyDescent="0.4">
      <c r="A109" s="16"/>
      <c r="B109" s="16"/>
      <c r="C109" s="12"/>
      <c r="D109" s="43"/>
      <c r="E109" s="14"/>
      <c r="F109" s="13"/>
      <c r="G109" s="17" t="str">
        <f t="shared" ca="1" si="10"/>
        <v/>
      </c>
    </row>
    <row r="110" spans="1:7" ht="22" customHeight="1" outlineLevel="1" x14ac:dyDescent="0.4">
      <c r="A110" s="51" t="s">
        <v>76</v>
      </c>
      <c r="B110" s="52"/>
      <c r="C110" s="52"/>
      <c r="D110" s="52"/>
      <c r="E110" s="52"/>
      <c r="F110" s="52"/>
      <c r="G110" s="53"/>
    </row>
    <row r="111" spans="1:7" ht="20.05" customHeight="1" outlineLevel="2" x14ac:dyDescent="0.4">
      <c r="A111" s="16"/>
      <c r="B111" s="16"/>
      <c r="C111" s="12"/>
      <c r="D111" s="43"/>
      <c r="E111" s="14"/>
      <c r="F111" s="13"/>
      <c r="G111" s="17" t="str">
        <f ca="1">IF(AND(B111&lt;&gt;"",D111&lt;&gt;"",OR(E111="Open",E111="In progress",E111="Blocked")),IF(D111&lt;TODAY(),"Overdue",""),"")</f>
        <v/>
      </c>
    </row>
    <row r="112" spans="1:7" ht="20.05" customHeight="1" outlineLevel="2" x14ac:dyDescent="0.4">
      <c r="A112" s="16"/>
      <c r="B112" s="16"/>
      <c r="C112" s="12"/>
      <c r="D112" s="43"/>
      <c r="E112" s="14"/>
      <c r="F112" s="13"/>
      <c r="G112" s="17" t="str">
        <f t="shared" ref="G112:G116" ca="1" si="11">IF(AND(B112&lt;&gt;"",D112&lt;&gt;"",OR(E112="Open",E112="In progress",E112="Blocked")),IF(D112&lt;TODAY(),"Overdue",""),"")</f>
        <v/>
      </c>
    </row>
    <row r="113" spans="1:7" ht="20.05" customHeight="1" outlineLevel="2" x14ac:dyDescent="0.4">
      <c r="A113" s="16"/>
      <c r="B113" s="16"/>
      <c r="C113" s="12"/>
      <c r="D113" s="43"/>
      <c r="E113" s="14"/>
      <c r="F113" s="13"/>
      <c r="G113" s="17" t="str">
        <f t="shared" ca="1" si="11"/>
        <v/>
      </c>
    </row>
    <row r="114" spans="1:7" ht="20.05" customHeight="1" outlineLevel="2" x14ac:dyDescent="0.4">
      <c r="A114" s="16"/>
      <c r="B114" s="16"/>
      <c r="C114" s="12"/>
      <c r="D114" s="43"/>
      <c r="E114" s="14"/>
      <c r="F114" s="13"/>
      <c r="G114" s="17" t="str">
        <f t="shared" ca="1" si="11"/>
        <v/>
      </c>
    </row>
    <row r="115" spans="1:7" ht="20.05" customHeight="1" outlineLevel="2" x14ac:dyDescent="0.4">
      <c r="A115" s="16"/>
      <c r="B115" s="16"/>
      <c r="C115" s="12"/>
      <c r="D115" s="43"/>
      <c r="E115" s="14"/>
      <c r="F115" s="13"/>
      <c r="G115" s="17" t="str">
        <f t="shared" ca="1" si="11"/>
        <v/>
      </c>
    </row>
    <row r="116" spans="1:7" ht="20.05" customHeight="1" outlineLevel="2" x14ac:dyDescent="0.4">
      <c r="A116" s="16"/>
      <c r="B116" s="16"/>
      <c r="C116" s="12"/>
      <c r="D116" s="43"/>
      <c r="E116" s="14"/>
      <c r="F116" s="13"/>
      <c r="G116" s="17" t="str">
        <f t="shared" ca="1" si="11"/>
        <v/>
      </c>
    </row>
  </sheetData>
  <mergeCells count="15">
    <mergeCell ref="A45:G45"/>
    <mergeCell ref="A4:G4"/>
    <mergeCell ref="A5:G5"/>
    <mergeCell ref="A12:G12"/>
    <mergeCell ref="A23:G23"/>
    <mergeCell ref="A34:G34"/>
    <mergeCell ref="A92:G92"/>
    <mergeCell ref="A99:G99"/>
    <mergeCell ref="A110:G110"/>
    <mergeCell ref="A53:G53"/>
    <mergeCell ref="A54:G54"/>
    <mergeCell ref="A61:G61"/>
    <mergeCell ref="A72:G72"/>
    <mergeCell ref="A83:G83"/>
    <mergeCell ref="A91:G91"/>
  </mergeCells>
  <conditionalFormatting sqref="A6:F11 A13:F22 A24:F33 A35:F44 A46:F52 A55:F60 A62:F71 A73:F82 A84:F90 A93:F98 A100:F109 A111:F118 A4:A5 A12 A23 A34 A45 A53:A54 A61 A72 A83 A91:A92 A99 A110">
    <cfRule type="expression" dxfId="2" priority="81">
      <formula>OR($E4="Done",$E4="Cancelled")</formula>
    </cfRule>
  </conditionalFormatting>
  <conditionalFormatting sqref="E6:E11 E13:E22 E24:E33 E35:E44 E46:E52 E55:E60 E62:E71 E73:E82 E84:E90 E93:E98 E100:E109 E111:E118">
    <cfRule type="cellIs" dxfId="1" priority="2" operator="equal">
      <formula>"Blocked"</formula>
    </cfRule>
  </conditionalFormatting>
  <conditionalFormatting sqref="G6:G11 G13:G22 G24:G33 G35:G44 G46:G52 G55:G60 G62:G71 G73:G82 G84:G90 G93:G98 G100:G109 G111:G118">
    <cfRule type="cellIs" dxfId="0" priority="1" operator="equal">
      <formula>"Overdue"</formula>
    </cfRule>
  </conditionalFormatting>
  <dataValidations count="1">
    <dataValidation type="date" operator="greaterThan" allowBlank="1" showErrorMessage="1" error="Enter a date." sqref="D6:D11 D13:D22 D24:D33 D35:D44 D46:D52 D55:D60 D62:D71 D73:D82 D84:D90 D93:D98 D100:D109 D111:D118" xr:uid="{00000000-0002-0000-0200-000000000000}">
      <formula1>36526</formula1>
    </dataValidation>
  </dataValidations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="Pick a value from the dropdown." xr:uid="{00000000-0002-0000-0200-000002000000}">
          <x14:formula1>
            <xm:f>Lists!$D$2:$D$6</xm:f>
          </x14:formula1>
          <xm:sqref>E6:E11 E13:E22 E24:E33 E35:E44 E46:E52 E55:E60 E62:E71 E73:E82 E84:E90 E93:E98 E100:E109 E111:E118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6"/>
  <sheetViews>
    <sheetView workbookViewId="0">
      <selection activeCell="E7" sqref="E7"/>
    </sheetView>
  </sheetViews>
  <sheetFormatPr defaultRowHeight="14.6" x14ac:dyDescent="0.4"/>
  <cols>
    <col min="1" max="4" width="24.3046875" style="18" customWidth="1"/>
    <col min="5" max="5" width="26.84375" style="18" bestFit="1" customWidth="1"/>
    <col min="6" max="6" width="39.15234375" style="18" bestFit="1" customWidth="1"/>
    <col min="7" max="7" width="23.3046875" style="18" customWidth="1"/>
    <col min="8" max="16384" width="9.23046875" style="18"/>
  </cols>
  <sheetData>
    <row r="1" spans="1:7" x14ac:dyDescent="0.4">
      <c r="A1" s="19" t="s">
        <v>34</v>
      </c>
      <c r="B1" s="19" t="s">
        <v>1</v>
      </c>
      <c r="C1" s="19" t="s">
        <v>35</v>
      </c>
      <c r="D1" s="19" t="s">
        <v>36</v>
      </c>
      <c r="E1" s="19" t="s">
        <v>37</v>
      </c>
      <c r="F1" s="19" t="s">
        <v>38</v>
      </c>
      <c r="G1" s="19" t="s">
        <v>39</v>
      </c>
    </row>
    <row r="2" spans="1:7" x14ac:dyDescent="0.4">
      <c r="A2" s="20" t="s">
        <v>53</v>
      </c>
      <c r="B2" s="20" t="s">
        <v>54</v>
      </c>
      <c r="C2" s="20" t="s">
        <v>40</v>
      </c>
      <c r="D2" s="20" t="s">
        <v>41</v>
      </c>
      <c r="E2" s="20" t="s">
        <v>67</v>
      </c>
      <c r="F2" s="21" t="str">
        <f>'Delivery Overview'!R7</f>
        <v>Contract 1 · Initiative 1</v>
      </c>
      <c r="G2" s="20" t="s">
        <v>16</v>
      </c>
    </row>
    <row r="3" spans="1:7" x14ac:dyDescent="0.4">
      <c r="A3" s="22" t="s">
        <v>70</v>
      </c>
      <c r="B3" s="22" t="s">
        <v>55</v>
      </c>
      <c r="C3" s="22" t="s">
        <v>42</v>
      </c>
      <c r="D3" s="22" t="s">
        <v>43</v>
      </c>
      <c r="E3" s="22" t="s">
        <v>66</v>
      </c>
      <c r="F3" s="23" t="str">
        <f>'Delivery Overview'!R8</f>
        <v>Contract 1 · Initiative 2</v>
      </c>
      <c r="G3" s="22" t="s">
        <v>22</v>
      </c>
    </row>
    <row r="4" spans="1:7" x14ac:dyDescent="0.4">
      <c r="A4" s="22" t="s">
        <v>56</v>
      </c>
      <c r="B4" s="22" t="s">
        <v>57</v>
      </c>
      <c r="C4" s="22" t="s">
        <v>44</v>
      </c>
      <c r="D4" s="22" t="s">
        <v>45</v>
      </c>
      <c r="E4" s="22" t="s">
        <v>9</v>
      </c>
      <c r="F4" s="23" t="str">
        <f>'Delivery Overview'!R9</f>
        <v>Contract 1 · Initiative 3</v>
      </c>
      <c r="G4" s="22" t="s">
        <v>24</v>
      </c>
    </row>
    <row r="5" spans="1:7" x14ac:dyDescent="0.4">
      <c r="A5" s="22" t="s">
        <v>58</v>
      </c>
      <c r="B5" s="22" t="s">
        <v>59</v>
      </c>
      <c r="C5" s="24"/>
      <c r="D5" s="22" t="s">
        <v>46</v>
      </c>
      <c r="E5" s="22" t="s">
        <v>10</v>
      </c>
      <c r="F5" s="23" t="str">
        <f>'Delivery Overview'!R10</f>
        <v/>
      </c>
      <c r="G5" s="24"/>
    </row>
    <row r="6" spans="1:7" x14ac:dyDescent="0.4">
      <c r="A6" s="22" t="s">
        <v>60</v>
      </c>
      <c r="B6" s="22" t="s">
        <v>61</v>
      </c>
      <c r="C6" s="24"/>
      <c r="D6" s="22" t="s">
        <v>47</v>
      </c>
      <c r="E6" s="22" t="s">
        <v>72</v>
      </c>
      <c r="F6" s="23" t="str">
        <f>'Delivery Overview'!R11</f>
        <v/>
      </c>
      <c r="G6" s="24"/>
    </row>
    <row r="7" spans="1:7" x14ac:dyDescent="0.4">
      <c r="A7" s="24"/>
      <c r="B7" s="22" t="s">
        <v>62</v>
      </c>
      <c r="C7" s="24"/>
      <c r="D7" s="24"/>
      <c r="E7" s="22" t="s">
        <v>68</v>
      </c>
      <c r="F7" s="23" t="str">
        <f>'Delivery Overview'!R13</f>
        <v>Contract 2 · Initiative 1</v>
      </c>
      <c r="G7" s="24"/>
    </row>
    <row r="8" spans="1:7" x14ac:dyDescent="0.4">
      <c r="A8" s="24"/>
      <c r="B8" s="22" t="s">
        <v>63</v>
      </c>
      <c r="C8" s="24"/>
      <c r="D8" s="24"/>
      <c r="E8" s="22" t="s">
        <v>11</v>
      </c>
      <c r="F8" s="23" t="str">
        <f>'Delivery Overview'!R14</f>
        <v>Contract 2 · Initiative 2</v>
      </c>
      <c r="G8" s="24"/>
    </row>
    <row r="9" spans="1:7" x14ac:dyDescent="0.4">
      <c r="A9" s="24"/>
      <c r="B9" s="24"/>
      <c r="C9" s="24"/>
      <c r="D9" s="24"/>
      <c r="E9" s="22" t="s">
        <v>12</v>
      </c>
      <c r="F9" s="23" t="str">
        <f>'Delivery Overview'!R15</f>
        <v/>
      </c>
      <c r="G9" s="24"/>
    </row>
    <row r="10" spans="1:7" x14ac:dyDescent="0.4">
      <c r="A10" s="24"/>
      <c r="B10" s="24"/>
      <c r="C10" s="24"/>
      <c r="D10" s="24"/>
      <c r="E10" s="22" t="s">
        <v>13</v>
      </c>
      <c r="F10" s="23" t="str">
        <f>'Delivery Overview'!R16</f>
        <v/>
      </c>
      <c r="G10" s="24"/>
    </row>
    <row r="11" spans="1:7" x14ac:dyDescent="0.4">
      <c r="A11" s="24"/>
      <c r="B11" s="24"/>
      <c r="C11" s="24"/>
      <c r="D11" s="24"/>
      <c r="E11" s="22" t="s">
        <v>14</v>
      </c>
      <c r="F11" s="23" t="str">
        <f>'Delivery Overview'!R18</f>
        <v>Contract 3 · Initiative 1</v>
      </c>
      <c r="G11" s="24"/>
    </row>
    <row r="12" spans="1:7" x14ac:dyDescent="0.4">
      <c r="A12" s="24"/>
      <c r="B12" s="24"/>
      <c r="C12" s="24"/>
      <c r="D12" s="24"/>
      <c r="E12" s="24" t="s">
        <v>48</v>
      </c>
      <c r="F12" s="23" t="str">
        <f>'Delivery Overview'!R19</f>
        <v/>
      </c>
      <c r="G12" s="24"/>
    </row>
    <row r="13" spans="1:7" x14ac:dyDescent="0.4">
      <c r="A13" s="24"/>
      <c r="B13" s="24"/>
      <c r="C13" s="24"/>
      <c r="D13" s="24"/>
      <c r="E13" s="24"/>
      <c r="F13" s="23" t="str">
        <f>'Delivery Overview'!R20</f>
        <v/>
      </c>
      <c r="G13" s="24"/>
    </row>
    <row r="14" spans="1:7" x14ac:dyDescent="0.4">
      <c r="A14" s="24"/>
      <c r="B14" s="24"/>
      <c r="C14" s="24"/>
      <c r="D14" s="24"/>
      <c r="E14" s="24"/>
      <c r="F14" s="22" t="s">
        <v>31</v>
      </c>
      <c r="G14" s="24"/>
    </row>
    <row r="15" spans="1:7" x14ac:dyDescent="0.4">
      <c r="A15" s="24"/>
      <c r="B15" s="24"/>
      <c r="C15" s="24"/>
      <c r="D15" s="24"/>
      <c r="E15" s="24"/>
      <c r="F15" s="22" t="s">
        <v>32</v>
      </c>
      <c r="G15" s="24"/>
    </row>
    <row r="16" spans="1:7" x14ac:dyDescent="0.4">
      <c r="A16" s="25"/>
      <c r="B16" s="25"/>
      <c r="C16" s="25"/>
      <c r="D16" s="25"/>
      <c r="E16" s="25"/>
      <c r="F16" s="26" t="s">
        <v>33</v>
      </c>
      <c r="G16" s="2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Programme Overview</vt:lpstr>
      <vt:lpstr>Delivery Overview</vt:lpstr>
      <vt:lpstr>Actions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Strateq DX</dc:creator>
  <cp:lastModifiedBy>Strateq DX</cp:lastModifiedBy>
  <dcterms:created xsi:type="dcterms:W3CDTF">2026-09-24T12:08:05Z</dcterms:created>
  <dcterms:modified xsi:type="dcterms:W3CDTF">2026-09-25T09:19:58Z</dcterms:modified>
</cp:coreProperties>
</file>