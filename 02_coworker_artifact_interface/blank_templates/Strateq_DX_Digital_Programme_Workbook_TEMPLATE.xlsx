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Programme Overview" sheetId="1" state="visible" r:id="rId1"/>
    <sheet name="Delivery Overview" sheetId="2" state="visible" r:id="rId2"/>
    <sheet name="Actions" sheetId="3" state="visible" r:id="rId3"/>
    <sheet name="RAID" sheetId="4" state="visible" r:id="rId4"/>
    <sheet name="Lists" sheetId="5" state="hidden" r:id="rId5"/>
  </sheets>
  <definedNames>
    <definedName name="_xlnm._FilterDatabase" localSheetId="3" hidden="1">'RAID'!$A$3:$J$63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5C6A77"/>
      <sz val="10"/>
    </font>
    <font>
      <b val="1"/>
      <color rgb="FF1B2530"/>
      <sz val="14"/>
    </font>
    <font>
      <b val="1"/>
      <color rgb="FF1B2530"/>
      <sz val="12"/>
    </font>
    <font>
      <b val="1"/>
      <color rgb="FF5C6A77"/>
      <sz val="11"/>
    </font>
    <font>
      <b val="1"/>
      <color rgb="FF5C6A77"/>
      <sz val="9"/>
    </font>
    <font>
      <b val="1"/>
      <color rgb="FF0E6B68"/>
      <sz val="9"/>
    </font>
    <font>
      <i val="1"/>
      <color rgb="FF5C6A77"/>
      <sz val="10"/>
    </font>
    <font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E7ECF1"/>
      </patternFill>
    </fill>
    <fill>
      <patternFill patternType="solid">
        <fgColor rgb="FFDFE6EC"/>
      </patternFill>
    </fill>
    <fill>
      <patternFill patternType="solid">
        <fgColor rgb="FFD9ECEB"/>
      </patternFill>
    </fill>
    <fill>
      <patternFill patternType="solid">
        <fgColor rgb="FF0E6B68"/>
      </patternFill>
    </fill>
  </fills>
  <borders count="3">
    <border>
      <left/>
      <right/>
      <top/>
      <bottom/>
      <diagonal/>
    </border>
    <border>
      <bottom style="thin">
        <color rgb="FFD3DBE3"/>
      </bottom>
    </border>
    <border>
      <left style="thin">
        <color rgb="FFD3DBE3"/>
      </left>
      <right style="thin">
        <color rgb="FFD3DBE3"/>
      </right>
      <top style="thin">
        <color rgb="FFD3DBE3"/>
      </top>
      <bottom style="thin">
        <color rgb="FFD3DBE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4" borderId="1" pivotButton="0" quotePrefix="0" xfId="0"/>
    <xf numFmtId="0" fontId="5" fillId="2" borderId="1" applyAlignment="1" pivotButton="0" quotePrefix="0" xfId="0">
      <alignment horizontal="left" vertical="bottom" wrapText="1"/>
    </xf>
    <xf numFmtId="0" fontId="6" fillId="4" borderId="1" applyAlignment="1" pivotButton="0" quotePrefix="0" xfId="0">
      <alignment horizontal="left" vertical="bottom" wrapText="1"/>
    </xf>
    <xf numFmtId="0" fontId="5" fillId="2" borderId="1" applyAlignment="1" pivotButton="0" quotePrefix="0" xfId="0">
      <alignment horizontal="center" vertical="bottom" textRotation="90" wrapText="1"/>
    </xf>
    <xf numFmtId="0" fontId="3" fillId="3" borderId="0" pivotButton="0" quotePrefix="0" xfId="0"/>
    <xf numFmtId="0" fontId="0" fillId="3" borderId="0" pivotButton="0" quotePrefix="0" xfId="0"/>
    <xf numFmtId="0" fontId="7" fillId="3" borderId="0" pivotButton="0" quotePrefix="0" xfId="0"/>
    <xf numFmtId="0" fontId="0" fillId="0" borderId="1" pivotButton="0" quotePrefix="0" xfId="0"/>
    <xf numFmtId="0" fontId="3" fillId="4" borderId="0" pivotButton="0" quotePrefix="0" xfId="0"/>
    <xf numFmtId="0" fontId="0" fillId="4" borderId="0" pivotButton="0" quotePrefix="0" xfId="0"/>
    <xf numFmtId="0" fontId="7" fillId="4" borderId="0" pivotButton="0" quotePrefix="0" xfId="0"/>
    <xf numFmtId="0" fontId="1" fillId="2" borderId="1" pivotButton="0" quotePrefix="0" xfId="0"/>
    <xf numFmtId="0" fontId="1" fillId="2" borderId="0" pivotButton="0" quotePrefix="0" xfId="0"/>
    <xf numFmtId="0" fontId="8" fillId="5" borderId="2" pivotButton="0" quotePrefix="0" xfId="0"/>
    <xf numFmtId="0" fontId="0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dxfs count="11">
    <dxf>
      <font>
        <b val="1"/>
        <color rgb="FF1F9D55"/>
      </font>
      <fill>
        <patternFill patternType="solid">
          <fgColor rgb="FFE3F4EA"/>
        </patternFill>
      </fill>
    </dxf>
    <dxf>
      <font>
        <b val="1"/>
        <color rgb="FFC9820A"/>
      </font>
      <fill>
        <patternFill patternType="solid">
          <fgColor rgb="FFFBEFD6"/>
        </patternFill>
      </fill>
    </dxf>
    <dxf>
      <font>
        <b val="1"/>
        <color rgb="FFD64545"/>
      </font>
      <fill>
        <patternFill patternType="solid">
          <fgColor rgb="FFF7DCDC"/>
        </patternFill>
      </fill>
    </dxf>
    <dxf>
      <font>
        <b val="1"/>
        <color rgb="FF1F9D55"/>
      </font>
    </dxf>
    <dxf>
      <font>
        <b val="1"/>
        <color rgb="FF2F6FED"/>
      </font>
    </dxf>
    <dxf>
      <font>
        <b val="1"/>
        <color rgb="FF93A0AC"/>
      </font>
    </dxf>
    <dxf>
      <font>
        <b val="1"/>
        <color rgb="FFAAB4BD"/>
      </font>
    </dxf>
    <dxf>
      <font>
        <b val="1"/>
        <color rgb="FFD64545"/>
      </font>
    </dxf>
    <dxf>
      <font>
        <b val="1"/>
        <color rgb="FF2F6FED"/>
      </font>
      <fill>
        <patternFill patternType="solid">
          <fgColor rgb="FFE6EEFB"/>
        </patternFill>
      </fill>
    </dxf>
    <dxf>
      <font>
        <b val="1"/>
        <color rgb="FFC9820A"/>
      </font>
    </dxf>
    <dxf>
      <font>
        <b val="1"/>
        <color rgb="FF5C6A77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10" customWidth="1" min="4" max="4"/>
    <col width="22" customWidth="1" min="5" max="5"/>
  </cols>
  <sheetData>
    <row r="1">
      <c r="A1" s="1" t="inlineStr">
        <is>
          <t>Digital Programme Overview — cut-off [dd/mm/yyyy]</t>
        </is>
      </c>
    </row>
    <row r="3">
      <c r="A3" s="2" t="inlineStr">
        <is>
          <t>Programme Overview</t>
        </is>
      </c>
    </row>
    <row r="5">
      <c r="A5" s="3" t="inlineStr">
        <is>
          <t>Contract / initiative</t>
        </is>
      </c>
      <c r="B5" s="3" t="inlineStr">
        <is>
          <t>Delivery-system ref</t>
        </is>
      </c>
      <c r="C5" s="4" t="inlineStr">
        <is>
          <t>Lifecycle status</t>
        </is>
      </c>
      <c r="D5" s="4" t="inlineStr">
        <is>
          <t>RAG</t>
        </is>
      </c>
      <c r="E5" s="3" t="inlineStr">
        <is>
          <t>Current Step</t>
        </is>
      </c>
    </row>
    <row r="6">
      <c r="A6">
        <f>'Delivery Overview'!A6</f>
        <v/>
      </c>
      <c r="B6">
        <f>IF('Delivery Overview'!B6="","",'Delivery Overview'!B6)</f>
        <v/>
      </c>
      <c r="C6">
        <f>IF('Delivery Overview'!C6="","",'Delivery Overview'!C6)</f>
        <v/>
      </c>
      <c r="D6">
        <f>IF('Delivery Overview'!D6="","",'Delivery Overview'!D6)</f>
        <v/>
      </c>
      <c r="E6">
        <f>IF('Delivery Overview'!E6="","",'Delivery Overview'!E6)</f>
        <v/>
      </c>
    </row>
    <row r="7">
      <c r="A7">
        <f>'Delivery Overview'!A7</f>
        <v/>
      </c>
      <c r="B7">
        <f>IF('Delivery Overview'!B7="","",'Delivery Overview'!B7)</f>
        <v/>
      </c>
      <c r="C7">
        <f>IF('Delivery Overview'!C7="","",'Delivery Overview'!C7)</f>
        <v/>
      </c>
      <c r="D7">
        <f>IF('Delivery Overview'!D7="","",'Delivery Overview'!D7)</f>
        <v/>
      </c>
      <c r="E7">
        <f>IF('Delivery Overview'!E7="","",'Delivery Overview'!E7)</f>
        <v/>
      </c>
    </row>
    <row r="8">
      <c r="A8">
        <f>'Delivery Overview'!A8</f>
        <v/>
      </c>
      <c r="B8">
        <f>IF('Delivery Overview'!B8="","",'Delivery Overview'!B8)</f>
        <v/>
      </c>
      <c r="C8">
        <f>IF('Delivery Overview'!C8="","",'Delivery Overview'!C8)</f>
        <v/>
      </c>
      <c r="D8">
        <f>IF('Delivery Overview'!D8="","",'Delivery Overview'!D8)</f>
        <v/>
      </c>
      <c r="E8">
        <f>IF('Delivery Overview'!E8="","",'Delivery Overview'!E8)</f>
        <v/>
      </c>
    </row>
    <row r="9">
      <c r="A9">
        <f>'Delivery Overview'!A9</f>
        <v/>
      </c>
      <c r="B9">
        <f>IF('Delivery Overview'!B9="","",'Delivery Overview'!B9)</f>
        <v/>
      </c>
      <c r="C9">
        <f>IF('Delivery Overview'!C9="","",'Delivery Overview'!C9)</f>
        <v/>
      </c>
      <c r="D9">
        <f>IF('Delivery Overview'!D9="","",'Delivery Overview'!D9)</f>
        <v/>
      </c>
      <c r="E9">
        <f>IF('Delivery Overview'!E9="","",'Delivery Overview'!E9)</f>
        <v/>
      </c>
    </row>
    <row r="10">
      <c r="A10">
        <f>'Delivery Overview'!A10</f>
        <v/>
      </c>
      <c r="B10">
        <f>IF('Delivery Overview'!B10="","",'Delivery Overview'!B10)</f>
        <v/>
      </c>
      <c r="C10">
        <f>IF('Delivery Overview'!C10="","",'Delivery Overview'!C10)</f>
        <v/>
      </c>
      <c r="D10">
        <f>IF('Delivery Overview'!D10="","",'Delivery Overview'!D10)</f>
        <v/>
      </c>
      <c r="E10">
        <f>IF('Delivery Overview'!E10="","",'Delivery Overview'!E10)</f>
        <v/>
      </c>
    </row>
    <row r="11">
      <c r="A11">
        <f>'Delivery Overview'!A11</f>
        <v/>
      </c>
      <c r="B11">
        <f>IF('Delivery Overview'!B11="","",'Delivery Overview'!B11)</f>
        <v/>
      </c>
      <c r="C11">
        <f>IF('Delivery Overview'!C11="","",'Delivery Overview'!C11)</f>
        <v/>
      </c>
      <c r="D11">
        <f>IF('Delivery Overview'!D11="","",'Delivery Overview'!D11)</f>
        <v/>
      </c>
      <c r="E11">
        <f>IF('Delivery Overview'!E11="","",'Delivery Overview'!E11)</f>
        <v/>
      </c>
    </row>
    <row r="12">
      <c r="A12">
        <f>'Delivery Overview'!A12</f>
        <v/>
      </c>
      <c r="B12">
        <f>IF('Delivery Overview'!B12="","",'Delivery Overview'!B12)</f>
        <v/>
      </c>
      <c r="C12">
        <f>IF('Delivery Overview'!C12="","",'Delivery Overview'!C12)</f>
        <v/>
      </c>
      <c r="D12">
        <f>IF('Delivery Overview'!D12="","",'Delivery Overview'!D12)</f>
        <v/>
      </c>
      <c r="E12">
        <f>IF('Delivery Overview'!E12="","",'Delivery Overview'!E12)</f>
        <v/>
      </c>
    </row>
    <row r="13">
      <c r="A13">
        <f>'Delivery Overview'!A13</f>
        <v/>
      </c>
      <c r="B13">
        <f>IF('Delivery Overview'!B13="","",'Delivery Overview'!B13)</f>
        <v/>
      </c>
      <c r="C13">
        <f>IF('Delivery Overview'!C13="","",'Delivery Overview'!C13)</f>
        <v/>
      </c>
      <c r="D13">
        <f>IF('Delivery Overview'!D13="","",'Delivery Overview'!D13)</f>
        <v/>
      </c>
      <c r="E13">
        <f>IF('Delivery Overview'!E13="","",'Delivery Overview'!E13)</f>
        <v/>
      </c>
    </row>
    <row r="14">
      <c r="A14">
        <f>'Delivery Overview'!A14</f>
        <v/>
      </c>
      <c r="B14">
        <f>IF('Delivery Overview'!B14="","",'Delivery Overview'!B14)</f>
        <v/>
      </c>
      <c r="C14">
        <f>IF('Delivery Overview'!C14="","",'Delivery Overview'!C14)</f>
        <v/>
      </c>
      <c r="D14">
        <f>IF('Delivery Overview'!D14="","",'Delivery Overview'!D14)</f>
        <v/>
      </c>
      <c r="E14">
        <f>IF('Delivery Overview'!E14="","",'Delivery Overview'!E14)</f>
        <v/>
      </c>
    </row>
    <row r="15">
      <c r="A15">
        <f>'Delivery Overview'!A15</f>
        <v/>
      </c>
      <c r="B15">
        <f>IF('Delivery Overview'!B15="","",'Delivery Overview'!B15)</f>
        <v/>
      </c>
      <c r="C15">
        <f>IF('Delivery Overview'!C15="","",'Delivery Overview'!C15)</f>
        <v/>
      </c>
      <c r="D15">
        <f>IF('Delivery Overview'!D15="","",'Delivery Overview'!D15)</f>
        <v/>
      </c>
      <c r="E15">
        <f>IF('Delivery Overview'!E15="","",'Delivery Overview'!E15)</f>
        <v/>
      </c>
    </row>
    <row r="16">
      <c r="A16">
        <f>'Delivery Overview'!A16</f>
        <v/>
      </c>
      <c r="B16">
        <f>IF('Delivery Overview'!B16="","",'Delivery Overview'!B16)</f>
        <v/>
      </c>
      <c r="C16">
        <f>IF('Delivery Overview'!C16="","",'Delivery Overview'!C16)</f>
        <v/>
      </c>
      <c r="D16">
        <f>IF('Delivery Overview'!D16="","",'Delivery Overview'!D16)</f>
        <v/>
      </c>
      <c r="E16">
        <f>IF('Delivery Overview'!E16="","",'Delivery Overview'!E16)</f>
        <v/>
      </c>
    </row>
    <row r="17">
      <c r="A17">
        <f>'Delivery Overview'!A17</f>
        <v/>
      </c>
      <c r="B17">
        <f>IF('Delivery Overview'!B17="","",'Delivery Overview'!B17)</f>
        <v/>
      </c>
      <c r="C17">
        <f>IF('Delivery Overview'!C17="","",'Delivery Overview'!C17)</f>
        <v/>
      </c>
      <c r="D17">
        <f>IF('Delivery Overview'!D17="","",'Delivery Overview'!D17)</f>
        <v/>
      </c>
      <c r="E17">
        <f>IF('Delivery Overview'!E17="","",'Delivery Overview'!E17)</f>
        <v/>
      </c>
    </row>
    <row r="18">
      <c r="A18">
        <f>'Delivery Overview'!A18</f>
        <v/>
      </c>
      <c r="B18">
        <f>IF('Delivery Overview'!B18="","",'Delivery Overview'!B18)</f>
        <v/>
      </c>
      <c r="C18">
        <f>IF('Delivery Overview'!C18="","",'Delivery Overview'!C18)</f>
        <v/>
      </c>
      <c r="D18">
        <f>IF('Delivery Overview'!D18="","",'Delivery Overview'!D18)</f>
        <v/>
      </c>
      <c r="E18">
        <f>IF('Delivery Overview'!E18="","",'Delivery Overview'!E18)</f>
        <v/>
      </c>
    </row>
    <row r="19">
      <c r="A19">
        <f>'Delivery Overview'!A19</f>
        <v/>
      </c>
      <c r="B19">
        <f>IF('Delivery Overview'!B19="","",'Delivery Overview'!B19)</f>
        <v/>
      </c>
      <c r="C19">
        <f>IF('Delivery Overview'!C19="","",'Delivery Overview'!C19)</f>
        <v/>
      </c>
      <c r="D19">
        <f>IF('Delivery Overview'!D19="","",'Delivery Overview'!D19)</f>
        <v/>
      </c>
      <c r="E19">
        <f>IF('Delivery Overview'!E19="","",'Delivery Overview'!E19)</f>
        <v/>
      </c>
    </row>
    <row r="20">
      <c r="A20">
        <f>'Delivery Overview'!A20</f>
        <v/>
      </c>
      <c r="B20">
        <f>IF('Delivery Overview'!B20="","",'Delivery Overview'!B20)</f>
        <v/>
      </c>
      <c r="C20">
        <f>IF('Delivery Overview'!C20="","",'Delivery Overview'!C20)</f>
        <v/>
      </c>
      <c r="D20">
        <f>IF('Delivery Overview'!D20="","",'Delivery Overview'!D20)</f>
        <v/>
      </c>
      <c r="E20">
        <f>IF('Delivery Overview'!E20="","",'Delivery Overview'!E20)</f>
        <v/>
      </c>
    </row>
    <row r="21">
      <c r="A21">
        <f>'Delivery Overview'!A21</f>
        <v/>
      </c>
      <c r="B21">
        <f>IF('Delivery Overview'!B21="","",'Delivery Overview'!B21)</f>
        <v/>
      </c>
      <c r="C21">
        <f>IF('Delivery Overview'!C21="","",'Delivery Overview'!C21)</f>
        <v/>
      </c>
      <c r="D21">
        <f>IF('Delivery Overview'!D21="","",'Delivery Overview'!D21)</f>
        <v/>
      </c>
      <c r="E21">
        <f>IF('Delivery Overview'!E21="","",'Delivery Overview'!E21)</f>
        <v/>
      </c>
    </row>
    <row r="22">
      <c r="A22">
        <f>'Delivery Overview'!A22</f>
        <v/>
      </c>
      <c r="B22">
        <f>IF('Delivery Overview'!B22="","",'Delivery Overview'!B22)</f>
        <v/>
      </c>
      <c r="C22">
        <f>IF('Delivery Overview'!C22="","",'Delivery Overview'!C22)</f>
        <v/>
      </c>
      <c r="D22">
        <f>IF('Delivery Overview'!D22="","",'Delivery Overview'!D22)</f>
        <v/>
      </c>
      <c r="E22">
        <f>IF('Delivery Overview'!E22="","",'Delivery Overview'!E22)</f>
        <v/>
      </c>
    </row>
    <row r="23">
      <c r="A23">
        <f>'Delivery Overview'!A23</f>
        <v/>
      </c>
      <c r="B23">
        <f>IF('Delivery Overview'!B23="","",'Delivery Overview'!B23)</f>
        <v/>
      </c>
      <c r="C23">
        <f>IF('Delivery Overview'!C23="","",'Delivery Overview'!C23)</f>
        <v/>
      </c>
      <c r="D23">
        <f>IF('Delivery Overview'!D23="","",'Delivery Overview'!D23)</f>
        <v/>
      </c>
      <c r="E23">
        <f>IF('Delivery Overview'!E23="","",'Delivery Overview'!E23)</f>
        <v/>
      </c>
    </row>
    <row r="24">
      <c r="A24">
        <f>'Delivery Overview'!A24</f>
        <v/>
      </c>
      <c r="B24">
        <f>IF('Delivery Overview'!B24="","",'Delivery Overview'!B24)</f>
        <v/>
      </c>
      <c r="C24">
        <f>IF('Delivery Overview'!C24="","",'Delivery Overview'!C24)</f>
        <v/>
      </c>
      <c r="D24">
        <f>IF('Delivery Overview'!D24="","",'Delivery Overview'!D24)</f>
        <v/>
      </c>
      <c r="E24">
        <f>IF('Delivery Overview'!E24="","",'Delivery Overview'!E24)</f>
        <v/>
      </c>
    </row>
    <row r="25">
      <c r="A25">
        <f>'Delivery Overview'!A25</f>
        <v/>
      </c>
      <c r="B25">
        <f>IF('Delivery Overview'!B25="","",'Delivery Overview'!B25)</f>
        <v/>
      </c>
      <c r="C25">
        <f>IF('Delivery Overview'!C25="","",'Delivery Overview'!C25)</f>
        <v/>
      </c>
      <c r="D25">
        <f>IF('Delivery Overview'!D25="","",'Delivery Overview'!D25)</f>
        <v/>
      </c>
      <c r="E25">
        <f>IF('Delivery Overview'!E25="","",'Delivery Overview'!E25)</f>
        <v/>
      </c>
    </row>
  </sheetData>
  <conditionalFormatting sqref="D6:D25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10" customWidth="1" min="4" max="4"/>
    <col width="2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9" customWidth="1" min="16" max="16"/>
    <col width="10" customWidth="1" min="17" max="17"/>
    <col width="10" customWidth="1" min="18" max="18"/>
    <col width="46" customWidth="1" min="19" max="19"/>
  </cols>
  <sheetData>
    <row r="1">
      <c r="A1" s="1" t="inlineStr">
        <is>
          <t>Digital Programme Overview — cut-off [dd/mm/yyyy]</t>
        </is>
      </c>
    </row>
    <row r="3">
      <c r="A3" s="2" t="inlineStr">
        <is>
          <t>Delivery Overview</t>
        </is>
      </c>
    </row>
    <row r="5" ht="96" customHeight="1">
      <c r="A5" s="5" t="inlineStr">
        <is>
          <t>Contract / initiative</t>
        </is>
      </c>
      <c r="B5" s="5" t="inlineStr">
        <is>
          <t>Delivery-system ref</t>
        </is>
      </c>
      <c r="C5" s="6" t="inlineStr">
        <is>
          <t>Lifecycle status</t>
        </is>
      </c>
      <c r="D5" s="6" t="inlineStr">
        <is>
          <t>RAG</t>
        </is>
      </c>
      <c r="E5" s="5" t="inlineStr">
        <is>
          <t>Current Step</t>
        </is>
      </c>
      <c r="F5" s="7" t="inlineStr">
        <is>
          <t>Leadership Approval</t>
        </is>
      </c>
      <c r="G5" s="7" t="inlineStr">
        <is>
          <t>Vendor Onboarded</t>
        </is>
      </c>
      <c r="H5" s="7" t="inlineStr">
        <is>
          <t>Project kick-off</t>
        </is>
      </c>
      <c r="I5" s="7" t="inlineStr">
        <is>
          <t>PEP Build</t>
        </is>
      </c>
      <c r="J5" s="7" t="inlineStr">
        <is>
          <t>Work Delivered</t>
        </is>
      </c>
      <c r="K5" s="7" t="inlineStr">
        <is>
          <t>Functional Testing</t>
        </is>
      </c>
      <c r="L5" s="7" t="inlineStr">
        <is>
          <t>UAT approval</t>
        </is>
      </c>
      <c r="M5" s="7" t="inlineStr">
        <is>
          <t>Go-live</t>
        </is>
      </c>
      <c r="N5" s="7" t="inlineStr">
        <is>
          <t>Hypercare</t>
        </is>
      </c>
      <c r="O5" s="7" t="inlineStr">
        <is>
          <t>Adoption (30-day)</t>
        </is>
      </c>
      <c r="P5" s="5" t="inlineStr">
        <is>
          <t>Actions (Open)</t>
        </is>
      </c>
      <c r="Q5" s="5" t="inlineStr">
        <is>
          <t>Actions (Overdue)</t>
        </is>
      </c>
      <c r="R5" s="6" t="inlineStr">
        <is>
          <t>RAID (Open)</t>
        </is>
      </c>
      <c r="S5" s="5" t="inlineStr">
        <is>
          <t>Notes</t>
        </is>
      </c>
    </row>
    <row r="6">
      <c r="A6" s="8" t="inlineStr">
        <is>
          <t>Contract A</t>
        </is>
      </c>
      <c r="B6" s="9" t="n"/>
      <c r="C6" s="9" t="n"/>
      <c r="D6" s="9" t="n"/>
      <c r="E6" s="10">
        <f>COUNTA(A7:A10)&amp;IF(COUNTA(A7:A10)=1," initiative"," initiatives")</f>
        <v/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</row>
    <row r="7">
      <c r="A7" s="11" t="inlineStr"/>
      <c r="B7" s="11" t="n"/>
      <c r="C7" s="11" t="n"/>
      <c r="D7" s="11" t="n"/>
      <c r="E7" s="11">
        <f>IF(A7="","",IF(COUNTIF(F7:O7,"● Blocked")&gt;0,"Blocked: "&amp;INDEX($F$5:$O$5,MATCH("● Blocked",F7:O7,0)),IF(COUNTIF(F7:O7,"● In Progress")&gt;0,"In Progress: "&amp;INDEX($F$5:$O$5,MATCH("● In Progress",F7:O7,0)),IF((COUNTIF(F7:O7,"● Complete")+COUNTIF(F7:O7,"● Not required"))=10,"All steps complete",IF(COUNTA(F7:O7)=0,"Not started","Next: "&amp;INDEX($F$5:$O$5,MATCH(TRUE,INDEX((F7:O7&lt;&gt;"● Complete")*(F7:O7&lt;&gt;"● Not required"),0),0)))))))</f>
        <v/>
      </c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>
        <f>IF(A7="","",COUNTIF(Actions!$E$27:$E$46,"Open")+COUNTIF(Actions!$E$27:$E$46,"In progress")+COUNTIF(Actions!$E$27:$E$46,"Blocked"))</f>
        <v/>
      </c>
      <c r="Q7" s="11">
        <f>IF(A7="","",COUNTIF(Actions!$G$27:$G$46,"Overdue"))</f>
        <v/>
      </c>
      <c r="R7" s="11">
        <f>IF(A7="","",COUNTIFS(RAID!$C:$C,A7,RAID!$H:$H,"Open")+COUNTIFS(RAID!$C:$C,A7,RAID!$H:$H,"In progress")+COUNTIFS(RAID!$C:$C,A7,RAID!$H:$H,"Blocked"))</f>
        <v/>
      </c>
      <c r="S7" s="11" t="n"/>
    </row>
    <row r="8">
      <c r="A8" s="11" t="inlineStr"/>
      <c r="B8" s="11" t="n"/>
      <c r="C8" s="11" t="n"/>
      <c r="D8" s="11" t="n"/>
      <c r="E8" s="11">
        <f>IF(A8="","",IF(COUNTIF(F8:O8,"● Blocked")&gt;0,"Blocked: "&amp;INDEX($F$5:$O$5,MATCH("● Blocked",F8:O8,0)),IF(COUNTIF(F8:O8,"● In Progress")&gt;0,"In Progress: "&amp;INDEX($F$5:$O$5,MATCH("● In Progress",F8:O8,0)),IF((COUNTIF(F8:O8,"● Complete")+COUNTIF(F8:O8,"● Not required"))=10,"All steps complete",IF(COUNTA(F8:O8)=0,"Not started","Next: "&amp;INDEX($F$5:$O$5,MATCH(TRUE,INDEX((F8:O8&lt;&gt;"● Complete")*(F8:O8&lt;&gt;"● Not required"),0),0)))))))</f>
        <v/>
      </c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>
        <f>IF(A8="","",COUNTIF(Actions!$E$48:$E$67,"Open")+COUNTIF(Actions!$E$48:$E$67,"In progress")+COUNTIF(Actions!$E$48:$E$67,"Blocked"))</f>
        <v/>
      </c>
      <c r="Q8" s="11">
        <f>IF(A8="","",COUNTIF(Actions!$G$48:$G$67,"Overdue"))</f>
        <v/>
      </c>
      <c r="R8" s="11">
        <f>IF(A8="","",COUNTIFS(RAID!$C:$C,A8,RAID!$H:$H,"Open")+COUNTIFS(RAID!$C:$C,A8,RAID!$H:$H,"In progress")+COUNTIFS(RAID!$C:$C,A8,RAID!$H:$H,"Blocked"))</f>
        <v/>
      </c>
      <c r="S8" s="11" t="n"/>
    </row>
    <row r="9">
      <c r="A9" s="11" t="inlineStr"/>
      <c r="B9" s="11" t="n"/>
      <c r="C9" s="11" t="n"/>
      <c r="D9" s="11" t="n"/>
      <c r="E9" s="11">
        <f>IF(A9="","",IF(COUNTIF(F9:O9,"● Blocked")&gt;0,"Blocked: "&amp;INDEX($F$5:$O$5,MATCH("● Blocked",F9:O9,0)),IF(COUNTIF(F9:O9,"● In Progress")&gt;0,"In Progress: "&amp;INDEX($F$5:$O$5,MATCH("● In Progress",F9:O9,0)),IF((COUNTIF(F9:O9,"● Complete")+COUNTIF(F9:O9,"● Not required"))=10,"All steps complete",IF(COUNTA(F9:O9)=0,"Not started","Next: "&amp;INDEX($F$5:$O$5,MATCH(TRUE,INDEX((F9:O9&lt;&gt;"● Complete")*(F9:O9&lt;&gt;"● Not required"),0),0)))))))</f>
        <v/>
      </c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>
        <f>IF(A9="","",COUNTIF(Actions!$E$69:$E$88,"Open")+COUNTIF(Actions!$E$69:$E$88,"In progress")+COUNTIF(Actions!$E$69:$E$88,"Blocked"))</f>
        <v/>
      </c>
      <c r="Q9" s="11">
        <f>IF(A9="","",COUNTIF(Actions!$G$69:$G$88,"Overdue"))</f>
        <v/>
      </c>
      <c r="R9" s="11">
        <f>IF(A9="","",COUNTIFS(RAID!$C:$C,A9,RAID!$H:$H,"Open")+COUNTIFS(RAID!$C:$C,A9,RAID!$H:$H,"In progress")+COUNTIFS(RAID!$C:$C,A9,RAID!$H:$H,"Blocked"))</f>
        <v/>
      </c>
      <c r="S9" s="11" t="n"/>
    </row>
    <row r="10">
      <c r="A10" s="11" t="inlineStr"/>
      <c r="B10" s="11" t="n"/>
      <c r="C10" s="11" t="n"/>
      <c r="D10" s="11" t="n"/>
      <c r="E10" s="11">
        <f>IF(A10="","",IF(COUNTIF(F10:O10,"● Blocked")&gt;0,"Blocked: "&amp;INDEX($F$5:$O$5,MATCH("● Blocked",F10:O10,0)),IF(COUNTIF(F10:O10,"● In Progress")&gt;0,"In Progress: "&amp;INDEX($F$5:$O$5,MATCH("● In Progress",F10:O10,0)),IF((COUNTIF(F10:O10,"● Complete")+COUNTIF(F10:O10,"● Not required"))=10,"All steps complete",IF(COUNTA(F10:O10)=0,"Not started","Next: "&amp;INDEX($F$5:$O$5,MATCH(TRUE,INDEX((F10:O10&lt;&gt;"● Complete")*(F10:O10&lt;&gt;"● Not required"),0),0)))))))</f>
        <v/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>
        <f>IF(A10="","",COUNTIF(Actions!$E$90:$E$109,"Open")+COUNTIF(Actions!$E$90:$E$109,"In progress")+COUNTIF(Actions!$E$90:$E$109,"Blocked"))</f>
        <v/>
      </c>
      <c r="Q10" s="11">
        <f>IF(A10="","",COUNTIF(Actions!$G$90:$G$109,"Overdue"))</f>
        <v/>
      </c>
      <c r="R10" s="11">
        <f>IF(A10="","",COUNTIFS(RAID!$C:$C,A10,RAID!$H:$H,"Open")+COUNTIFS(RAID!$C:$C,A10,RAID!$H:$H,"In progress")+COUNTIFS(RAID!$C:$C,A10,RAID!$H:$H,"Blocked"))</f>
        <v/>
      </c>
      <c r="S10" s="11" t="n"/>
    </row>
    <row r="11">
      <c r="A11" s="8" t="inlineStr">
        <is>
          <t>Contract B</t>
        </is>
      </c>
      <c r="B11" s="9" t="n"/>
      <c r="C11" s="9" t="n"/>
      <c r="D11" s="9" t="n"/>
      <c r="E11" s="10">
        <f>COUNTA(A12:A15)&amp;IF(COUNTA(A12:A15)=1," initiative"," initiatives")</f>
        <v/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</row>
    <row r="12">
      <c r="A12" s="11" t="inlineStr"/>
      <c r="B12" s="11" t="n"/>
      <c r="C12" s="11" t="n"/>
      <c r="D12" s="11" t="n"/>
      <c r="E12" s="11">
        <f>IF(A12="","",IF(COUNTIF(F12:O12,"● Blocked")&gt;0,"Blocked: "&amp;INDEX($F$5:$O$5,MATCH("● Blocked",F12:O12,0)),IF(COUNTIF(F12:O12,"● In Progress")&gt;0,"In Progress: "&amp;INDEX($F$5:$O$5,MATCH("● In Progress",F12:O12,0)),IF((COUNTIF(F12:O12,"● Complete")+COUNTIF(F12:O12,"● Not required"))=10,"All steps complete",IF(COUNTA(F12:O12)=0,"Not started","Next: "&amp;INDEX($F$5:$O$5,MATCH(TRUE,INDEX((F12:O12&lt;&gt;"● Complete")*(F12:O12&lt;&gt;"● Not required"),0),0)))))))</f>
        <v/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>
        <f>IF(A12="","",COUNTIF(Actions!$E$154:$E$173,"Open")+COUNTIF(Actions!$E$154:$E$173,"In progress")+COUNTIF(Actions!$E$154:$E$173,"Blocked"))</f>
        <v/>
      </c>
      <c r="Q12" s="11">
        <f>IF(A12="","",COUNTIF(Actions!$G$154:$G$173,"Overdue"))</f>
        <v/>
      </c>
      <c r="R12" s="11">
        <f>IF(A12="","",COUNTIFS(RAID!$C:$C,A12,RAID!$H:$H,"Open")+COUNTIFS(RAID!$C:$C,A12,RAID!$H:$H,"In progress")+COUNTIFS(RAID!$C:$C,A12,RAID!$H:$H,"Blocked"))</f>
        <v/>
      </c>
      <c r="S12" s="11" t="n"/>
    </row>
    <row r="13">
      <c r="A13" s="11" t="inlineStr"/>
      <c r="B13" s="11" t="n"/>
      <c r="C13" s="11" t="n"/>
      <c r="D13" s="11" t="n"/>
      <c r="E13" s="11">
        <f>IF(A13="","",IF(COUNTIF(F13:O13,"● Blocked")&gt;0,"Blocked: "&amp;INDEX($F$5:$O$5,MATCH("● Blocked",F13:O13,0)),IF(COUNTIF(F13:O13,"● In Progress")&gt;0,"In Progress: "&amp;INDEX($F$5:$O$5,MATCH("● In Progress",F13:O13,0)),IF((COUNTIF(F13:O13,"● Complete")+COUNTIF(F13:O13,"● Not required"))=10,"All steps complete",IF(COUNTA(F13:O13)=0,"Not started","Next: "&amp;INDEX($F$5:$O$5,MATCH(TRUE,INDEX((F13:O13&lt;&gt;"● Complete")*(F13:O13&lt;&gt;"● Not required"),0),0)))))))</f>
        <v/>
      </c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>
        <f>IF(A13="","",COUNTIF(Actions!$E$175:$E$194,"Open")+COUNTIF(Actions!$E$175:$E$194,"In progress")+COUNTIF(Actions!$E$175:$E$194,"Blocked"))</f>
        <v/>
      </c>
      <c r="Q13" s="11">
        <f>IF(A13="","",COUNTIF(Actions!$G$175:$G$194,"Overdue"))</f>
        <v/>
      </c>
      <c r="R13" s="11">
        <f>IF(A13="","",COUNTIFS(RAID!$C:$C,A13,RAID!$H:$H,"Open")+COUNTIFS(RAID!$C:$C,A13,RAID!$H:$H,"In progress")+COUNTIFS(RAID!$C:$C,A13,RAID!$H:$H,"Blocked"))</f>
        <v/>
      </c>
      <c r="S13" s="11" t="n"/>
    </row>
    <row r="14">
      <c r="A14" s="11" t="inlineStr"/>
      <c r="B14" s="11" t="n"/>
      <c r="C14" s="11" t="n"/>
      <c r="D14" s="11" t="n"/>
      <c r="E14" s="11">
        <f>IF(A14="","",IF(COUNTIF(F14:O14,"● Blocked")&gt;0,"Blocked: "&amp;INDEX($F$5:$O$5,MATCH("● Blocked",F14:O14,0)),IF(COUNTIF(F14:O14,"● In Progress")&gt;0,"In Progress: "&amp;INDEX($F$5:$O$5,MATCH("● In Progress",F14:O14,0)),IF((COUNTIF(F14:O14,"● Complete")+COUNTIF(F14:O14,"● Not required"))=10,"All steps complete",IF(COUNTA(F14:O14)=0,"Not started","Next: "&amp;INDEX($F$5:$O$5,MATCH(TRUE,INDEX((F14:O14&lt;&gt;"● Complete")*(F14:O14&lt;&gt;"● Not required"),0),0)))))))</f>
        <v/>
      </c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>
        <f>IF(A14="","",COUNTIF(Actions!$E$196:$E$215,"Open")+COUNTIF(Actions!$E$196:$E$215,"In progress")+COUNTIF(Actions!$E$196:$E$215,"Blocked"))</f>
        <v/>
      </c>
      <c r="Q14" s="11">
        <f>IF(A14="","",COUNTIF(Actions!$G$196:$G$215,"Overdue"))</f>
        <v/>
      </c>
      <c r="R14" s="11">
        <f>IF(A14="","",COUNTIFS(RAID!$C:$C,A14,RAID!$H:$H,"Open")+COUNTIFS(RAID!$C:$C,A14,RAID!$H:$H,"In progress")+COUNTIFS(RAID!$C:$C,A14,RAID!$H:$H,"Blocked"))</f>
        <v/>
      </c>
      <c r="S14" s="11" t="n"/>
    </row>
    <row r="15">
      <c r="A15" s="11" t="inlineStr"/>
      <c r="B15" s="11" t="n"/>
      <c r="C15" s="11" t="n"/>
      <c r="D15" s="11" t="n"/>
      <c r="E15" s="11">
        <f>IF(A15="","",IF(COUNTIF(F15:O15,"● Blocked")&gt;0,"Blocked: "&amp;INDEX($F$5:$O$5,MATCH("● Blocked",F15:O15,0)),IF(COUNTIF(F15:O15,"● In Progress")&gt;0,"In Progress: "&amp;INDEX($F$5:$O$5,MATCH("● In Progress",F15:O15,0)),IF((COUNTIF(F15:O15,"● Complete")+COUNTIF(F15:O15,"● Not required"))=10,"All steps complete",IF(COUNTA(F15:O15)=0,"Not started","Next: "&amp;INDEX($F$5:$O$5,MATCH(TRUE,INDEX((F15:O15&lt;&gt;"● Complete")*(F15:O15&lt;&gt;"● Not required"),0),0)))))))</f>
        <v/>
      </c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>
        <f>IF(A15="","",COUNTIF(Actions!$E$217:$E$236,"Open")+COUNTIF(Actions!$E$217:$E$236,"In progress")+COUNTIF(Actions!$E$217:$E$236,"Blocked"))</f>
        <v/>
      </c>
      <c r="Q15" s="11">
        <f>IF(A15="","",COUNTIF(Actions!$G$217:$G$236,"Overdue"))</f>
        <v/>
      </c>
      <c r="R15" s="11">
        <f>IF(A15="","",COUNTIFS(RAID!$C:$C,A15,RAID!$H:$H,"Open")+COUNTIFS(RAID!$C:$C,A15,RAID!$H:$H,"In progress")+COUNTIFS(RAID!$C:$C,A15,RAID!$H:$H,"Blocked"))</f>
        <v/>
      </c>
      <c r="S15" s="11" t="n"/>
    </row>
    <row r="16">
      <c r="A16" s="8" t="inlineStr">
        <is>
          <t>Contract C</t>
        </is>
      </c>
      <c r="B16" s="9" t="n"/>
      <c r="C16" s="9" t="n"/>
      <c r="D16" s="9" t="n"/>
      <c r="E16" s="10">
        <f>COUNTA(A17:A20)&amp;IF(COUNTA(A17:A20)=1," initiative"," initiatives")</f>
        <v/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</row>
    <row r="17">
      <c r="A17" s="11" t="inlineStr"/>
      <c r="B17" s="11" t="n"/>
      <c r="C17" s="11" t="n"/>
      <c r="D17" s="11" t="n"/>
      <c r="E17" s="11">
        <f>IF(A17="","",IF(COUNTIF(F17:O17,"● Blocked")&gt;0,"Blocked: "&amp;INDEX($F$5:$O$5,MATCH("● Blocked",F17:O17,0)),IF(COUNTIF(F17:O17,"● In Progress")&gt;0,"In Progress: "&amp;INDEX($F$5:$O$5,MATCH("● In Progress",F17:O17,0)),IF((COUNTIF(F17:O17,"● Complete")+COUNTIF(F17:O17,"● Not required"))=10,"All steps complete",IF(COUNTA(F17:O17)=0,"Not started","Next: "&amp;INDEX($F$5:$O$5,MATCH(TRUE,INDEX((F17:O17&lt;&gt;"● Complete")*(F17:O17&lt;&gt;"● Not required"),0),0)))))))</f>
        <v/>
      </c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>
        <f>IF(A17="","",COUNTIF(Actions!$E$281:$E$300,"Open")+COUNTIF(Actions!$E$281:$E$300,"In progress")+COUNTIF(Actions!$E$281:$E$300,"Blocked"))</f>
        <v/>
      </c>
      <c r="Q17" s="11">
        <f>IF(A17="","",COUNTIF(Actions!$G$281:$G$300,"Overdue"))</f>
        <v/>
      </c>
      <c r="R17" s="11">
        <f>IF(A17="","",COUNTIFS(RAID!$C:$C,A17,RAID!$H:$H,"Open")+COUNTIFS(RAID!$C:$C,A17,RAID!$H:$H,"In progress")+COUNTIFS(RAID!$C:$C,A17,RAID!$H:$H,"Blocked"))</f>
        <v/>
      </c>
      <c r="S17" s="11" t="n"/>
    </row>
    <row r="18">
      <c r="A18" s="11" t="inlineStr"/>
      <c r="B18" s="11" t="n"/>
      <c r="C18" s="11" t="n"/>
      <c r="D18" s="11" t="n"/>
      <c r="E18" s="11">
        <f>IF(A18="","",IF(COUNTIF(F18:O18,"● Blocked")&gt;0,"Blocked: "&amp;INDEX($F$5:$O$5,MATCH("● Blocked",F18:O18,0)),IF(COUNTIF(F18:O18,"● In Progress")&gt;0,"In Progress: "&amp;INDEX($F$5:$O$5,MATCH("● In Progress",F18:O18,0)),IF((COUNTIF(F18:O18,"● Complete")+COUNTIF(F18:O18,"● Not required"))=10,"All steps complete",IF(COUNTA(F18:O18)=0,"Not started","Next: "&amp;INDEX($F$5:$O$5,MATCH(TRUE,INDEX((F18:O18&lt;&gt;"● Complete")*(F18:O18&lt;&gt;"● Not required"),0),0)))))))</f>
        <v/>
      </c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>
        <f>IF(A18="","",COUNTIF(Actions!$E$302:$E$321,"Open")+COUNTIF(Actions!$E$302:$E$321,"In progress")+COUNTIF(Actions!$E$302:$E$321,"Blocked"))</f>
        <v/>
      </c>
      <c r="Q18" s="11">
        <f>IF(A18="","",COUNTIF(Actions!$G$302:$G$321,"Overdue"))</f>
        <v/>
      </c>
      <c r="R18" s="11">
        <f>IF(A18="","",COUNTIFS(RAID!$C:$C,A18,RAID!$H:$H,"Open")+COUNTIFS(RAID!$C:$C,A18,RAID!$H:$H,"In progress")+COUNTIFS(RAID!$C:$C,A18,RAID!$H:$H,"Blocked"))</f>
        <v/>
      </c>
      <c r="S18" s="11" t="n"/>
    </row>
    <row r="19">
      <c r="A19" s="11" t="inlineStr"/>
      <c r="B19" s="11" t="n"/>
      <c r="C19" s="11" t="n"/>
      <c r="D19" s="11" t="n"/>
      <c r="E19" s="11">
        <f>IF(A19="","",IF(COUNTIF(F19:O19,"● Blocked")&gt;0,"Blocked: "&amp;INDEX($F$5:$O$5,MATCH("● Blocked",F19:O19,0)),IF(COUNTIF(F19:O19,"● In Progress")&gt;0,"In Progress: "&amp;INDEX($F$5:$O$5,MATCH("● In Progress",F19:O19,0)),IF((COUNTIF(F19:O19,"● Complete")+COUNTIF(F19:O19,"● Not required"))=10,"All steps complete",IF(COUNTA(F19:O19)=0,"Not started","Next: "&amp;INDEX($F$5:$O$5,MATCH(TRUE,INDEX((F19:O19&lt;&gt;"● Complete")*(F19:O19&lt;&gt;"● Not required"),0),0)))))))</f>
        <v/>
      </c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>
        <f>IF(A19="","",COUNTIF(Actions!$E$323:$E$342,"Open")+COUNTIF(Actions!$E$323:$E$342,"In progress")+COUNTIF(Actions!$E$323:$E$342,"Blocked"))</f>
        <v/>
      </c>
      <c r="Q19" s="11">
        <f>IF(A19="","",COUNTIF(Actions!$G$323:$G$342,"Overdue"))</f>
        <v/>
      </c>
      <c r="R19" s="11">
        <f>IF(A19="","",COUNTIFS(RAID!$C:$C,A19,RAID!$H:$H,"Open")+COUNTIFS(RAID!$C:$C,A19,RAID!$H:$H,"In progress")+COUNTIFS(RAID!$C:$C,A19,RAID!$H:$H,"Blocked"))</f>
        <v/>
      </c>
      <c r="S19" s="11" t="n"/>
    </row>
    <row r="20">
      <c r="A20" s="11" t="inlineStr"/>
      <c r="B20" s="11" t="n"/>
      <c r="C20" s="11" t="n"/>
      <c r="D20" s="11" t="n"/>
      <c r="E20" s="11">
        <f>IF(A20="","",IF(COUNTIF(F20:O20,"● Blocked")&gt;0,"Blocked: "&amp;INDEX($F$5:$O$5,MATCH("● Blocked",F20:O20,0)),IF(COUNTIF(F20:O20,"● In Progress")&gt;0,"In Progress: "&amp;INDEX($F$5:$O$5,MATCH("● In Progress",F20:O20,0)),IF((COUNTIF(F20:O20,"● Complete")+COUNTIF(F20:O20,"● Not required"))=10,"All steps complete",IF(COUNTA(F20:O20)=0,"Not started","Next: "&amp;INDEX($F$5:$O$5,MATCH(TRUE,INDEX((F20:O20&lt;&gt;"● Complete")*(F20:O20&lt;&gt;"● Not required"),0),0)))))))</f>
        <v/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>
        <f>IF(A20="","",COUNTIF(Actions!$E$344:$E$363,"Open")+COUNTIF(Actions!$E$344:$E$363,"In progress")+COUNTIF(Actions!$E$344:$E$363,"Blocked"))</f>
        <v/>
      </c>
      <c r="Q20" s="11">
        <f>IF(A20="","",COUNTIF(Actions!$G$344:$G$363,"Overdue"))</f>
        <v/>
      </c>
      <c r="R20" s="11">
        <f>IF(A20="","",COUNTIFS(RAID!$C:$C,A20,RAID!$H:$H,"Open")+COUNTIFS(RAID!$C:$C,A20,RAID!$H:$H,"In progress")+COUNTIFS(RAID!$C:$C,A20,RAID!$H:$H,"Blocked"))</f>
        <v/>
      </c>
      <c r="S20" s="11" t="n"/>
    </row>
    <row r="21">
      <c r="A21" s="12" t="inlineStr">
        <is>
          <t>Programme-level (no contract)</t>
        </is>
      </c>
      <c r="B21" s="13" t="n"/>
      <c r="C21" s="13" t="n"/>
      <c r="D21" s="13" t="n"/>
      <c r="E21" s="14">
        <f>COUNTA(A22:A25)&amp;IF(COUNTA(A22:A25)=1," initiative"," initiatives")</f>
        <v/>
      </c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</row>
    <row r="22">
      <c r="A22" s="11" t="inlineStr"/>
      <c r="B22" s="11" t="n"/>
      <c r="C22" s="11" t="n"/>
      <c r="D22" s="11" t="n"/>
      <c r="E22" s="11">
        <f>IF(A22="","",IF(COUNTIF(F22:O22,"● Blocked")&gt;0,"Blocked: "&amp;INDEX($F$5:$O$5,MATCH("● Blocked",F22:O22,0)),IF(COUNTIF(F22:O22,"● In Progress")&gt;0,"In Progress: "&amp;INDEX($F$5:$O$5,MATCH("● In Progress",F22:O22,0)),IF((COUNTIF(F22:O22,"● Complete")+COUNTIF(F22:O22,"● Not required"))=10,"All steps complete",IF(COUNTA(F22:O22)=0,"Not started","Next: "&amp;INDEX($F$5:$O$5,MATCH(TRUE,INDEX((F22:O22&lt;&gt;"● Complete")*(F22:O22&lt;&gt;"● Not required"),0),0)))))))</f>
        <v/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>
        <f>IF(A22="","",COUNTIF(Actions!$E$408:$E$427,"Open")+COUNTIF(Actions!$E$408:$E$427,"In progress")+COUNTIF(Actions!$E$408:$E$427,"Blocked"))</f>
        <v/>
      </c>
      <c r="Q22" s="11">
        <f>IF(A22="","",COUNTIF(Actions!$G$408:$G$427,"Overdue"))</f>
        <v/>
      </c>
      <c r="R22" s="11">
        <f>IF(A22="","",COUNTIFS(RAID!$C:$C,A22,RAID!$H:$H,"Open")+COUNTIFS(RAID!$C:$C,A22,RAID!$H:$H,"In progress")+COUNTIFS(RAID!$C:$C,A22,RAID!$H:$H,"Blocked"))</f>
        <v/>
      </c>
      <c r="S22" s="11" t="n"/>
    </row>
    <row r="23">
      <c r="A23" s="11" t="inlineStr"/>
      <c r="B23" s="11" t="n"/>
      <c r="C23" s="11" t="n"/>
      <c r="D23" s="11" t="n"/>
      <c r="E23" s="11">
        <f>IF(A23="","",IF(COUNTIF(F23:O23,"● Blocked")&gt;0,"Blocked: "&amp;INDEX($F$5:$O$5,MATCH("● Blocked",F23:O23,0)),IF(COUNTIF(F23:O23,"● In Progress")&gt;0,"In Progress: "&amp;INDEX($F$5:$O$5,MATCH("● In Progress",F23:O23,0)),IF((COUNTIF(F23:O23,"● Complete")+COUNTIF(F23:O23,"● Not required"))=10,"All steps complete",IF(COUNTA(F23:O23)=0,"Not started","Next: "&amp;INDEX($F$5:$O$5,MATCH(TRUE,INDEX((F23:O23&lt;&gt;"● Complete")*(F23:O23&lt;&gt;"● Not required"),0),0)))))))</f>
        <v/>
      </c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>
        <f>IF(A23="","",COUNTIF(Actions!$E$429:$E$448,"Open")+COUNTIF(Actions!$E$429:$E$448,"In progress")+COUNTIF(Actions!$E$429:$E$448,"Blocked"))</f>
        <v/>
      </c>
      <c r="Q23" s="11">
        <f>IF(A23="","",COUNTIF(Actions!$G$429:$G$448,"Overdue"))</f>
        <v/>
      </c>
      <c r="R23" s="11">
        <f>IF(A23="","",COUNTIFS(RAID!$C:$C,A23,RAID!$H:$H,"Open")+COUNTIFS(RAID!$C:$C,A23,RAID!$H:$H,"In progress")+COUNTIFS(RAID!$C:$C,A23,RAID!$H:$H,"Blocked"))</f>
        <v/>
      </c>
      <c r="S23" s="11" t="n"/>
    </row>
    <row r="24">
      <c r="A24" s="11" t="inlineStr"/>
      <c r="B24" s="11" t="n"/>
      <c r="C24" s="11" t="n"/>
      <c r="D24" s="11" t="n"/>
      <c r="E24" s="11">
        <f>IF(A24="","",IF(COUNTIF(F24:O24,"● Blocked")&gt;0,"Blocked: "&amp;INDEX($F$5:$O$5,MATCH("● Blocked",F24:O24,0)),IF(COUNTIF(F24:O24,"● In Progress")&gt;0,"In Progress: "&amp;INDEX($F$5:$O$5,MATCH("● In Progress",F24:O24,0)),IF((COUNTIF(F24:O24,"● Complete")+COUNTIF(F24:O24,"● Not required"))=10,"All steps complete",IF(COUNTA(F24:O24)=0,"Not started","Next: "&amp;INDEX($F$5:$O$5,MATCH(TRUE,INDEX((F24:O24&lt;&gt;"● Complete")*(F24:O24&lt;&gt;"● Not required"),0),0)))))))</f>
        <v/>
      </c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>
        <f>IF(A24="","",COUNTIF(Actions!$E$450:$E$469,"Open")+COUNTIF(Actions!$E$450:$E$469,"In progress")+COUNTIF(Actions!$E$450:$E$469,"Blocked"))</f>
        <v/>
      </c>
      <c r="Q24" s="11">
        <f>IF(A24="","",COUNTIF(Actions!$G$450:$G$469,"Overdue"))</f>
        <v/>
      </c>
      <c r="R24" s="11">
        <f>IF(A24="","",COUNTIFS(RAID!$C:$C,A24,RAID!$H:$H,"Open")+COUNTIFS(RAID!$C:$C,A24,RAID!$H:$H,"In progress")+COUNTIFS(RAID!$C:$C,A24,RAID!$H:$H,"Blocked"))</f>
        <v/>
      </c>
      <c r="S24" s="11" t="n"/>
    </row>
    <row r="25">
      <c r="A25" s="11" t="inlineStr"/>
      <c r="B25" s="11" t="n"/>
      <c r="C25" s="11" t="n"/>
      <c r="D25" s="11" t="n"/>
      <c r="E25" s="11">
        <f>IF(A25="","",IF(COUNTIF(F25:O25,"● Blocked")&gt;0,"Blocked: "&amp;INDEX($F$5:$O$5,MATCH("● Blocked",F25:O25,0)),IF(COUNTIF(F25:O25,"● In Progress")&gt;0,"In Progress: "&amp;INDEX($F$5:$O$5,MATCH("● In Progress",F25:O25,0)),IF((COUNTIF(F25:O25,"● Complete")+COUNTIF(F25:O25,"● Not required"))=10,"All steps complete",IF(COUNTA(F25:O25)=0,"Not started","Next: "&amp;INDEX($F$5:$O$5,MATCH(TRUE,INDEX((F25:O25&lt;&gt;"● Complete")*(F25:O25&lt;&gt;"● Not required"),0),0)))))))</f>
        <v/>
      </c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>
        <f>IF(A25="","",COUNTIF(Actions!$E$471:$E$490,"Open")+COUNTIF(Actions!$E$471:$E$490,"In progress")+COUNTIF(Actions!$E$471:$E$490,"Blocked"))</f>
        <v/>
      </c>
      <c r="Q25" s="11">
        <f>IF(A25="","",COUNTIF(Actions!$G$471:$G$490,"Overdue"))</f>
        <v/>
      </c>
      <c r="R25" s="11">
        <f>IF(A25="","",COUNTIFS(RAID!$C:$C,A25,RAID!$H:$H,"Open")+COUNTIFS(RAID!$C:$C,A25,RAID!$H:$H,"In progress")+COUNTIFS(RAID!$C:$C,A25,RAID!$H:$H,"Blocked"))</f>
        <v/>
      </c>
      <c r="S25" s="11" t="n"/>
    </row>
  </sheetData>
  <conditionalFormatting sqref="F6:O25">
    <cfRule type="cellIs" priority="1" operator="equal" dxfId="3">
      <formula>"● Complete"</formula>
    </cfRule>
    <cfRule type="cellIs" priority="2" operator="equal" dxfId="4">
      <formula>"● In Progress"</formula>
    </cfRule>
    <cfRule type="cellIs" priority="3" operator="equal" dxfId="5">
      <formula>"● Not started"</formula>
    </cfRule>
    <cfRule type="cellIs" priority="4" operator="equal" dxfId="6">
      <formula>"● Not required"</formula>
    </cfRule>
    <cfRule type="cellIs" priority="5" operator="equal" dxfId="7">
      <formula>"● Blocked"</formula>
    </cfRule>
  </conditionalFormatting>
  <conditionalFormatting sqref="D6:D25">
    <cfRule type="cellIs" priority="6" operator="equal" dxfId="0">
      <formula>"Green"</formula>
    </cfRule>
    <cfRule type="cellIs" priority="7" operator="equal" dxfId="1">
      <formula>"Amber"</formula>
    </cfRule>
    <cfRule type="cellIs" priority="8" operator="equal" dxfId="2">
      <formula>"Red"</formula>
    </cfRule>
  </conditionalFormatting>
  <dataValidations count="3">
    <dataValidation sqref="C6:C25" showDropDown="0" showInputMessage="0" showErrorMessage="1" allowBlank="1" error="Pick a value from the dropdown." type="list">
      <formula1>Lists!$B$2:$B$8</formula1>
    </dataValidation>
    <dataValidation sqref="D6:D25" showDropDown="0" showInputMessage="0" showErrorMessage="1" allowBlank="1" error="Pick a value from the dropdown." type="list">
      <formula1>Lists!$C$2:$C$4</formula1>
    </dataValidation>
    <dataValidation sqref="F6:O25" showDropDown="0" showInputMessage="0" showErrorMessage="1" allowBlank="1" error="Pick a value from the dropdown." type="list">
      <formula1>"● Complete,● In Progress,● Not started,● Not required,● 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  <col width="20" customWidth="1" min="3" max="3"/>
    <col width="12" customWidth="1" min="4" max="4"/>
    <col width="13" customWidth="1" min="5" max="5"/>
    <col width="40" customWidth="1" min="6" max="6"/>
    <col width="10" customWidth="1" min="7" max="7"/>
  </cols>
  <sheetData>
    <row r="1">
      <c r="A1" s="1" t="inlineStr">
        <is>
          <t>Action Tracker</t>
        </is>
      </c>
    </row>
    <row r="3">
      <c r="A3" s="15" t="inlineStr">
        <is>
          <t>Action ID</t>
        </is>
      </c>
      <c r="B3" s="15" t="inlineStr">
        <is>
          <t>Action</t>
        </is>
      </c>
      <c r="C3" s="15" t="inlineStr">
        <is>
          <t>Owner</t>
        </is>
      </c>
      <c r="D3" s="15" t="inlineStr">
        <is>
          <t>Due</t>
        </is>
      </c>
      <c r="E3" s="15" t="inlineStr">
        <is>
          <t>Status</t>
        </is>
      </c>
      <c r="F3" s="15" t="inlineStr">
        <is>
          <t>Notes</t>
        </is>
      </c>
      <c r="G3" s="15" t="inlineStr">
        <is>
          <t>Overdue</t>
        </is>
      </c>
    </row>
    <row r="4">
      <c r="A4" s="8">
        <f>"Contract A   —   "&amp;(COUNTIF($E$4:$E$130,"Open")+COUNTIF($E$4:$E$130,"In progress")+COUNTIF($E$4:$E$130,"Blocked"))&amp;" open · "&amp;COUNTIF($G$4:$G$130,"Overdue")&amp;" overdue"</f>
        <v/>
      </c>
    </row>
    <row r="5">
      <c r="A5" s="16">
        <f>"Contract A · Contract-level   —   "&amp;(COUNTIF($E$6:$E$25,"Open")+COUNTIF($E$6:$E$25,"In progress")+COUNTIF($E$6:$E$25,"Blocked"))&amp;" open · "&amp;COUNTIF($G$6:$G$25,"Overdue")&amp;" overdue"</f>
        <v/>
      </c>
    </row>
    <row r="6">
      <c r="G6">
        <f>IF(AND(B6&lt;&gt;"",D6&lt;&gt;"",OR(E6="Open",E6="In progress",E6="Blocked")),IF(D6&lt;TODAY(),"Overdue",""),"")</f>
        <v/>
      </c>
    </row>
    <row r="7">
      <c r="G7">
        <f>IF(AND(B7&lt;&gt;"",D7&lt;&gt;"",OR(E7="Open",E7="In progress",E7="Blocked")),IF(D7&lt;TODAY(),"Overdue",""),"")</f>
        <v/>
      </c>
    </row>
    <row r="8">
      <c r="G8">
        <f>IF(AND(B8&lt;&gt;"",D8&lt;&gt;"",OR(E8="Open",E8="In progress",E8="Blocked")),IF(D8&lt;TODAY(),"Overdue",""),"")</f>
        <v/>
      </c>
    </row>
    <row r="9">
      <c r="G9">
        <f>IF(AND(B9&lt;&gt;"",D9&lt;&gt;"",OR(E9="Open",E9="In progress",E9="Blocked")),IF(D9&lt;TODAY(),"Overdue",""),"")</f>
        <v/>
      </c>
    </row>
    <row r="10">
      <c r="G10">
        <f>IF(AND(B10&lt;&gt;"",D10&lt;&gt;"",OR(E10="Open",E10="In progress",E10="Blocked")),IF(D10&lt;TODAY(),"Overdue",""),"")</f>
        <v/>
      </c>
    </row>
    <row r="11">
      <c r="G11">
        <f>IF(AND(B11&lt;&gt;"",D11&lt;&gt;"",OR(E11="Open",E11="In progress",E11="Blocked")),IF(D11&lt;TODAY(),"Overdue",""),"")</f>
        <v/>
      </c>
    </row>
    <row r="12">
      <c r="G12">
        <f>IF(AND(B12&lt;&gt;"",D12&lt;&gt;"",OR(E12="Open",E12="In progress",E12="Blocked")),IF(D12&lt;TODAY(),"Overdue",""),"")</f>
        <v/>
      </c>
    </row>
    <row r="13">
      <c r="G13">
        <f>IF(AND(B13&lt;&gt;"",D13&lt;&gt;"",OR(E13="Open",E13="In progress",E13="Blocked")),IF(D13&lt;TODAY(),"Overdue",""),"")</f>
        <v/>
      </c>
    </row>
    <row r="14">
      <c r="G14">
        <f>IF(AND(B14&lt;&gt;"",D14&lt;&gt;"",OR(E14="Open",E14="In progress",E14="Blocked")),IF(D14&lt;TODAY(),"Overdue",""),"")</f>
        <v/>
      </c>
    </row>
    <row r="15">
      <c r="G15">
        <f>IF(AND(B15&lt;&gt;"",D15&lt;&gt;"",OR(E15="Open",E15="In progress",E15="Blocked")),IF(D15&lt;TODAY(),"Overdue",""),"")</f>
        <v/>
      </c>
    </row>
    <row r="16">
      <c r="G16">
        <f>IF(AND(B16&lt;&gt;"",D16&lt;&gt;"",OR(E16="Open",E16="In progress",E16="Blocked")),IF(D16&lt;TODAY(),"Overdue",""),"")</f>
        <v/>
      </c>
    </row>
    <row r="17">
      <c r="G17">
        <f>IF(AND(B17&lt;&gt;"",D17&lt;&gt;"",OR(E17="Open",E17="In progress",E17="Blocked")),IF(D17&lt;TODAY(),"Overdue",""),"")</f>
        <v/>
      </c>
    </row>
    <row r="18">
      <c r="G18">
        <f>IF(AND(B18&lt;&gt;"",D18&lt;&gt;"",OR(E18="Open",E18="In progress",E18="Blocked")),IF(D18&lt;TODAY(),"Overdue",""),"")</f>
        <v/>
      </c>
    </row>
    <row r="19">
      <c r="G19">
        <f>IF(AND(B19&lt;&gt;"",D19&lt;&gt;"",OR(E19="Open",E19="In progress",E19="Blocked")),IF(D19&lt;TODAY(),"Overdue",""),"")</f>
        <v/>
      </c>
    </row>
    <row r="20">
      <c r="G20">
        <f>IF(AND(B20&lt;&gt;"",D20&lt;&gt;"",OR(E20="Open",E20="In progress",E20="Blocked")),IF(D20&lt;TODAY(),"Overdue",""),"")</f>
        <v/>
      </c>
    </row>
    <row r="21">
      <c r="G21">
        <f>IF(AND(B21&lt;&gt;"",D21&lt;&gt;"",OR(E21="Open",E21="In progress",E21="Blocked")),IF(D21&lt;TODAY(),"Overdue",""),"")</f>
        <v/>
      </c>
    </row>
    <row r="22">
      <c r="G22">
        <f>IF(AND(B22&lt;&gt;"",D22&lt;&gt;"",OR(E22="Open",E22="In progress",E22="Blocked")),IF(D22&lt;TODAY(),"Overdue",""),"")</f>
        <v/>
      </c>
    </row>
    <row r="23">
      <c r="G23">
        <f>IF(AND(B23&lt;&gt;"",D23&lt;&gt;"",OR(E23="Open",E23="In progress",E23="Blocked")),IF(D23&lt;TODAY(),"Overdue",""),"")</f>
        <v/>
      </c>
    </row>
    <row r="24">
      <c r="G24">
        <f>IF(AND(B24&lt;&gt;"",D24&lt;&gt;"",OR(E24="Open",E24="In progress",E24="Blocked")),IF(D24&lt;TODAY(),"Overdue",""),"")</f>
        <v/>
      </c>
    </row>
    <row r="25">
      <c r="G25">
        <f>IF(AND(B25&lt;&gt;"",D25&lt;&gt;"",OR(E25="Open",E25="In progress",E25="Blocked")),IF(D25&lt;TODAY(),"Overdue",""),"")</f>
        <v/>
      </c>
    </row>
    <row r="26">
      <c r="A26" s="16">
        <f>"Contract A · Initiative 1   —   "&amp;(COUNTIF($E$27:$E$46,"Open")+COUNTIF($E$27:$E$46,"In progress")+COUNTIF($E$27:$E$46,"Blocked"))&amp;" open · "&amp;COUNTIF($G$27:$G$46,"Overdue")&amp;" overdue"</f>
        <v/>
      </c>
    </row>
    <row r="27">
      <c r="G27">
        <f>IF(AND(B27&lt;&gt;"",D27&lt;&gt;"",OR(E27="Open",E27="In progress",E27="Blocked")),IF(D27&lt;TODAY(),"Overdue",""),"")</f>
        <v/>
      </c>
    </row>
    <row r="28">
      <c r="G28">
        <f>IF(AND(B28&lt;&gt;"",D28&lt;&gt;"",OR(E28="Open",E28="In progress",E28="Blocked")),IF(D28&lt;TODAY(),"Overdue",""),"")</f>
        <v/>
      </c>
    </row>
    <row r="29">
      <c r="G29">
        <f>IF(AND(B29&lt;&gt;"",D29&lt;&gt;"",OR(E29="Open",E29="In progress",E29="Blocked")),IF(D29&lt;TODAY(),"Overdue",""),"")</f>
        <v/>
      </c>
    </row>
    <row r="30">
      <c r="G30">
        <f>IF(AND(B30&lt;&gt;"",D30&lt;&gt;"",OR(E30="Open",E30="In progress",E30="Blocked")),IF(D30&lt;TODAY(),"Overdue",""),"")</f>
        <v/>
      </c>
    </row>
    <row r="31">
      <c r="G31">
        <f>IF(AND(B31&lt;&gt;"",D31&lt;&gt;"",OR(E31="Open",E31="In progress",E31="Blocked")),IF(D31&lt;TODAY(),"Overdue",""),"")</f>
        <v/>
      </c>
    </row>
    <row r="32">
      <c r="G32">
        <f>IF(AND(B32&lt;&gt;"",D32&lt;&gt;"",OR(E32="Open",E32="In progress",E32="Blocked")),IF(D32&lt;TODAY(),"Overdue",""),"")</f>
        <v/>
      </c>
    </row>
    <row r="33">
      <c r="G33">
        <f>IF(AND(B33&lt;&gt;"",D33&lt;&gt;"",OR(E33="Open",E33="In progress",E33="Blocked")),IF(D33&lt;TODAY(),"Overdue",""),"")</f>
        <v/>
      </c>
    </row>
    <row r="34">
      <c r="G34">
        <f>IF(AND(B34&lt;&gt;"",D34&lt;&gt;"",OR(E34="Open",E34="In progress",E34="Blocked")),IF(D34&lt;TODAY(),"Overdue",""),"")</f>
        <v/>
      </c>
    </row>
    <row r="35">
      <c r="G35">
        <f>IF(AND(B35&lt;&gt;"",D35&lt;&gt;"",OR(E35="Open",E35="In progress",E35="Blocked")),IF(D35&lt;TODAY(),"Overdue",""),"")</f>
        <v/>
      </c>
    </row>
    <row r="36">
      <c r="G36">
        <f>IF(AND(B36&lt;&gt;"",D36&lt;&gt;"",OR(E36="Open",E36="In progress",E36="Blocked")),IF(D36&lt;TODAY(),"Overdue",""),"")</f>
        <v/>
      </c>
    </row>
    <row r="37">
      <c r="G37">
        <f>IF(AND(B37&lt;&gt;"",D37&lt;&gt;"",OR(E37="Open",E37="In progress",E37="Blocked")),IF(D37&lt;TODAY(),"Overdue",""),"")</f>
        <v/>
      </c>
    </row>
    <row r="38">
      <c r="G38">
        <f>IF(AND(B38&lt;&gt;"",D38&lt;&gt;"",OR(E38="Open",E38="In progress",E38="Blocked")),IF(D38&lt;TODAY(),"Overdue",""),"")</f>
        <v/>
      </c>
    </row>
    <row r="39">
      <c r="G39">
        <f>IF(AND(B39&lt;&gt;"",D39&lt;&gt;"",OR(E39="Open",E39="In progress",E39="Blocked")),IF(D39&lt;TODAY(),"Overdue",""),"")</f>
        <v/>
      </c>
    </row>
    <row r="40">
      <c r="G40">
        <f>IF(AND(B40&lt;&gt;"",D40&lt;&gt;"",OR(E40="Open",E40="In progress",E40="Blocked")),IF(D40&lt;TODAY(),"Overdue",""),"")</f>
        <v/>
      </c>
    </row>
    <row r="41">
      <c r="G41">
        <f>IF(AND(B41&lt;&gt;"",D41&lt;&gt;"",OR(E41="Open",E41="In progress",E41="Blocked")),IF(D41&lt;TODAY(),"Overdue",""),"")</f>
        <v/>
      </c>
    </row>
    <row r="42">
      <c r="G42">
        <f>IF(AND(B42&lt;&gt;"",D42&lt;&gt;"",OR(E42="Open",E42="In progress",E42="Blocked")),IF(D42&lt;TODAY(),"Overdue",""),"")</f>
        <v/>
      </c>
    </row>
    <row r="43">
      <c r="G43">
        <f>IF(AND(B43&lt;&gt;"",D43&lt;&gt;"",OR(E43="Open",E43="In progress",E43="Blocked")),IF(D43&lt;TODAY(),"Overdue",""),"")</f>
        <v/>
      </c>
    </row>
    <row r="44">
      <c r="G44">
        <f>IF(AND(B44&lt;&gt;"",D44&lt;&gt;"",OR(E44="Open",E44="In progress",E44="Blocked")),IF(D44&lt;TODAY(),"Overdue",""),"")</f>
        <v/>
      </c>
    </row>
    <row r="45">
      <c r="G45">
        <f>IF(AND(B45&lt;&gt;"",D45&lt;&gt;"",OR(E45="Open",E45="In progress",E45="Blocked")),IF(D45&lt;TODAY(),"Overdue",""),"")</f>
        <v/>
      </c>
    </row>
    <row r="46">
      <c r="G46">
        <f>IF(AND(B46&lt;&gt;"",D46&lt;&gt;"",OR(E46="Open",E46="In progress",E46="Blocked")),IF(D46&lt;TODAY(),"Overdue",""),"")</f>
        <v/>
      </c>
    </row>
    <row r="47">
      <c r="A47" s="16">
        <f>"Contract A · Initiative 2   —   "&amp;(COUNTIF($E$48:$E$67,"Open")+COUNTIF($E$48:$E$67,"In progress")+COUNTIF($E$48:$E$67,"Blocked"))&amp;" open · "&amp;COUNTIF($G$48:$G$67,"Overdue")&amp;" overdue"</f>
        <v/>
      </c>
    </row>
    <row r="48">
      <c r="G48">
        <f>IF(AND(B48&lt;&gt;"",D48&lt;&gt;"",OR(E48="Open",E48="In progress",E48="Blocked")),IF(D48&lt;TODAY(),"Overdue",""),"")</f>
        <v/>
      </c>
    </row>
    <row r="49">
      <c r="G49">
        <f>IF(AND(B49&lt;&gt;"",D49&lt;&gt;"",OR(E49="Open",E49="In progress",E49="Blocked")),IF(D49&lt;TODAY(),"Overdue",""),"")</f>
        <v/>
      </c>
    </row>
    <row r="50">
      <c r="G50">
        <f>IF(AND(B50&lt;&gt;"",D50&lt;&gt;"",OR(E50="Open",E50="In progress",E50="Blocked")),IF(D50&lt;TODAY(),"Overdue",""),"")</f>
        <v/>
      </c>
    </row>
    <row r="51">
      <c r="G51">
        <f>IF(AND(B51&lt;&gt;"",D51&lt;&gt;"",OR(E51="Open",E51="In progress",E51="Blocked")),IF(D51&lt;TODAY(),"Overdue",""),"")</f>
        <v/>
      </c>
    </row>
    <row r="52">
      <c r="G52">
        <f>IF(AND(B52&lt;&gt;"",D52&lt;&gt;"",OR(E52="Open",E52="In progress",E52="Blocked")),IF(D52&lt;TODAY(),"Overdue",""),"")</f>
        <v/>
      </c>
    </row>
    <row r="53">
      <c r="G53">
        <f>IF(AND(B53&lt;&gt;"",D53&lt;&gt;"",OR(E53="Open",E53="In progress",E53="Blocked")),IF(D53&lt;TODAY(),"Overdue",""),"")</f>
        <v/>
      </c>
    </row>
    <row r="54">
      <c r="G54">
        <f>IF(AND(B54&lt;&gt;"",D54&lt;&gt;"",OR(E54="Open",E54="In progress",E54="Blocked")),IF(D54&lt;TODAY(),"Overdue",""),"")</f>
        <v/>
      </c>
    </row>
    <row r="55">
      <c r="G55">
        <f>IF(AND(B55&lt;&gt;"",D55&lt;&gt;"",OR(E55="Open",E55="In progress",E55="Blocked")),IF(D55&lt;TODAY(),"Overdue",""),"")</f>
        <v/>
      </c>
    </row>
    <row r="56">
      <c r="G56">
        <f>IF(AND(B56&lt;&gt;"",D56&lt;&gt;"",OR(E56="Open",E56="In progress",E56="Blocked")),IF(D56&lt;TODAY(),"Overdue",""),"")</f>
        <v/>
      </c>
    </row>
    <row r="57">
      <c r="G57">
        <f>IF(AND(B57&lt;&gt;"",D57&lt;&gt;"",OR(E57="Open",E57="In progress",E57="Blocked")),IF(D57&lt;TODAY(),"Overdue",""),"")</f>
        <v/>
      </c>
    </row>
    <row r="58">
      <c r="G58">
        <f>IF(AND(B58&lt;&gt;"",D58&lt;&gt;"",OR(E58="Open",E58="In progress",E58="Blocked")),IF(D58&lt;TODAY(),"Overdue",""),"")</f>
        <v/>
      </c>
    </row>
    <row r="59">
      <c r="G59">
        <f>IF(AND(B59&lt;&gt;"",D59&lt;&gt;"",OR(E59="Open",E59="In progress",E59="Blocked")),IF(D59&lt;TODAY(),"Overdue",""),"")</f>
        <v/>
      </c>
    </row>
    <row r="60">
      <c r="G60">
        <f>IF(AND(B60&lt;&gt;"",D60&lt;&gt;"",OR(E60="Open",E60="In progress",E60="Blocked")),IF(D60&lt;TODAY(),"Overdue",""),"")</f>
        <v/>
      </c>
    </row>
    <row r="61">
      <c r="G61">
        <f>IF(AND(B61&lt;&gt;"",D61&lt;&gt;"",OR(E61="Open",E61="In progress",E61="Blocked")),IF(D61&lt;TODAY(),"Overdue",""),"")</f>
        <v/>
      </c>
    </row>
    <row r="62">
      <c r="G62">
        <f>IF(AND(B62&lt;&gt;"",D62&lt;&gt;"",OR(E62="Open",E62="In progress",E62="Blocked")),IF(D62&lt;TODAY(),"Overdue",""),"")</f>
        <v/>
      </c>
    </row>
    <row r="63">
      <c r="G63">
        <f>IF(AND(B63&lt;&gt;"",D63&lt;&gt;"",OR(E63="Open",E63="In progress",E63="Blocked")),IF(D63&lt;TODAY(),"Overdue",""),"")</f>
        <v/>
      </c>
    </row>
    <row r="64">
      <c r="G64">
        <f>IF(AND(B64&lt;&gt;"",D64&lt;&gt;"",OR(E64="Open",E64="In progress",E64="Blocked")),IF(D64&lt;TODAY(),"Overdue",""),"")</f>
        <v/>
      </c>
    </row>
    <row r="65">
      <c r="G65">
        <f>IF(AND(B65&lt;&gt;"",D65&lt;&gt;"",OR(E65="Open",E65="In progress",E65="Blocked")),IF(D65&lt;TODAY(),"Overdue",""),"")</f>
        <v/>
      </c>
    </row>
    <row r="66">
      <c r="G66">
        <f>IF(AND(B66&lt;&gt;"",D66&lt;&gt;"",OR(E66="Open",E66="In progress",E66="Blocked")),IF(D66&lt;TODAY(),"Overdue",""),"")</f>
        <v/>
      </c>
    </row>
    <row r="67">
      <c r="G67">
        <f>IF(AND(B67&lt;&gt;"",D67&lt;&gt;"",OR(E67="Open",E67="In progress",E67="Blocked")),IF(D67&lt;TODAY(),"Overdue",""),"")</f>
        <v/>
      </c>
    </row>
    <row r="68">
      <c r="A68" s="16">
        <f>"Contract A · Initiative 3   —   "&amp;(COUNTIF($E$69:$E$88,"Open")+COUNTIF($E$69:$E$88,"In progress")+COUNTIF($E$69:$E$88,"Blocked"))&amp;" open · "&amp;COUNTIF($G$69:$G$88,"Overdue")&amp;" overdue"</f>
        <v/>
      </c>
    </row>
    <row r="69">
      <c r="G69">
        <f>IF(AND(B69&lt;&gt;"",D69&lt;&gt;"",OR(E69="Open",E69="In progress",E69="Blocked")),IF(D69&lt;TODAY(),"Overdue",""),"")</f>
        <v/>
      </c>
    </row>
    <row r="70">
      <c r="G70">
        <f>IF(AND(B70&lt;&gt;"",D70&lt;&gt;"",OR(E70="Open",E70="In progress",E70="Blocked")),IF(D70&lt;TODAY(),"Overdue",""),"")</f>
        <v/>
      </c>
    </row>
    <row r="71">
      <c r="G71">
        <f>IF(AND(B71&lt;&gt;"",D71&lt;&gt;"",OR(E71="Open",E71="In progress",E71="Blocked")),IF(D71&lt;TODAY(),"Overdue",""),"")</f>
        <v/>
      </c>
    </row>
    <row r="72">
      <c r="G72">
        <f>IF(AND(B72&lt;&gt;"",D72&lt;&gt;"",OR(E72="Open",E72="In progress",E72="Blocked")),IF(D72&lt;TODAY(),"Overdue",""),"")</f>
        <v/>
      </c>
    </row>
    <row r="73">
      <c r="G73">
        <f>IF(AND(B73&lt;&gt;"",D73&lt;&gt;"",OR(E73="Open",E73="In progress",E73="Blocked")),IF(D73&lt;TODAY(),"Overdue",""),"")</f>
        <v/>
      </c>
    </row>
    <row r="74">
      <c r="G74">
        <f>IF(AND(B74&lt;&gt;"",D74&lt;&gt;"",OR(E74="Open",E74="In progress",E74="Blocked")),IF(D74&lt;TODAY(),"Overdue",""),"")</f>
        <v/>
      </c>
    </row>
    <row r="75">
      <c r="G75">
        <f>IF(AND(B75&lt;&gt;"",D75&lt;&gt;"",OR(E75="Open",E75="In progress",E75="Blocked")),IF(D75&lt;TODAY(),"Overdue",""),"")</f>
        <v/>
      </c>
    </row>
    <row r="76">
      <c r="G76">
        <f>IF(AND(B76&lt;&gt;"",D76&lt;&gt;"",OR(E76="Open",E76="In progress",E76="Blocked")),IF(D76&lt;TODAY(),"Overdue",""),"")</f>
        <v/>
      </c>
    </row>
    <row r="77">
      <c r="G77">
        <f>IF(AND(B77&lt;&gt;"",D77&lt;&gt;"",OR(E77="Open",E77="In progress",E77="Blocked")),IF(D77&lt;TODAY(),"Overdue",""),"")</f>
        <v/>
      </c>
    </row>
    <row r="78">
      <c r="G78">
        <f>IF(AND(B78&lt;&gt;"",D78&lt;&gt;"",OR(E78="Open",E78="In progress",E78="Blocked")),IF(D78&lt;TODAY(),"Overdue",""),"")</f>
        <v/>
      </c>
    </row>
    <row r="79">
      <c r="G79">
        <f>IF(AND(B79&lt;&gt;"",D79&lt;&gt;"",OR(E79="Open",E79="In progress",E79="Blocked")),IF(D79&lt;TODAY(),"Overdue",""),"")</f>
        <v/>
      </c>
    </row>
    <row r="80">
      <c r="G80">
        <f>IF(AND(B80&lt;&gt;"",D80&lt;&gt;"",OR(E80="Open",E80="In progress",E80="Blocked")),IF(D80&lt;TODAY(),"Overdue",""),"")</f>
        <v/>
      </c>
    </row>
    <row r="81">
      <c r="G81">
        <f>IF(AND(B81&lt;&gt;"",D81&lt;&gt;"",OR(E81="Open",E81="In progress",E81="Blocked")),IF(D81&lt;TODAY(),"Overdue",""),"")</f>
        <v/>
      </c>
    </row>
    <row r="82">
      <c r="G82">
        <f>IF(AND(B82&lt;&gt;"",D82&lt;&gt;"",OR(E82="Open",E82="In progress",E82="Blocked")),IF(D82&lt;TODAY(),"Overdue",""),"")</f>
        <v/>
      </c>
    </row>
    <row r="83">
      <c r="G83">
        <f>IF(AND(B83&lt;&gt;"",D83&lt;&gt;"",OR(E83="Open",E83="In progress",E83="Blocked")),IF(D83&lt;TODAY(),"Overdue",""),"")</f>
        <v/>
      </c>
    </row>
    <row r="84">
      <c r="G84">
        <f>IF(AND(B84&lt;&gt;"",D84&lt;&gt;"",OR(E84="Open",E84="In progress",E84="Blocked")),IF(D84&lt;TODAY(),"Overdue",""),"")</f>
        <v/>
      </c>
    </row>
    <row r="85">
      <c r="G85">
        <f>IF(AND(B85&lt;&gt;"",D85&lt;&gt;"",OR(E85="Open",E85="In progress",E85="Blocked")),IF(D85&lt;TODAY(),"Overdue",""),"")</f>
        <v/>
      </c>
    </row>
    <row r="86">
      <c r="G86">
        <f>IF(AND(B86&lt;&gt;"",D86&lt;&gt;"",OR(E86="Open",E86="In progress",E86="Blocked")),IF(D86&lt;TODAY(),"Overdue",""),"")</f>
        <v/>
      </c>
    </row>
    <row r="87">
      <c r="G87">
        <f>IF(AND(B87&lt;&gt;"",D87&lt;&gt;"",OR(E87="Open",E87="In progress",E87="Blocked")),IF(D87&lt;TODAY(),"Overdue",""),"")</f>
        <v/>
      </c>
    </row>
    <row r="88">
      <c r="G88">
        <f>IF(AND(B88&lt;&gt;"",D88&lt;&gt;"",OR(E88="Open",E88="In progress",E88="Blocked")),IF(D88&lt;TODAY(),"Overdue",""),"")</f>
        <v/>
      </c>
    </row>
    <row r="89">
      <c r="A89" s="16">
        <f>"Contract A · Initiative 4   —   "&amp;(COUNTIF($E$90:$E$109,"Open")+COUNTIF($E$90:$E$109,"In progress")+COUNTIF($E$90:$E$109,"Blocked"))&amp;" open · "&amp;COUNTIF($G$90:$G$109,"Overdue")&amp;" overdue"</f>
        <v/>
      </c>
    </row>
    <row r="90">
      <c r="G90">
        <f>IF(AND(B90&lt;&gt;"",D90&lt;&gt;"",OR(E90="Open",E90="In progress",E90="Blocked")),IF(D90&lt;TODAY(),"Overdue",""),"")</f>
        <v/>
      </c>
    </row>
    <row r="91">
      <c r="G91">
        <f>IF(AND(B91&lt;&gt;"",D91&lt;&gt;"",OR(E91="Open",E91="In progress",E91="Blocked")),IF(D91&lt;TODAY(),"Overdue",""),"")</f>
        <v/>
      </c>
    </row>
    <row r="92">
      <c r="G92">
        <f>IF(AND(B92&lt;&gt;"",D92&lt;&gt;"",OR(E92="Open",E92="In progress",E92="Blocked")),IF(D92&lt;TODAY(),"Overdue",""),"")</f>
        <v/>
      </c>
    </row>
    <row r="93">
      <c r="G93">
        <f>IF(AND(B93&lt;&gt;"",D93&lt;&gt;"",OR(E93="Open",E93="In progress",E93="Blocked")),IF(D93&lt;TODAY(),"Overdue",""),"")</f>
        <v/>
      </c>
    </row>
    <row r="94">
      <c r="G94">
        <f>IF(AND(B94&lt;&gt;"",D94&lt;&gt;"",OR(E94="Open",E94="In progress",E94="Blocked")),IF(D94&lt;TODAY(),"Overdue",""),"")</f>
        <v/>
      </c>
    </row>
    <row r="95">
      <c r="G95">
        <f>IF(AND(B95&lt;&gt;"",D95&lt;&gt;"",OR(E95="Open",E95="In progress",E95="Blocked")),IF(D95&lt;TODAY(),"Overdue",""),"")</f>
        <v/>
      </c>
    </row>
    <row r="96">
      <c r="G96">
        <f>IF(AND(B96&lt;&gt;"",D96&lt;&gt;"",OR(E96="Open",E96="In progress",E96="Blocked")),IF(D96&lt;TODAY(),"Overdue",""),"")</f>
        <v/>
      </c>
    </row>
    <row r="97">
      <c r="G97">
        <f>IF(AND(B97&lt;&gt;"",D97&lt;&gt;"",OR(E97="Open",E97="In progress",E97="Blocked")),IF(D97&lt;TODAY(),"Overdue",""),"")</f>
        <v/>
      </c>
    </row>
    <row r="98">
      <c r="G98">
        <f>IF(AND(B98&lt;&gt;"",D98&lt;&gt;"",OR(E98="Open",E98="In progress",E98="Blocked")),IF(D98&lt;TODAY(),"Overdue",""),"")</f>
        <v/>
      </c>
    </row>
    <row r="99">
      <c r="G99">
        <f>IF(AND(B99&lt;&gt;"",D99&lt;&gt;"",OR(E99="Open",E99="In progress",E99="Blocked")),IF(D99&lt;TODAY(),"Overdue",""),"")</f>
        <v/>
      </c>
    </row>
    <row r="100">
      <c r="G100">
        <f>IF(AND(B100&lt;&gt;"",D100&lt;&gt;"",OR(E100="Open",E100="In progress",E100="Blocked")),IF(D100&lt;TODAY(),"Overdue",""),"")</f>
        <v/>
      </c>
    </row>
    <row r="101">
      <c r="G101">
        <f>IF(AND(B101&lt;&gt;"",D101&lt;&gt;"",OR(E101="Open",E101="In progress",E101="Blocked")),IF(D101&lt;TODAY(),"Overdue",""),"")</f>
        <v/>
      </c>
    </row>
    <row r="102">
      <c r="G102">
        <f>IF(AND(B102&lt;&gt;"",D102&lt;&gt;"",OR(E102="Open",E102="In progress",E102="Blocked")),IF(D102&lt;TODAY(),"Overdue",""),"")</f>
        <v/>
      </c>
    </row>
    <row r="103">
      <c r="G103">
        <f>IF(AND(B103&lt;&gt;"",D103&lt;&gt;"",OR(E103="Open",E103="In progress",E103="Blocked")),IF(D103&lt;TODAY(),"Overdue",""),"")</f>
        <v/>
      </c>
    </row>
    <row r="104">
      <c r="G104">
        <f>IF(AND(B104&lt;&gt;"",D104&lt;&gt;"",OR(E104="Open",E104="In progress",E104="Blocked")),IF(D104&lt;TODAY(),"Overdue",""),"")</f>
        <v/>
      </c>
    </row>
    <row r="105">
      <c r="G105">
        <f>IF(AND(B105&lt;&gt;"",D105&lt;&gt;"",OR(E105="Open",E105="In progress",E105="Blocked")),IF(D105&lt;TODAY(),"Overdue",""),"")</f>
        <v/>
      </c>
    </row>
    <row r="106">
      <c r="G106">
        <f>IF(AND(B106&lt;&gt;"",D106&lt;&gt;"",OR(E106="Open",E106="In progress",E106="Blocked")),IF(D106&lt;TODAY(),"Overdue",""),"")</f>
        <v/>
      </c>
    </row>
    <row r="107">
      <c r="G107">
        <f>IF(AND(B107&lt;&gt;"",D107&lt;&gt;"",OR(E107="Open",E107="In progress",E107="Blocked")),IF(D107&lt;TODAY(),"Overdue",""),"")</f>
        <v/>
      </c>
    </row>
    <row r="108">
      <c r="G108">
        <f>IF(AND(B108&lt;&gt;"",D108&lt;&gt;"",OR(E108="Open",E108="In progress",E108="Blocked")),IF(D108&lt;TODAY(),"Overdue",""),"")</f>
        <v/>
      </c>
    </row>
    <row r="109">
      <c r="G109">
        <f>IF(AND(B109&lt;&gt;"",D109&lt;&gt;"",OR(E109="Open",E109="In progress",E109="Blocked")),IF(D109&lt;TODAY(),"Overdue",""),"")</f>
        <v/>
      </c>
    </row>
    <row r="110">
      <c r="A110" s="16">
        <f>"Contract A · Other / new initiative   —   "&amp;(COUNTIF($E$111:$E$130,"Open")+COUNTIF($E$111:$E$130,"In progress")+COUNTIF($E$111:$E$130,"Blocked"))&amp;" open · "&amp;COUNTIF($G$111:$G$130,"Overdue")&amp;" overdue"</f>
        <v/>
      </c>
    </row>
    <row r="111">
      <c r="G111">
        <f>IF(AND(B111&lt;&gt;"",D111&lt;&gt;"",OR(E111="Open",E111="In progress",E111="Blocked")),IF(D111&lt;TODAY(),"Overdue",""),"")</f>
        <v/>
      </c>
    </row>
    <row r="112">
      <c r="G112">
        <f>IF(AND(B112&lt;&gt;"",D112&lt;&gt;"",OR(E112="Open",E112="In progress",E112="Blocked")),IF(D112&lt;TODAY(),"Overdue",""),"")</f>
        <v/>
      </c>
    </row>
    <row r="113">
      <c r="G113">
        <f>IF(AND(B113&lt;&gt;"",D113&lt;&gt;"",OR(E113="Open",E113="In progress",E113="Blocked")),IF(D113&lt;TODAY(),"Overdue",""),"")</f>
        <v/>
      </c>
    </row>
    <row r="114">
      <c r="G114">
        <f>IF(AND(B114&lt;&gt;"",D114&lt;&gt;"",OR(E114="Open",E114="In progress",E114="Blocked")),IF(D114&lt;TODAY(),"Overdue",""),"")</f>
        <v/>
      </c>
    </row>
    <row r="115">
      <c r="G115">
        <f>IF(AND(B115&lt;&gt;"",D115&lt;&gt;"",OR(E115="Open",E115="In progress",E115="Blocked")),IF(D115&lt;TODAY(),"Overdue",""),"")</f>
        <v/>
      </c>
    </row>
    <row r="116">
      <c r="G116">
        <f>IF(AND(B116&lt;&gt;"",D116&lt;&gt;"",OR(E116="Open",E116="In progress",E116="Blocked")),IF(D116&lt;TODAY(),"Overdue",""),"")</f>
        <v/>
      </c>
    </row>
    <row r="117">
      <c r="G117">
        <f>IF(AND(B117&lt;&gt;"",D117&lt;&gt;"",OR(E117="Open",E117="In progress",E117="Blocked")),IF(D117&lt;TODAY(),"Overdue",""),"")</f>
        <v/>
      </c>
    </row>
    <row r="118">
      <c r="G118">
        <f>IF(AND(B118&lt;&gt;"",D118&lt;&gt;"",OR(E118="Open",E118="In progress",E118="Blocked")),IF(D118&lt;TODAY(),"Overdue",""),"")</f>
        <v/>
      </c>
    </row>
    <row r="119">
      <c r="G119">
        <f>IF(AND(B119&lt;&gt;"",D119&lt;&gt;"",OR(E119="Open",E119="In progress",E119="Blocked")),IF(D119&lt;TODAY(),"Overdue",""),"")</f>
        <v/>
      </c>
    </row>
    <row r="120">
      <c r="G120">
        <f>IF(AND(B120&lt;&gt;"",D120&lt;&gt;"",OR(E120="Open",E120="In progress",E120="Blocked")),IF(D120&lt;TODAY(),"Overdue",""),"")</f>
        <v/>
      </c>
    </row>
    <row r="121">
      <c r="G121">
        <f>IF(AND(B121&lt;&gt;"",D121&lt;&gt;"",OR(E121="Open",E121="In progress",E121="Blocked")),IF(D121&lt;TODAY(),"Overdue",""),"")</f>
        <v/>
      </c>
    </row>
    <row r="122">
      <c r="G122">
        <f>IF(AND(B122&lt;&gt;"",D122&lt;&gt;"",OR(E122="Open",E122="In progress",E122="Blocked")),IF(D122&lt;TODAY(),"Overdue",""),"")</f>
        <v/>
      </c>
    </row>
    <row r="123">
      <c r="G123">
        <f>IF(AND(B123&lt;&gt;"",D123&lt;&gt;"",OR(E123="Open",E123="In progress",E123="Blocked")),IF(D123&lt;TODAY(),"Overdue",""),"")</f>
        <v/>
      </c>
    </row>
    <row r="124">
      <c r="G124">
        <f>IF(AND(B124&lt;&gt;"",D124&lt;&gt;"",OR(E124="Open",E124="In progress",E124="Blocked")),IF(D124&lt;TODAY(),"Overdue",""),"")</f>
        <v/>
      </c>
    </row>
    <row r="125">
      <c r="G125">
        <f>IF(AND(B125&lt;&gt;"",D125&lt;&gt;"",OR(E125="Open",E125="In progress",E125="Blocked")),IF(D125&lt;TODAY(),"Overdue",""),"")</f>
        <v/>
      </c>
    </row>
    <row r="126">
      <c r="G126">
        <f>IF(AND(B126&lt;&gt;"",D126&lt;&gt;"",OR(E126="Open",E126="In progress",E126="Blocked")),IF(D126&lt;TODAY(),"Overdue",""),"")</f>
        <v/>
      </c>
    </row>
    <row r="127">
      <c r="G127">
        <f>IF(AND(B127&lt;&gt;"",D127&lt;&gt;"",OR(E127="Open",E127="In progress",E127="Blocked")),IF(D127&lt;TODAY(),"Overdue",""),"")</f>
        <v/>
      </c>
    </row>
    <row r="128">
      <c r="G128">
        <f>IF(AND(B128&lt;&gt;"",D128&lt;&gt;"",OR(E128="Open",E128="In progress",E128="Blocked")),IF(D128&lt;TODAY(),"Overdue",""),"")</f>
        <v/>
      </c>
    </row>
    <row r="129">
      <c r="G129">
        <f>IF(AND(B129&lt;&gt;"",D129&lt;&gt;"",OR(E129="Open",E129="In progress",E129="Blocked")),IF(D129&lt;TODAY(),"Overdue",""),"")</f>
        <v/>
      </c>
    </row>
    <row r="130">
      <c r="G130">
        <f>IF(AND(B130&lt;&gt;"",D130&lt;&gt;"",OR(E130="Open",E130="In progress",E130="Blocked")),IF(D130&lt;TODAY(),"Overdue",""),"")</f>
        <v/>
      </c>
    </row>
    <row r="131">
      <c r="A131" s="8">
        <f>"Contract B   —   "&amp;(COUNTIF($E$131:$E$257,"Open")+COUNTIF($E$131:$E$257,"In progress")+COUNTIF($E$131:$E$257,"Blocked"))&amp;" open · "&amp;COUNTIF($G$131:$G$257,"Overdue")&amp;" overdue"</f>
        <v/>
      </c>
    </row>
    <row r="132">
      <c r="A132" s="16">
        <f>"Contract B · Contract-level   —   "&amp;(COUNTIF($E$133:$E$152,"Open")+COUNTIF($E$133:$E$152,"In progress")+COUNTIF($E$133:$E$152,"Blocked"))&amp;" open · "&amp;COUNTIF($G$133:$G$152,"Overdue")&amp;" overdue"</f>
        <v/>
      </c>
    </row>
    <row r="133">
      <c r="G133">
        <f>IF(AND(B133&lt;&gt;"",D133&lt;&gt;"",OR(E133="Open",E133="In progress",E133="Blocked")),IF(D133&lt;TODAY(),"Overdue",""),"")</f>
        <v/>
      </c>
    </row>
    <row r="134">
      <c r="G134">
        <f>IF(AND(B134&lt;&gt;"",D134&lt;&gt;"",OR(E134="Open",E134="In progress",E134="Blocked")),IF(D134&lt;TODAY(),"Overdue",""),"")</f>
        <v/>
      </c>
    </row>
    <row r="135">
      <c r="G135">
        <f>IF(AND(B135&lt;&gt;"",D135&lt;&gt;"",OR(E135="Open",E135="In progress",E135="Blocked")),IF(D135&lt;TODAY(),"Overdue",""),"")</f>
        <v/>
      </c>
    </row>
    <row r="136">
      <c r="G136">
        <f>IF(AND(B136&lt;&gt;"",D136&lt;&gt;"",OR(E136="Open",E136="In progress",E136="Blocked")),IF(D136&lt;TODAY(),"Overdue",""),"")</f>
        <v/>
      </c>
    </row>
    <row r="137">
      <c r="G137">
        <f>IF(AND(B137&lt;&gt;"",D137&lt;&gt;"",OR(E137="Open",E137="In progress",E137="Blocked")),IF(D137&lt;TODAY(),"Overdue",""),"")</f>
        <v/>
      </c>
    </row>
    <row r="138">
      <c r="G138">
        <f>IF(AND(B138&lt;&gt;"",D138&lt;&gt;"",OR(E138="Open",E138="In progress",E138="Blocked")),IF(D138&lt;TODAY(),"Overdue",""),"")</f>
        <v/>
      </c>
    </row>
    <row r="139">
      <c r="G139">
        <f>IF(AND(B139&lt;&gt;"",D139&lt;&gt;"",OR(E139="Open",E139="In progress",E139="Blocked")),IF(D139&lt;TODAY(),"Overdue",""),"")</f>
        <v/>
      </c>
    </row>
    <row r="140">
      <c r="G140">
        <f>IF(AND(B140&lt;&gt;"",D140&lt;&gt;"",OR(E140="Open",E140="In progress",E140="Blocked")),IF(D140&lt;TODAY(),"Overdue",""),"")</f>
        <v/>
      </c>
    </row>
    <row r="141">
      <c r="G141">
        <f>IF(AND(B141&lt;&gt;"",D141&lt;&gt;"",OR(E141="Open",E141="In progress",E141="Blocked")),IF(D141&lt;TODAY(),"Overdue",""),"")</f>
        <v/>
      </c>
    </row>
    <row r="142">
      <c r="G142">
        <f>IF(AND(B142&lt;&gt;"",D142&lt;&gt;"",OR(E142="Open",E142="In progress",E142="Blocked")),IF(D142&lt;TODAY(),"Overdue",""),"")</f>
        <v/>
      </c>
    </row>
    <row r="143">
      <c r="G143">
        <f>IF(AND(B143&lt;&gt;"",D143&lt;&gt;"",OR(E143="Open",E143="In progress",E143="Blocked")),IF(D143&lt;TODAY(),"Overdue",""),"")</f>
        <v/>
      </c>
    </row>
    <row r="144">
      <c r="G144">
        <f>IF(AND(B144&lt;&gt;"",D144&lt;&gt;"",OR(E144="Open",E144="In progress",E144="Blocked")),IF(D144&lt;TODAY(),"Overdue",""),"")</f>
        <v/>
      </c>
    </row>
    <row r="145">
      <c r="G145">
        <f>IF(AND(B145&lt;&gt;"",D145&lt;&gt;"",OR(E145="Open",E145="In progress",E145="Blocked")),IF(D145&lt;TODAY(),"Overdue",""),"")</f>
        <v/>
      </c>
    </row>
    <row r="146">
      <c r="G146">
        <f>IF(AND(B146&lt;&gt;"",D146&lt;&gt;"",OR(E146="Open",E146="In progress",E146="Blocked")),IF(D146&lt;TODAY(),"Overdue",""),"")</f>
        <v/>
      </c>
    </row>
    <row r="147">
      <c r="G147">
        <f>IF(AND(B147&lt;&gt;"",D147&lt;&gt;"",OR(E147="Open",E147="In progress",E147="Blocked")),IF(D147&lt;TODAY(),"Overdue",""),"")</f>
        <v/>
      </c>
    </row>
    <row r="148">
      <c r="G148">
        <f>IF(AND(B148&lt;&gt;"",D148&lt;&gt;"",OR(E148="Open",E148="In progress",E148="Blocked")),IF(D148&lt;TODAY(),"Overdue",""),"")</f>
        <v/>
      </c>
    </row>
    <row r="149">
      <c r="G149">
        <f>IF(AND(B149&lt;&gt;"",D149&lt;&gt;"",OR(E149="Open",E149="In progress",E149="Blocked")),IF(D149&lt;TODAY(),"Overdue",""),"")</f>
        <v/>
      </c>
    </row>
    <row r="150">
      <c r="G150">
        <f>IF(AND(B150&lt;&gt;"",D150&lt;&gt;"",OR(E150="Open",E150="In progress",E150="Blocked")),IF(D150&lt;TODAY(),"Overdue",""),"")</f>
        <v/>
      </c>
    </row>
    <row r="151">
      <c r="G151">
        <f>IF(AND(B151&lt;&gt;"",D151&lt;&gt;"",OR(E151="Open",E151="In progress",E151="Blocked")),IF(D151&lt;TODAY(),"Overdue",""),"")</f>
        <v/>
      </c>
    </row>
    <row r="152">
      <c r="G152">
        <f>IF(AND(B152&lt;&gt;"",D152&lt;&gt;"",OR(E152="Open",E152="In progress",E152="Blocked")),IF(D152&lt;TODAY(),"Overdue",""),"")</f>
        <v/>
      </c>
    </row>
    <row r="153">
      <c r="A153" s="16">
        <f>"Contract B · Initiative 1   —   "&amp;(COUNTIF($E$154:$E$173,"Open")+COUNTIF($E$154:$E$173,"In progress")+COUNTIF($E$154:$E$173,"Blocked"))&amp;" open · "&amp;COUNTIF($G$154:$G$173,"Overdue")&amp;" overdue"</f>
        <v/>
      </c>
    </row>
    <row r="154">
      <c r="G154">
        <f>IF(AND(B154&lt;&gt;"",D154&lt;&gt;"",OR(E154="Open",E154="In progress",E154="Blocked")),IF(D154&lt;TODAY(),"Overdue",""),"")</f>
        <v/>
      </c>
    </row>
    <row r="155">
      <c r="G155">
        <f>IF(AND(B155&lt;&gt;"",D155&lt;&gt;"",OR(E155="Open",E155="In progress",E155="Blocked")),IF(D155&lt;TODAY(),"Overdue",""),"")</f>
        <v/>
      </c>
    </row>
    <row r="156">
      <c r="G156">
        <f>IF(AND(B156&lt;&gt;"",D156&lt;&gt;"",OR(E156="Open",E156="In progress",E156="Blocked")),IF(D156&lt;TODAY(),"Overdue",""),"")</f>
        <v/>
      </c>
    </row>
    <row r="157">
      <c r="G157">
        <f>IF(AND(B157&lt;&gt;"",D157&lt;&gt;"",OR(E157="Open",E157="In progress",E157="Blocked")),IF(D157&lt;TODAY(),"Overdue",""),"")</f>
        <v/>
      </c>
    </row>
    <row r="158">
      <c r="G158">
        <f>IF(AND(B158&lt;&gt;"",D158&lt;&gt;"",OR(E158="Open",E158="In progress",E158="Blocked")),IF(D158&lt;TODAY(),"Overdue",""),"")</f>
        <v/>
      </c>
    </row>
    <row r="159">
      <c r="G159">
        <f>IF(AND(B159&lt;&gt;"",D159&lt;&gt;"",OR(E159="Open",E159="In progress",E159="Blocked")),IF(D159&lt;TODAY(),"Overdue",""),"")</f>
        <v/>
      </c>
    </row>
    <row r="160">
      <c r="G160">
        <f>IF(AND(B160&lt;&gt;"",D160&lt;&gt;"",OR(E160="Open",E160="In progress",E160="Blocked")),IF(D160&lt;TODAY(),"Overdue",""),"")</f>
        <v/>
      </c>
    </row>
    <row r="161">
      <c r="G161">
        <f>IF(AND(B161&lt;&gt;"",D161&lt;&gt;"",OR(E161="Open",E161="In progress",E161="Blocked")),IF(D161&lt;TODAY(),"Overdue",""),"")</f>
        <v/>
      </c>
    </row>
    <row r="162">
      <c r="G162">
        <f>IF(AND(B162&lt;&gt;"",D162&lt;&gt;"",OR(E162="Open",E162="In progress",E162="Blocked")),IF(D162&lt;TODAY(),"Overdue",""),"")</f>
        <v/>
      </c>
    </row>
    <row r="163">
      <c r="G163">
        <f>IF(AND(B163&lt;&gt;"",D163&lt;&gt;"",OR(E163="Open",E163="In progress",E163="Blocked")),IF(D163&lt;TODAY(),"Overdue",""),"")</f>
        <v/>
      </c>
    </row>
    <row r="164">
      <c r="G164">
        <f>IF(AND(B164&lt;&gt;"",D164&lt;&gt;"",OR(E164="Open",E164="In progress",E164="Blocked")),IF(D164&lt;TODAY(),"Overdue",""),"")</f>
        <v/>
      </c>
    </row>
    <row r="165">
      <c r="G165">
        <f>IF(AND(B165&lt;&gt;"",D165&lt;&gt;"",OR(E165="Open",E165="In progress",E165="Blocked")),IF(D165&lt;TODAY(),"Overdue",""),"")</f>
        <v/>
      </c>
    </row>
    <row r="166">
      <c r="G166">
        <f>IF(AND(B166&lt;&gt;"",D166&lt;&gt;"",OR(E166="Open",E166="In progress",E166="Blocked")),IF(D166&lt;TODAY(),"Overdue",""),"")</f>
        <v/>
      </c>
    </row>
    <row r="167">
      <c r="G167">
        <f>IF(AND(B167&lt;&gt;"",D167&lt;&gt;"",OR(E167="Open",E167="In progress",E167="Blocked")),IF(D167&lt;TODAY(),"Overdue",""),"")</f>
        <v/>
      </c>
    </row>
    <row r="168">
      <c r="G168">
        <f>IF(AND(B168&lt;&gt;"",D168&lt;&gt;"",OR(E168="Open",E168="In progress",E168="Blocked")),IF(D168&lt;TODAY(),"Overdue",""),"")</f>
        <v/>
      </c>
    </row>
    <row r="169">
      <c r="G169">
        <f>IF(AND(B169&lt;&gt;"",D169&lt;&gt;"",OR(E169="Open",E169="In progress",E169="Blocked")),IF(D169&lt;TODAY(),"Overdue",""),"")</f>
        <v/>
      </c>
    </row>
    <row r="170">
      <c r="G170">
        <f>IF(AND(B170&lt;&gt;"",D170&lt;&gt;"",OR(E170="Open",E170="In progress",E170="Blocked")),IF(D170&lt;TODAY(),"Overdue",""),"")</f>
        <v/>
      </c>
    </row>
    <row r="171">
      <c r="G171">
        <f>IF(AND(B171&lt;&gt;"",D171&lt;&gt;"",OR(E171="Open",E171="In progress",E171="Blocked")),IF(D171&lt;TODAY(),"Overdue",""),"")</f>
        <v/>
      </c>
    </row>
    <row r="172">
      <c r="G172">
        <f>IF(AND(B172&lt;&gt;"",D172&lt;&gt;"",OR(E172="Open",E172="In progress",E172="Blocked")),IF(D172&lt;TODAY(),"Overdue",""),"")</f>
        <v/>
      </c>
    </row>
    <row r="173">
      <c r="G173">
        <f>IF(AND(B173&lt;&gt;"",D173&lt;&gt;"",OR(E173="Open",E173="In progress",E173="Blocked")),IF(D173&lt;TODAY(),"Overdue",""),"")</f>
        <v/>
      </c>
    </row>
    <row r="174">
      <c r="A174" s="16">
        <f>"Contract B · Initiative 2   —   "&amp;(COUNTIF($E$175:$E$194,"Open")+COUNTIF($E$175:$E$194,"In progress")+COUNTIF($E$175:$E$194,"Blocked"))&amp;" open · "&amp;COUNTIF($G$175:$G$194,"Overdue")&amp;" overdue"</f>
        <v/>
      </c>
    </row>
    <row r="175">
      <c r="G175">
        <f>IF(AND(B175&lt;&gt;"",D175&lt;&gt;"",OR(E175="Open",E175="In progress",E175="Blocked")),IF(D175&lt;TODAY(),"Overdue",""),"")</f>
        <v/>
      </c>
    </row>
    <row r="176">
      <c r="G176">
        <f>IF(AND(B176&lt;&gt;"",D176&lt;&gt;"",OR(E176="Open",E176="In progress",E176="Blocked")),IF(D176&lt;TODAY(),"Overdue",""),"")</f>
        <v/>
      </c>
    </row>
    <row r="177">
      <c r="G177">
        <f>IF(AND(B177&lt;&gt;"",D177&lt;&gt;"",OR(E177="Open",E177="In progress",E177="Blocked")),IF(D177&lt;TODAY(),"Overdue",""),"")</f>
        <v/>
      </c>
    </row>
    <row r="178">
      <c r="G178">
        <f>IF(AND(B178&lt;&gt;"",D178&lt;&gt;"",OR(E178="Open",E178="In progress",E178="Blocked")),IF(D178&lt;TODAY(),"Overdue",""),"")</f>
        <v/>
      </c>
    </row>
    <row r="179">
      <c r="G179">
        <f>IF(AND(B179&lt;&gt;"",D179&lt;&gt;"",OR(E179="Open",E179="In progress",E179="Blocked")),IF(D179&lt;TODAY(),"Overdue",""),"")</f>
        <v/>
      </c>
    </row>
    <row r="180">
      <c r="G180">
        <f>IF(AND(B180&lt;&gt;"",D180&lt;&gt;"",OR(E180="Open",E180="In progress",E180="Blocked")),IF(D180&lt;TODAY(),"Overdue",""),"")</f>
        <v/>
      </c>
    </row>
    <row r="181">
      <c r="G181">
        <f>IF(AND(B181&lt;&gt;"",D181&lt;&gt;"",OR(E181="Open",E181="In progress",E181="Blocked")),IF(D181&lt;TODAY(),"Overdue",""),"")</f>
        <v/>
      </c>
    </row>
    <row r="182">
      <c r="G182">
        <f>IF(AND(B182&lt;&gt;"",D182&lt;&gt;"",OR(E182="Open",E182="In progress",E182="Blocked")),IF(D182&lt;TODAY(),"Overdue",""),"")</f>
        <v/>
      </c>
    </row>
    <row r="183">
      <c r="G183">
        <f>IF(AND(B183&lt;&gt;"",D183&lt;&gt;"",OR(E183="Open",E183="In progress",E183="Blocked")),IF(D183&lt;TODAY(),"Overdue",""),"")</f>
        <v/>
      </c>
    </row>
    <row r="184">
      <c r="G184">
        <f>IF(AND(B184&lt;&gt;"",D184&lt;&gt;"",OR(E184="Open",E184="In progress",E184="Blocked")),IF(D184&lt;TODAY(),"Overdue",""),"")</f>
        <v/>
      </c>
    </row>
    <row r="185">
      <c r="G185">
        <f>IF(AND(B185&lt;&gt;"",D185&lt;&gt;"",OR(E185="Open",E185="In progress",E185="Blocked")),IF(D185&lt;TODAY(),"Overdue",""),"")</f>
        <v/>
      </c>
    </row>
    <row r="186">
      <c r="G186">
        <f>IF(AND(B186&lt;&gt;"",D186&lt;&gt;"",OR(E186="Open",E186="In progress",E186="Blocked")),IF(D186&lt;TODAY(),"Overdue",""),"")</f>
        <v/>
      </c>
    </row>
    <row r="187">
      <c r="G187">
        <f>IF(AND(B187&lt;&gt;"",D187&lt;&gt;"",OR(E187="Open",E187="In progress",E187="Blocked")),IF(D187&lt;TODAY(),"Overdue",""),"")</f>
        <v/>
      </c>
    </row>
    <row r="188">
      <c r="G188">
        <f>IF(AND(B188&lt;&gt;"",D188&lt;&gt;"",OR(E188="Open",E188="In progress",E188="Blocked")),IF(D188&lt;TODAY(),"Overdue",""),"")</f>
        <v/>
      </c>
    </row>
    <row r="189">
      <c r="G189">
        <f>IF(AND(B189&lt;&gt;"",D189&lt;&gt;"",OR(E189="Open",E189="In progress",E189="Blocked")),IF(D189&lt;TODAY(),"Overdue",""),"")</f>
        <v/>
      </c>
    </row>
    <row r="190">
      <c r="G190">
        <f>IF(AND(B190&lt;&gt;"",D190&lt;&gt;"",OR(E190="Open",E190="In progress",E190="Blocked")),IF(D190&lt;TODAY(),"Overdue",""),"")</f>
        <v/>
      </c>
    </row>
    <row r="191">
      <c r="G191">
        <f>IF(AND(B191&lt;&gt;"",D191&lt;&gt;"",OR(E191="Open",E191="In progress",E191="Blocked")),IF(D191&lt;TODAY(),"Overdue",""),"")</f>
        <v/>
      </c>
    </row>
    <row r="192">
      <c r="G192">
        <f>IF(AND(B192&lt;&gt;"",D192&lt;&gt;"",OR(E192="Open",E192="In progress",E192="Blocked")),IF(D192&lt;TODAY(),"Overdue",""),"")</f>
        <v/>
      </c>
    </row>
    <row r="193">
      <c r="G193">
        <f>IF(AND(B193&lt;&gt;"",D193&lt;&gt;"",OR(E193="Open",E193="In progress",E193="Blocked")),IF(D193&lt;TODAY(),"Overdue",""),"")</f>
        <v/>
      </c>
    </row>
    <row r="194">
      <c r="G194">
        <f>IF(AND(B194&lt;&gt;"",D194&lt;&gt;"",OR(E194="Open",E194="In progress",E194="Blocked")),IF(D194&lt;TODAY(),"Overdue",""),"")</f>
        <v/>
      </c>
    </row>
    <row r="195">
      <c r="A195" s="16">
        <f>"Contract B · Initiative 3   —   "&amp;(COUNTIF($E$196:$E$215,"Open")+COUNTIF($E$196:$E$215,"In progress")+COUNTIF($E$196:$E$215,"Blocked"))&amp;" open · "&amp;COUNTIF($G$196:$G$215,"Overdue")&amp;" overdue"</f>
        <v/>
      </c>
    </row>
    <row r="196">
      <c r="G196">
        <f>IF(AND(B196&lt;&gt;"",D196&lt;&gt;"",OR(E196="Open",E196="In progress",E196="Blocked")),IF(D196&lt;TODAY(),"Overdue",""),"")</f>
        <v/>
      </c>
    </row>
    <row r="197">
      <c r="G197">
        <f>IF(AND(B197&lt;&gt;"",D197&lt;&gt;"",OR(E197="Open",E197="In progress",E197="Blocked")),IF(D197&lt;TODAY(),"Overdue",""),"")</f>
        <v/>
      </c>
    </row>
    <row r="198">
      <c r="G198">
        <f>IF(AND(B198&lt;&gt;"",D198&lt;&gt;"",OR(E198="Open",E198="In progress",E198="Blocked")),IF(D198&lt;TODAY(),"Overdue",""),"")</f>
        <v/>
      </c>
    </row>
    <row r="199">
      <c r="G199">
        <f>IF(AND(B199&lt;&gt;"",D199&lt;&gt;"",OR(E199="Open",E199="In progress",E199="Blocked")),IF(D199&lt;TODAY(),"Overdue",""),"")</f>
        <v/>
      </c>
    </row>
    <row r="200">
      <c r="G200">
        <f>IF(AND(B200&lt;&gt;"",D200&lt;&gt;"",OR(E200="Open",E200="In progress",E200="Blocked")),IF(D200&lt;TODAY(),"Overdue",""),"")</f>
        <v/>
      </c>
    </row>
    <row r="201">
      <c r="G201">
        <f>IF(AND(B201&lt;&gt;"",D201&lt;&gt;"",OR(E201="Open",E201="In progress",E201="Blocked")),IF(D201&lt;TODAY(),"Overdue",""),"")</f>
        <v/>
      </c>
    </row>
    <row r="202">
      <c r="G202">
        <f>IF(AND(B202&lt;&gt;"",D202&lt;&gt;"",OR(E202="Open",E202="In progress",E202="Blocked")),IF(D202&lt;TODAY(),"Overdue",""),"")</f>
        <v/>
      </c>
    </row>
    <row r="203">
      <c r="G203">
        <f>IF(AND(B203&lt;&gt;"",D203&lt;&gt;"",OR(E203="Open",E203="In progress",E203="Blocked")),IF(D203&lt;TODAY(),"Overdue",""),"")</f>
        <v/>
      </c>
    </row>
    <row r="204">
      <c r="G204">
        <f>IF(AND(B204&lt;&gt;"",D204&lt;&gt;"",OR(E204="Open",E204="In progress",E204="Blocked")),IF(D204&lt;TODAY(),"Overdue",""),"")</f>
        <v/>
      </c>
    </row>
    <row r="205">
      <c r="G205">
        <f>IF(AND(B205&lt;&gt;"",D205&lt;&gt;"",OR(E205="Open",E205="In progress",E205="Blocked")),IF(D205&lt;TODAY(),"Overdue",""),"")</f>
        <v/>
      </c>
    </row>
    <row r="206">
      <c r="G206">
        <f>IF(AND(B206&lt;&gt;"",D206&lt;&gt;"",OR(E206="Open",E206="In progress",E206="Blocked")),IF(D206&lt;TODAY(),"Overdue",""),"")</f>
        <v/>
      </c>
    </row>
    <row r="207">
      <c r="G207">
        <f>IF(AND(B207&lt;&gt;"",D207&lt;&gt;"",OR(E207="Open",E207="In progress",E207="Blocked")),IF(D207&lt;TODAY(),"Overdue",""),"")</f>
        <v/>
      </c>
    </row>
    <row r="208">
      <c r="G208">
        <f>IF(AND(B208&lt;&gt;"",D208&lt;&gt;"",OR(E208="Open",E208="In progress",E208="Blocked")),IF(D208&lt;TODAY(),"Overdue",""),"")</f>
        <v/>
      </c>
    </row>
    <row r="209">
      <c r="G209">
        <f>IF(AND(B209&lt;&gt;"",D209&lt;&gt;"",OR(E209="Open",E209="In progress",E209="Blocked")),IF(D209&lt;TODAY(),"Overdue",""),"")</f>
        <v/>
      </c>
    </row>
    <row r="210">
      <c r="G210">
        <f>IF(AND(B210&lt;&gt;"",D210&lt;&gt;"",OR(E210="Open",E210="In progress",E210="Blocked")),IF(D210&lt;TODAY(),"Overdue",""),"")</f>
        <v/>
      </c>
    </row>
    <row r="211">
      <c r="G211">
        <f>IF(AND(B211&lt;&gt;"",D211&lt;&gt;"",OR(E211="Open",E211="In progress",E211="Blocked")),IF(D211&lt;TODAY(),"Overdue",""),"")</f>
        <v/>
      </c>
    </row>
    <row r="212">
      <c r="G212">
        <f>IF(AND(B212&lt;&gt;"",D212&lt;&gt;"",OR(E212="Open",E212="In progress",E212="Blocked")),IF(D212&lt;TODAY(),"Overdue",""),"")</f>
        <v/>
      </c>
    </row>
    <row r="213">
      <c r="G213">
        <f>IF(AND(B213&lt;&gt;"",D213&lt;&gt;"",OR(E213="Open",E213="In progress",E213="Blocked")),IF(D213&lt;TODAY(),"Overdue",""),"")</f>
        <v/>
      </c>
    </row>
    <row r="214">
      <c r="G214">
        <f>IF(AND(B214&lt;&gt;"",D214&lt;&gt;"",OR(E214="Open",E214="In progress",E214="Blocked")),IF(D214&lt;TODAY(),"Overdue",""),"")</f>
        <v/>
      </c>
    </row>
    <row r="215">
      <c r="G215">
        <f>IF(AND(B215&lt;&gt;"",D215&lt;&gt;"",OR(E215="Open",E215="In progress",E215="Blocked")),IF(D215&lt;TODAY(),"Overdue",""),"")</f>
        <v/>
      </c>
    </row>
    <row r="216">
      <c r="A216" s="16">
        <f>"Contract B · Initiative 4   —   "&amp;(COUNTIF($E$217:$E$236,"Open")+COUNTIF($E$217:$E$236,"In progress")+COUNTIF($E$217:$E$236,"Blocked"))&amp;" open · "&amp;COUNTIF($G$217:$G$236,"Overdue")&amp;" overdue"</f>
        <v/>
      </c>
    </row>
    <row r="217">
      <c r="G217">
        <f>IF(AND(B217&lt;&gt;"",D217&lt;&gt;"",OR(E217="Open",E217="In progress",E217="Blocked")),IF(D217&lt;TODAY(),"Overdue",""),"")</f>
        <v/>
      </c>
    </row>
    <row r="218">
      <c r="G218">
        <f>IF(AND(B218&lt;&gt;"",D218&lt;&gt;"",OR(E218="Open",E218="In progress",E218="Blocked")),IF(D218&lt;TODAY(),"Overdue",""),"")</f>
        <v/>
      </c>
    </row>
    <row r="219">
      <c r="G219">
        <f>IF(AND(B219&lt;&gt;"",D219&lt;&gt;"",OR(E219="Open",E219="In progress",E219="Blocked")),IF(D219&lt;TODAY(),"Overdue",""),"")</f>
        <v/>
      </c>
    </row>
    <row r="220">
      <c r="G220">
        <f>IF(AND(B220&lt;&gt;"",D220&lt;&gt;"",OR(E220="Open",E220="In progress",E220="Blocked")),IF(D220&lt;TODAY(),"Overdue",""),"")</f>
        <v/>
      </c>
    </row>
    <row r="221">
      <c r="G221">
        <f>IF(AND(B221&lt;&gt;"",D221&lt;&gt;"",OR(E221="Open",E221="In progress",E221="Blocked")),IF(D221&lt;TODAY(),"Overdue",""),"")</f>
        <v/>
      </c>
    </row>
    <row r="222">
      <c r="G222">
        <f>IF(AND(B222&lt;&gt;"",D222&lt;&gt;"",OR(E222="Open",E222="In progress",E222="Blocked")),IF(D222&lt;TODAY(),"Overdue",""),"")</f>
        <v/>
      </c>
    </row>
    <row r="223">
      <c r="G223">
        <f>IF(AND(B223&lt;&gt;"",D223&lt;&gt;"",OR(E223="Open",E223="In progress",E223="Blocked")),IF(D223&lt;TODAY(),"Overdue",""),"")</f>
        <v/>
      </c>
    </row>
    <row r="224">
      <c r="G224">
        <f>IF(AND(B224&lt;&gt;"",D224&lt;&gt;"",OR(E224="Open",E224="In progress",E224="Blocked")),IF(D224&lt;TODAY(),"Overdue",""),"")</f>
        <v/>
      </c>
    </row>
    <row r="225">
      <c r="G225">
        <f>IF(AND(B225&lt;&gt;"",D225&lt;&gt;"",OR(E225="Open",E225="In progress",E225="Blocked")),IF(D225&lt;TODAY(),"Overdue",""),"")</f>
        <v/>
      </c>
    </row>
    <row r="226">
      <c r="G226">
        <f>IF(AND(B226&lt;&gt;"",D226&lt;&gt;"",OR(E226="Open",E226="In progress",E226="Blocked")),IF(D226&lt;TODAY(),"Overdue",""),"")</f>
        <v/>
      </c>
    </row>
    <row r="227">
      <c r="G227">
        <f>IF(AND(B227&lt;&gt;"",D227&lt;&gt;"",OR(E227="Open",E227="In progress",E227="Blocked")),IF(D227&lt;TODAY(),"Overdue",""),"")</f>
        <v/>
      </c>
    </row>
    <row r="228">
      <c r="G228">
        <f>IF(AND(B228&lt;&gt;"",D228&lt;&gt;"",OR(E228="Open",E228="In progress",E228="Blocked")),IF(D228&lt;TODAY(),"Overdue",""),"")</f>
        <v/>
      </c>
    </row>
    <row r="229">
      <c r="G229">
        <f>IF(AND(B229&lt;&gt;"",D229&lt;&gt;"",OR(E229="Open",E229="In progress",E229="Blocked")),IF(D229&lt;TODAY(),"Overdue",""),"")</f>
        <v/>
      </c>
    </row>
    <row r="230">
      <c r="G230">
        <f>IF(AND(B230&lt;&gt;"",D230&lt;&gt;"",OR(E230="Open",E230="In progress",E230="Blocked")),IF(D230&lt;TODAY(),"Overdue",""),"")</f>
        <v/>
      </c>
    </row>
    <row r="231">
      <c r="G231">
        <f>IF(AND(B231&lt;&gt;"",D231&lt;&gt;"",OR(E231="Open",E231="In progress",E231="Blocked")),IF(D231&lt;TODAY(),"Overdue",""),"")</f>
        <v/>
      </c>
    </row>
    <row r="232">
      <c r="G232">
        <f>IF(AND(B232&lt;&gt;"",D232&lt;&gt;"",OR(E232="Open",E232="In progress",E232="Blocked")),IF(D232&lt;TODAY(),"Overdue",""),"")</f>
        <v/>
      </c>
    </row>
    <row r="233">
      <c r="G233">
        <f>IF(AND(B233&lt;&gt;"",D233&lt;&gt;"",OR(E233="Open",E233="In progress",E233="Blocked")),IF(D233&lt;TODAY(),"Overdue",""),"")</f>
        <v/>
      </c>
    </row>
    <row r="234">
      <c r="G234">
        <f>IF(AND(B234&lt;&gt;"",D234&lt;&gt;"",OR(E234="Open",E234="In progress",E234="Blocked")),IF(D234&lt;TODAY(),"Overdue",""),"")</f>
        <v/>
      </c>
    </row>
    <row r="235">
      <c r="G235">
        <f>IF(AND(B235&lt;&gt;"",D235&lt;&gt;"",OR(E235="Open",E235="In progress",E235="Blocked")),IF(D235&lt;TODAY(),"Overdue",""),"")</f>
        <v/>
      </c>
    </row>
    <row r="236">
      <c r="G236">
        <f>IF(AND(B236&lt;&gt;"",D236&lt;&gt;"",OR(E236="Open",E236="In progress",E236="Blocked")),IF(D236&lt;TODAY(),"Overdue",""),"")</f>
        <v/>
      </c>
    </row>
    <row r="237">
      <c r="A237" s="16">
        <f>"Contract B · Other / new initiative   —   "&amp;(COUNTIF($E$238:$E$257,"Open")+COUNTIF($E$238:$E$257,"In progress")+COUNTIF($E$238:$E$257,"Blocked"))&amp;" open · "&amp;COUNTIF($G$238:$G$257,"Overdue")&amp;" overdue"</f>
        <v/>
      </c>
    </row>
    <row r="238">
      <c r="G238">
        <f>IF(AND(B238&lt;&gt;"",D238&lt;&gt;"",OR(E238="Open",E238="In progress",E238="Blocked")),IF(D238&lt;TODAY(),"Overdue",""),"")</f>
        <v/>
      </c>
    </row>
    <row r="239">
      <c r="G239">
        <f>IF(AND(B239&lt;&gt;"",D239&lt;&gt;"",OR(E239="Open",E239="In progress",E239="Blocked")),IF(D239&lt;TODAY(),"Overdue",""),"")</f>
        <v/>
      </c>
    </row>
    <row r="240">
      <c r="G240">
        <f>IF(AND(B240&lt;&gt;"",D240&lt;&gt;"",OR(E240="Open",E240="In progress",E240="Blocked")),IF(D240&lt;TODAY(),"Overdue",""),"")</f>
        <v/>
      </c>
    </row>
    <row r="241">
      <c r="G241">
        <f>IF(AND(B241&lt;&gt;"",D241&lt;&gt;"",OR(E241="Open",E241="In progress",E241="Blocked")),IF(D241&lt;TODAY(),"Overdue",""),"")</f>
        <v/>
      </c>
    </row>
    <row r="242">
      <c r="G242">
        <f>IF(AND(B242&lt;&gt;"",D242&lt;&gt;"",OR(E242="Open",E242="In progress",E242="Blocked")),IF(D242&lt;TODAY(),"Overdue",""),"")</f>
        <v/>
      </c>
    </row>
    <row r="243">
      <c r="G243">
        <f>IF(AND(B243&lt;&gt;"",D243&lt;&gt;"",OR(E243="Open",E243="In progress",E243="Blocked")),IF(D243&lt;TODAY(),"Overdue",""),"")</f>
        <v/>
      </c>
    </row>
    <row r="244">
      <c r="G244">
        <f>IF(AND(B244&lt;&gt;"",D244&lt;&gt;"",OR(E244="Open",E244="In progress",E244="Blocked")),IF(D244&lt;TODAY(),"Overdue",""),"")</f>
        <v/>
      </c>
    </row>
    <row r="245">
      <c r="G245">
        <f>IF(AND(B245&lt;&gt;"",D245&lt;&gt;"",OR(E245="Open",E245="In progress",E245="Blocked")),IF(D245&lt;TODAY(),"Overdue",""),"")</f>
        <v/>
      </c>
    </row>
    <row r="246">
      <c r="G246">
        <f>IF(AND(B246&lt;&gt;"",D246&lt;&gt;"",OR(E246="Open",E246="In progress",E246="Blocked")),IF(D246&lt;TODAY(),"Overdue",""),"")</f>
        <v/>
      </c>
    </row>
    <row r="247">
      <c r="G247">
        <f>IF(AND(B247&lt;&gt;"",D247&lt;&gt;"",OR(E247="Open",E247="In progress",E247="Blocked")),IF(D247&lt;TODAY(),"Overdue",""),"")</f>
        <v/>
      </c>
    </row>
    <row r="248">
      <c r="G248">
        <f>IF(AND(B248&lt;&gt;"",D248&lt;&gt;"",OR(E248="Open",E248="In progress",E248="Blocked")),IF(D248&lt;TODAY(),"Overdue",""),"")</f>
        <v/>
      </c>
    </row>
    <row r="249">
      <c r="G249">
        <f>IF(AND(B249&lt;&gt;"",D249&lt;&gt;"",OR(E249="Open",E249="In progress",E249="Blocked")),IF(D249&lt;TODAY(),"Overdue",""),"")</f>
        <v/>
      </c>
    </row>
    <row r="250">
      <c r="G250">
        <f>IF(AND(B250&lt;&gt;"",D250&lt;&gt;"",OR(E250="Open",E250="In progress",E250="Blocked")),IF(D250&lt;TODAY(),"Overdue",""),"")</f>
        <v/>
      </c>
    </row>
    <row r="251">
      <c r="G251">
        <f>IF(AND(B251&lt;&gt;"",D251&lt;&gt;"",OR(E251="Open",E251="In progress",E251="Blocked")),IF(D251&lt;TODAY(),"Overdue",""),"")</f>
        <v/>
      </c>
    </row>
    <row r="252">
      <c r="G252">
        <f>IF(AND(B252&lt;&gt;"",D252&lt;&gt;"",OR(E252="Open",E252="In progress",E252="Blocked")),IF(D252&lt;TODAY(),"Overdue",""),"")</f>
        <v/>
      </c>
    </row>
    <row r="253">
      <c r="G253">
        <f>IF(AND(B253&lt;&gt;"",D253&lt;&gt;"",OR(E253="Open",E253="In progress",E253="Blocked")),IF(D253&lt;TODAY(),"Overdue",""),"")</f>
        <v/>
      </c>
    </row>
    <row r="254">
      <c r="G254">
        <f>IF(AND(B254&lt;&gt;"",D254&lt;&gt;"",OR(E254="Open",E254="In progress",E254="Blocked")),IF(D254&lt;TODAY(),"Overdue",""),"")</f>
        <v/>
      </c>
    </row>
    <row r="255">
      <c r="G255">
        <f>IF(AND(B255&lt;&gt;"",D255&lt;&gt;"",OR(E255="Open",E255="In progress",E255="Blocked")),IF(D255&lt;TODAY(),"Overdue",""),"")</f>
        <v/>
      </c>
    </row>
    <row r="256">
      <c r="G256">
        <f>IF(AND(B256&lt;&gt;"",D256&lt;&gt;"",OR(E256="Open",E256="In progress",E256="Blocked")),IF(D256&lt;TODAY(),"Overdue",""),"")</f>
        <v/>
      </c>
    </row>
    <row r="257">
      <c r="G257">
        <f>IF(AND(B257&lt;&gt;"",D257&lt;&gt;"",OR(E257="Open",E257="In progress",E257="Blocked")),IF(D257&lt;TODAY(),"Overdue",""),"")</f>
        <v/>
      </c>
    </row>
    <row r="258">
      <c r="A258" s="8">
        <f>"Contract C   —   "&amp;(COUNTIF($E$258:$E$384,"Open")+COUNTIF($E$258:$E$384,"In progress")+COUNTIF($E$258:$E$384,"Blocked"))&amp;" open · "&amp;COUNTIF($G$258:$G$384,"Overdue")&amp;" overdue"</f>
        <v/>
      </c>
    </row>
    <row r="259">
      <c r="A259" s="16">
        <f>"Contract C · Contract-level   —   "&amp;(COUNTIF($E$260:$E$279,"Open")+COUNTIF($E$260:$E$279,"In progress")+COUNTIF($E$260:$E$279,"Blocked"))&amp;" open · "&amp;COUNTIF($G$260:$G$279,"Overdue")&amp;" overdue"</f>
        <v/>
      </c>
    </row>
    <row r="260">
      <c r="G260">
        <f>IF(AND(B260&lt;&gt;"",D260&lt;&gt;"",OR(E260="Open",E260="In progress",E260="Blocked")),IF(D260&lt;TODAY(),"Overdue",""),"")</f>
        <v/>
      </c>
    </row>
    <row r="261">
      <c r="G261">
        <f>IF(AND(B261&lt;&gt;"",D261&lt;&gt;"",OR(E261="Open",E261="In progress",E261="Blocked")),IF(D261&lt;TODAY(),"Overdue",""),"")</f>
        <v/>
      </c>
    </row>
    <row r="262">
      <c r="G262">
        <f>IF(AND(B262&lt;&gt;"",D262&lt;&gt;"",OR(E262="Open",E262="In progress",E262="Blocked")),IF(D262&lt;TODAY(),"Overdue",""),"")</f>
        <v/>
      </c>
    </row>
    <row r="263">
      <c r="G263">
        <f>IF(AND(B263&lt;&gt;"",D263&lt;&gt;"",OR(E263="Open",E263="In progress",E263="Blocked")),IF(D263&lt;TODAY(),"Overdue",""),"")</f>
        <v/>
      </c>
    </row>
    <row r="264">
      <c r="G264">
        <f>IF(AND(B264&lt;&gt;"",D264&lt;&gt;"",OR(E264="Open",E264="In progress",E264="Blocked")),IF(D264&lt;TODAY(),"Overdue",""),"")</f>
        <v/>
      </c>
    </row>
    <row r="265">
      <c r="G265">
        <f>IF(AND(B265&lt;&gt;"",D265&lt;&gt;"",OR(E265="Open",E265="In progress",E265="Blocked")),IF(D265&lt;TODAY(),"Overdue",""),"")</f>
        <v/>
      </c>
    </row>
    <row r="266">
      <c r="G266">
        <f>IF(AND(B266&lt;&gt;"",D266&lt;&gt;"",OR(E266="Open",E266="In progress",E266="Blocked")),IF(D266&lt;TODAY(),"Overdue",""),"")</f>
        <v/>
      </c>
    </row>
    <row r="267">
      <c r="G267">
        <f>IF(AND(B267&lt;&gt;"",D267&lt;&gt;"",OR(E267="Open",E267="In progress",E267="Blocked")),IF(D267&lt;TODAY(),"Overdue",""),"")</f>
        <v/>
      </c>
    </row>
    <row r="268">
      <c r="G268">
        <f>IF(AND(B268&lt;&gt;"",D268&lt;&gt;"",OR(E268="Open",E268="In progress",E268="Blocked")),IF(D268&lt;TODAY(),"Overdue",""),"")</f>
        <v/>
      </c>
    </row>
    <row r="269">
      <c r="G269">
        <f>IF(AND(B269&lt;&gt;"",D269&lt;&gt;"",OR(E269="Open",E269="In progress",E269="Blocked")),IF(D269&lt;TODAY(),"Overdue",""),"")</f>
        <v/>
      </c>
    </row>
    <row r="270">
      <c r="G270">
        <f>IF(AND(B270&lt;&gt;"",D270&lt;&gt;"",OR(E270="Open",E270="In progress",E270="Blocked")),IF(D270&lt;TODAY(),"Overdue",""),"")</f>
        <v/>
      </c>
    </row>
    <row r="271">
      <c r="G271">
        <f>IF(AND(B271&lt;&gt;"",D271&lt;&gt;"",OR(E271="Open",E271="In progress",E271="Blocked")),IF(D271&lt;TODAY(),"Overdue",""),"")</f>
        <v/>
      </c>
    </row>
    <row r="272">
      <c r="G272">
        <f>IF(AND(B272&lt;&gt;"",D272&lt;&gt;"",OR(E272="Open",E272="In progress",E272="Blocked")),IF(D272&lt;TODAY(),"Overdue",""),"")</f>
        <v/>
      </c>
    </row>
    <row r="273">
      <c r="G273">
        <f>IF(AND(B273&lt;&gt;"",D273&lt;&gt;"",OR(E273="Open",E273="In progress",E273="Blocked")),IF(D273&lt;TODAY(),"Overdue",""),"")</f>
        <v/>
      </c>
    </row>
    <row r="274">
      <c r="G274">
        <f>IF(AND(B274&lt;&gt;"",D274&lt;&gt;"",OR(E274="Open",E274="In progress",E274="Blocked")),IF(D274&lt;TODAY(),"Overdue",""),"")</f>
        <v/>
      </c>
    </row>
    <row r="275">
      <c r="G275">
        <f>IF(AND(B275&lt;&gt;"",D275&lt;&gt;"",OR(E275="Open",E275="In progress",E275="Blocked")),IF(D275&lt;TODAY(),"Overdue",""),"")</f>
        <v/>
      </c>
    </row>
    <row r="276">
      <c r="G276">
        <f>IF(AND(B276&lt;&gt;"",D276&lt;&gt;"",OR(E276="Open",E276="In progress",E276="Blocked")),IF(D276&lt;TODAY(),"Overdue",""),"")</f>
        <v/>
      </c>
    </row>
    <row r="277">
      <c r="G277">
        <f>IF(AND(B277&lt;&gt;"",D277&lt;&gt;"",OR(E277="Open",E277="In progress",E277="Blocked")),IF(D277&lt;TODAY(),"Overdue",""),"")</f>
        <v/>
      </c>
    </row>
    <row r="278">
      <c r="G278">
        <f>IF(AND(B278&lt;&gt;"",D278&lt;&gt;"",OR(E278="Open",E278="In progress",E278="Blocked")),IF(D278&lt;TODAY(),"Overdue",""),"")</f>
        <v/>
      </c>
    </row>
    <row r="279">
      <c r="G279">
        <f>IF(AND(B279&lt;&gt;"",D279&lt;&gt;"",OR(E279="Open",E279="In progress",E279="Blocked")),IF(D279&lt;TODAY(),"Overdue",""),"")</f>
        <v/>
      </c>
    </row>
    <row r="280">
      <c r="A280" s="16">
        <f>"Contract C · Initiative 1   —   "&amp;(COUNTIF($E$281:$E$300,"Open")+COUNTIF($E$281:$E$300,"In progress")+COUNTIF($E$281:$E$300,"Blocked"))&amp;" open · "&amp;COUNTIF($G$281:$G$300,"Overdue")&amp;" overdue"</f>
        <v/>
      </c>
    </row>
    <row r="281">
      <c r="G281">
        <f>IF(AND(B281&lt;&gt;"",D281&lt;&gt;"",OR(E281="Open",E281="In progress",E281="Blocked")),IF(D281&lt;TODAY(),"Overdue",""),"")</f>
        <v/>
      </c>
    </row>
    <row r="282">
      <c r="G282">
        <f>IF(AND(B282&lt;&gt;"",D282&lt;&gt;"",OR(E282="Open",E282="In progress",E282="Blocked")),IF(D282&lt;TODAY(),"Overdue",""),"")</f>
        <v/>
      </c>
    </row>
    <row r="283">
      <c r="G283">
        <f>IF(AND(B283&lt;&gt;"",D283&lt;&gt;"",OR(E283="Open",E283="In progress",E283="Blocked")),IF(D283&lt;TODAY(),"Overdue",""),"")</f>
        <v/>
      </c>
    </row>
    <row r="284">
      <c r="G284">
        <f>IF(AND(B284&lt;&gt;"",D284&lt;&gt;"",OR(E284="Open",E284="In progress",E284="Blocked")),IF(D284&lt;TODAY(),"Overdue",""),"")</f>
        <v/>
      </c>
    </row>
    <row r="285">
      <c r="G285">
        <f>IF(AND(B285&lt;&gt;"",D285&lt;&gt;"",OR(E285="Open",E285="In progress",E285="Blocked")),IF(D285&lt;TODAY(),"Overdue",""),"")</f>
        <v/>
      </c>
    </row>
    <row r="286">
      <c r="G286">
        <f>IF(AND(B286&lt;&gt;"",D286&lt;&gt;"",OR(E286="Open",E286="In progress",E286="Blocked")),IF(D286&lt;TODAY(),"Overdue",""),"")</f>
        <v/>
      </c>
    </row>
    <row r="287">
      <c r="G287">
        <f>IF(AND(B287&lt;&gt;"",D287&lt;&gt;"",OR(E287="Open",E287="In progress",E287="Blocked")),IF(D287&lt;TODAY(),"Overdue",""),"")</f>
        <v/>
      </c>
    </row>
    <row r="288">
      <c r="G288">
        <f>IF(AND(B288&lt;&gt;"",D288&lt;&gt;"",OR(E288="Open",E288="In progress",E288="Blocked")),IF(D288&lt;TODAY(),"Overdue",""),"")</f>
        <v/>
      </c>
    </row>
    <row r="289">
      <c r="G289">
        <f>IF(AND(B289&lt;&gt;"",D289&lt;&gt;"",OR(E289="Open",E289="In progress",E289="Blocked")),IF(D289&lt;TODAY(),"Overdue",""),"")</f>
        <v/>
      </c>
    </row>
    <row r="290">
      <c r="G290">
        <f>IF(AND(B290&lt;&gt;"",D290&lt;&gt;"",OR(E290="Open",E290="In progress",E290="Blocked")),IF(D290&lt;TODAY(),"Overdue",""),"")</f>
        <v/>
      </c>
    </row>
    <row r="291">
      <c r="G291">
        <f>IF(AND(B291&lt;&gt;"",D291&lt;&gt;"",OR(E291="Open",E291="In progress",E291="Blocked")),IF(D291&lt;TODAY(),"Overdue",""),"")</f>
        <v/>
      </c>
    </row>
    <row r="292">
      <c r="G292">
        <f>IF(AND(B292&lt;&gt;"",D292&lt;&gt;"",OR(E292="Open",E292="In progress",E292="Blocked")),IF(D292&lt;TODAY(),"Overdue",""),"")</f>
        <v/>
      </c>
    </row>
    <row r="293">
      <c r="G293">
        <f>IF(AND(B293&lt;&gt;"",D293&lt;&gt;"",OR(E293="Open",E293="In progress",E293="Blocked")),IF(D293&lt;TODAY(),"Overdue",""),"")</f>
        <v/>
      </c>
    </row>
    <row r="294">
      <c r="G294">
        <f>IF(AND(B294&lt;&gt;"",D294&lt;&gt;"",OR(E294="Open",E294="In progress",E294="Blocked")),IF(D294&lt;TODAY(),"Overdue",""),"")</f>
        <v/>
      </c>
    </row>
    <row r="295">
      <c r="G295">
        <f>IF(AND(B295&lt;&gt;"",D295&lt;&gt;"",OR(E295="Open",E295="In progress",E295="Blocked")),IF(D295&lt;TODAY(),"Overdue",""),"")</f>
        <v/>
      </c>
    </row>
    <row r="296">
      <c r="G296">
        <f>IF(AND(B296&lt;&gt;"",D296&lt;&gt;"",OR(E296="Open",E296="In progress",E296="Blocked")),IF(D296&lt;TODAY(),"Overdue",""),"")</f>
        <v/>
      </c>
    </row>
    <row r="297">
      <c r="G297">
        <f>IF(AND(B297&lt;&gt;"",D297&lt;&gt;"",OR(E297="Open",E297="In progress",E297="Blocked")),IF(D297&lt;TODAY(),"Overdue",""),"")</f>
        <v/>
      </c>
    </row>
    <row r="298">
      <c r="G298">
        <f>IF(AND(B298&lt;&gt;"",D298&lt;&gt;"",OR(E298="Open",E298="In progress",E298="Blocked")),IF(D298&lt;TODAY(),"Overdue",""),"")</f>
        <v/>
      </c>
    </row>
    <row r="299">
      <c r="G299">
        <f>IF(AND(B299&lt;&gt;"",D299&lt;&gt;"",OR(E299="Open",E299="In progress",E299="Blocked")),IF(D299&lt;TODAY(),"Overdue",""),"")</f>
        <v/>
      </c>
    </row>
    <row r="300">
      <c r="G300">
        <f>IF(AND(B300&lt;&gt;"",D300&lt;&gt;"",OR(E300="Open",E300="In progress",E300="Blocked")),IF(D300&lt;TODAY(),"Overdue",""),"")</f>
        <v/>
      </c>
    </row>
    <row r="301">
      <c r="A301" s="16">
        <f>"Contract C · Initiative 2   —   "&amp;(COUNTIF($E$302:$E$321,"Open")+COUNTIF($E$302:$E$321,"In progress")+COUNTIF($E$302:$E$321,"Blocked"))&amp;" open · "&amp;COUNTIF($G$302:$G$321,"Overdue")&amp;" overdue"</f>
        <v/>
      </c>
    </row>
    <row r="302">
      <c r="G302">
        <f>IF(AND(B302&lt;&gt;"",D302&lt;&gt;"",OR(E302="Open",E302="In progress",E302="Blocked")),IF(D302&lt;TODAY(),"Overdue",""),"")</f>
        <v/>
      </c>
    </row>
    <row r="303">
      <c r="G303">
        <f>IF(AND(B303&lt;&gt;"",D303&lt;&gt;"",OR(E303="Open",E303="In progress",E303="Blocked")),IF(D303&lt;TODAY(),"Overdue",""),"")</f>
        <v/>
      </c>
    </row>
    <row r="304">
      <c r="G304">
        <f>IF(AND(B304&lt;&gt;"",D304&lt;&gt;"",OR(E304="Open",E304="In progress",E304="Blocked")),IF(D304&lt;TODAY(),"Overdue",""),"")</f>
        <v/>
      </c>
    </row>
    <row r="305">
      <c r="G305">
        <f>IF(AND(B305&lt;&gt;"",D305&lt;&gt;"",OR(E305="Open",E305="In progress",E305="Blocked")),IF(D305&lt;TODAY(),"Overdue",""),"")</f>
        <v/>
      </c>
    </row>
    <row r="306">
      <c r="G306">
        <f>IF(AND(B306&lt;&gt;"",D306&lt;&gt;"",OR(E306="Open",E306="In progress",E306="Blocked")),IF(D306&lt;TODAY(),"Overdue",""),"")</f>
        <v/>
      </c>
    </row>
    <row r="307">
      <c r="G307">
        <f>IF(AND(B307&lt;&gt;"",D307&lt;&gt;"",OR(E307="Open",E307="In progress",E307="Blocked")),IF(D307&lt;TODAY(),"Overdue",""),"")</f>
        <v/>
      </c>
    </row>
    <row r="308">
      <c r="G308">
        <f>IF(AND(B308&lt;&gt;"",D308&lt;&gt;"",OR(E308="Open",E308="In progress",E308="Blocked")),IF(D308&lt;TODAY(),"Overdue",""),"")</f>
        <v/>
      </c>
    </row>
    <row r="309">
      <c r="G309">
        <f>IF(AND(B309&lt;&gt;"",D309&lt;&gt;"",OR(E309="Open",E309="In progress",E309="Blocked")),IF(D309&lt;TODAY(),"Overdue",""),"")</f>
        <v/>
      </c>
    </row>
    <row r="310">
      <c r="G310">
        <f>IF(AND(B310&lt;&gt;"",D310&lt;&gt;"",OR(E310="Open",E310="In progress",E310="Blocked")),IF(D310&lt;TODAY(),"Overdue",""),"")</f>
        <v/>
      </c>
    </row>
    <row r="311">
      <c r="G311">
        <f>IF(AND(B311&lt;&gt;"",D311&lt;&gt;"",OR(E311="Open",E311="In progress",E311="Blocked")),IF(D311&lt;TODAY(),"Overdue",""),"")</f>
        <v/>
      </c>
    </row>
    <row r="312">
      <c r="G312">
        <f>IF(AND(B312&lt;&gt;"",D312&lt;&gt;"",OR(E312="Open",E312="In progress",E312="Blocked")),IF(D312&lt;TODAY(),"Overdue",""),"")</f>
        <v/>
      </c>
    </row>
    <row r="313">
      <c r="G313">
        <f>IF(AND(B313&lt;&gt;"",D313&lt;&gt;"",OR(E313="Open",E313="In progress",E313="Blocked")),IF(D313&lt;TODAY(),"Overdue",""),"")</f>
        <v/>
      </c>
    </row>
    <row r="314">
      <c r="G314">
        <f>IF(AND(B314&lt;&gt;"",D314&lt;&gt;"",OR(E314="Open",E314="In progress",E314="Blocked")),IF(D314&lt;TODAY(),"Overdue",""),"")</f>
        <v/>
      </c>
    </row>
    <row r="315">
      <c r="G315">
        <f>IF(AND(B315&lt;&gt;"",D315&lt;&gt;"",OR(E315="Open",E315="In progress",E315="Blocked")),IF(D315&lt;TODAY(),"Overdue",""),"")</f>
        <v/>
      </c>
    </row>
    <row r="316">
      <c r="G316">
        <f>IF(AND(B316&lt;&gt;"",D316&lt;&gt;"",OR(E316="Open",E316="In progress",E316="Blocked")),IF(D316&lt;TODAY(),"Overdue",""),"")</f>
        <v/>
      </c>
    </row>
    <row r="317">
      <c r="G317">
        <f>IF(AND(B317&lt;&gt;"",D317&lt;&gt;"",OR(E317="Open",E317="In progress",E317="Blocked")),IF(D317&lt;TODAY(),"Overdue",""),"")</f>
        <v/>
      </c>
    </row>
    <row r="318">
      <c r="G318">
        <f>IF(AND(B318&lt;&gt;"",D318&lt;&gt;"",OR(E318="Open",E318="In progress",E318="Blocked")),IF(D318&lt;TODAY(),"Overdue",""),"")</f>
        <v/>
      </c>
    </row>
    <row r="319">
      <c r="G319">
        <f>IF(AND(B319&lt;&gt;"",D319&lt;&gt;"",OR(E319="Open",E319="In progress",E319="Blocked")),IF(D319&lt;TODAY(),"Overdue",""),"")</f>
        <v/>
      </c>
    </row>
    <row r="320">
      <c r="G320">
        <f>IF(AND(B320&lt;&gt;"",D320&lt;&gt;"",OR(E320="Open",E320="In progress",E320="Blocked")),IF(D320&lt;TODAY(),"Overdue",""),"")</f>
        <v/>
      </c>
    </row>
    <row r="321">
      <c r="G321">
        <f>IF(AND(B321&lt;&gt;"",D321&lt;&gt;"",OR(E321="Open",E321="In progress",E321="Blocked")),IF(D321&lt;TODAY(),"Overdue",""),"")</f>
        <v/>
      </c>
    </row>
    <row r="322">
      <c r="A322" s="16">
        <f>"Contract C · Initiative 3   —   "&amp;(COUNTIF($E$323:$E$342,"Open")+COUNTIF($E$323:$E$342,"In progress")+COUNTIF($E$323:$E$342,"Blocked"))&amp;" open · "&amp;COUNTIF($G$323:$G$342,"Overdue")&amp;" overdue"</f>
        <v/>
      </c>
    </row>
    <row r="323">
      <c r="G323">
        <f>IF(AND(B323&lt;&gt;"",D323&lt;&gt;"",OR(E323="Open",E323="In progress",E323="Blocked")),IF(D323&lt;TODAY(),"Overdue",""),"")</f>
        <v/>
      </c>
    </row>
    <row r="324">
      <c r="G324">
        <f>IF(AND(B324&lt;&gt;"",D324&lt;&gt;"",OR(E324="Open",E324="In progress",E324="Blocked")),IF(D324&lt;TODAY(),"Overdue",""),"")</f>
        <v/>
      </c>
    </row>
    <row r="325">
      <c r="G325">
        <f>IF(AND(B325&lt;&gt;"",D325&lt;&gt;"",OR(E325="Open",E325="In progress",E325="Blocked")),IF(D325&lt;TODAY(),"Overdue",""),"")</f>
        <v/>
      </c>
    </row>
    <row r="326">
      <c r="G326">
        <f>IF(AND(B326&lt;&gt;"",D326&lt;&gt;"",OR(E326="Open",E326="In progress",E326="Blocked")),IF(D326&lt;TODAY(),"Overdue",""),"")</f>
        <v/>
      </c>
    </row>
    <row r="327">
      <c r="G327">
        <f>IF(AND(B327&lt;&gt;"",D327&lt;&gt;"",OR(E327="Open",E327="In progress",E327="Blocked")),IF(D327&lt;TODAY(),"Overdue",""),"")</f>
        <v/>
      </c>
    </row>
    <row r="328">
      <c r="G328">
        <f>IF(AND(B328&lt;&gt;"",D328&lt;&gt;"",OR(E328="Open",E328="In progress",E328="Blocked")),IF(D328&lt;TODAY(),"Overdue",""),"")</f>
        <v/>
      </c>
    </row>
    <row r="329">
      <c r="G329">
        <f>IF(AND(B329&lt;&gt;"",D329&lt;&gt;"",OR(E329="Open",E329="In progress",E329="Blocked")),IF(D329&lt;TODAY(),"Overdue",""),"")</f>
        <v/>
      </c>
    </row>
    <row r="330">
      <c r="G330">
        <f>IF(AND(B330&lt;&gt;"",D330&lt;&gt;"",OR(E330="Open",E330="In progress",E330="Blocked")),IF(D330&lt;TODAY(),"Overdue",""),"")</f>
        <v/>
      </c>
    </row>
    <row r="331">
      <c r="G331">
        <f>IF(AND(B331&lt;&gt;"",D331&lt;&gt;"",OR(E331="Open",E331="In progress",E331="Blocked")),IF(D331&lt;TODAY(),"Overdue",""),"")</f>
        <v/>
      </c>
    </row>
    <row r="332">
      <c r="G332">
        <f>IF(AND(B332&lt;&gt;"",D332&lt;&gt;"",OR(E332="Open",E332="In progress",E332="Blocked")),IF(D332&lt;TODAY(),"Overdue",""),"")</f>
        <v/>
      </c>
    </row>
    <row r="333">
      <c r="G333">
        <f>IF(AND(B333&lt;&gt;"",D333&lt;&gt;"",OR(E333="Open",E333="In progress",E333="Blocked")),IF(D333&lt;TODAY(),"Overdue",""),"")</f>
        <v/>
      </c>
    </row>
    <row r="334">
      <c r="G334">
        <f>IF(AND(B334&lt;&gt;"",D334&lt;&gt;"",OR(E334="Open",E334="In progress",E334="Blocked")),IF(D334&lt;TODAY(),"Overdue",""),"")</f>
        <v/>
      </c>
    </row>
    <row r="335">
      <c r="G335">
        <f>IF(AND(B335&lt;&gt;"",D335&lt;&gt;"",OR(E335="Open",E335="In progress",E335="Blocked")),IF(D335&lt;TODAY(),"Overdue",""),"")</f>
        <v/>
      </c>
    </row>
    <row r="336">
      <c r="G336">
        <f>IF(AND(B336&lt;&gt;"",D336&lt;&gt;"",OR(E336="Open",E336="In progress",E336="Blocked")),IF(D336&lt;TODAY(),"Overdue",""),"")</f>
        <v/>
      </c>
    </row>
    <row r="337">
      <c r="G337">
        <f>IF(AND(B337&lt;&gt;"",D337&lt;&gt;"",OR(E337="Open",E337="In progress",E337="Blocked")),IF(D337&lt;TODAY(),"Overdue",""),"")</f>
        <v/>
      </c>
    </row>
    <row r="338">
      <c r="G338">
        <f>IF(AND(B338&lt;&gt;"",D338&lt;&gt;"",OR(E338="Open",E338="In progress",E338="Blocked")),IF(D338&lt;TODAY(),"Overdue",""),"")</f>
        <v/>
      </c>
    </row>
    <row r="339">
      <c r="G339">
        <f>IF(AND(B339&lt;&gt;"",D339&lt;&gt;"",OR(E339="Open",E339="In progress",E339="Blocked")),IF(D339&lt;TODAY(),"Overdue",""),"")</f>
        <v/>
      </c>
    </row>
    <row r="340">
      <c r="G340">
        <f>IF(AND(B340&lt;&gt;"",D340&lt;&gt;"",OR(E340="Open",E340="In progress",E340="Blocked")),IF(D340&lt;TODAY(),"Overdue",""),"")</f>
        <v/>
      </c>
    </row>
    <row r="341">
      <c r="G341">
        <f>IF(AND(B341&lt;&gt;"",D341&lt;&gt;"",OR(E341="Open",E341="In progress",E341="Blocked")),IF(D341&lt;TODAY(),"Overdue",""),"")</f>
        <v/>
      </c>
    </row>
    <row r="342">
      <c r="G342">
        <f>IF(AND(B342&lt;&gt;"",D342&lt;&gt;"",OR(E342="Open",E342="In progress",E342="Blocked")),IF(D342&lt;TODAY(),"Overdue",""),"")</f>
        <v/>
      </c>
    </row>
    <row r="343">
      <c r="A343" s="16">
        <f>"Contract C · Initiative 4   —   "&amp;(COUNTIF($E$344:$E$363,"Open")+COUNTIF($E$344:$E$363,"In progress")+COUNTIF($E$344:$E$363,"Blocked"))&amp;" open · "&amp;COUNTIF($G$344:$G$363,"Overdue")&amp;" overdue"</f>
        <v/>
      </c>
    </row>
    <row r="344">
      <c r="G344">
        <f>IF(AND(B344&lt;&gt;"",D344&lt;&gt;"",OR(E344="Open",E344="In progress",E344="Blocked")),IF(D344&lt;TODAY(),"Overdue",""),"")</f>
        <v/>
      </c>
    </row>
    <row r="345">
      <c r="G345">
        <f>IF(AND(B345&lt;&gt;"",D345&lt;&gt;"",OR(E345="Open",E345="In progress",E345="Blocked")),IF(D345&lt;TODAY(),"Overdue",""),"")</f>
        <v/>
      </c>
    </row>
    <row r="346">
      <c r="G346">
        <f>IF(AND(B346&lt;&gt;"",D346&lt;&gt;"",OR(E346="Open",E346="In progress",E346="Blocked")),IF(D346&lt;TODAY(),"Overdue",""),"")</f>
        <v/>
      </c>
    </row>
    <row r="347">
      <c r="G347">
        <f>IF(AND(B347&lt;&gt;"",D347&lt;&gt;"",OR(E347="Open",E347="In progress",E347="Blocked")),IF(D347&lt;TODAY(),"Overdue",""),"")</f>
        <v/>
      </c>
    </row>
    <row r="348">
      <c r="G348">
        <f>IF(AND(B348&lt;&gt;"",D348&lt;&gt;"",OR(E348="Open",E348="In progress",E348="Blocked")),IF(D348&lt;TODAY(),"Overdue",""),"")</f>
        <v/>
      </c>
    </row>
    <row r="349">
      <c r="G349">
        <f>IF(AND(B349&lt;&gt;"",D349&lt;&gt;"",OR(E349="Open",E349="In progress",E349="Blocked")),IF(D349&lt;TODAY(),"Overdue",""),"")</f>
        <v/>
      </c>
    </row>
    <row r="350">
      <c r="G350">
        <f>IF(AND(B350&lt;&gt;"",D350&lt;&gt;"",OR(E350="Open",E350="In progress",E350="Blocked")),IF(D350&lt;TODAY(),"Overdue",""),"")</f>
        <v/>
      </c>
    </row>
    <row r="351">
      <c r="G351">
        <f>IF(AND(B351&lt;&gt;"",D351&lt;&gt;"",OR(E351="Open",E351="In progress",E351="Blocked")),IF(D351&lt;TODAY(),"Overdue",""),"")</f>
        <v/>
      </c>
    </row>
    <row r="352">
      <c r="G352">
        <f>IF(AND(B352&lt;&gt;"",D352&lt;&gt;"",OR(E352="Open",E352="In progress",E352="Blocked")),IF(D352&lt;TODAY(),"Overdue",""),"")</f>
        <v/>
      </c>
    </row>
    <row r="353">
      <c r="G353">
        <f>IF(AND(B353&lt;&gt;"",D353&lt;&gt;"",OR(E353="Open",E353="In progress",E353="Blocked")),IF(D353&lt;TODAY(),"Overdue",""),"")</f>
        <v/>
      </c>
    </row>
    <row r="354">
      <c r="G354">
        <f>IF(AND(B354&lt;&gt;"",D354&lt;&gt;"",OR(E354="Open",E354="In progress",E354="Blocked")),IF(D354&lt;TODAY(),"Overdue",""),"")</f>
        <v/>
      </c>
    </row>
    <row r="355">
      <c r="G355">
        <f>IF(AND(B355&lt;&gt;"",D355&lt;&gt;"",OR(E355="Open",E355="In progress",E355="Blocked")),IF(D355&lt;TODAY(),"Overdue",""),"")</f>
        <v/>
      </c>
    </row>
    <row r="356">
      <c r="G356">
        <f>IF(AND(B356&lt;&gt;"",D356&lt;&gt;"",OR(E356="Open",E356="In progress",E356="Blocked")),IF(D356&lt;TODAY(),"Overdue",""),"")</f>
        <v/>
      </c>
    </row>
    <row r="357">
      <c r="G357">
        <f>IF(AND(B357&lt;&gt;"",D357&lt;&gt;"",OR(E357="Open",E357="In progress",E357="Blocked")),IF(D357&lt;TODAY(),"Overdue",""),"")</f>
        <v/>
      </c>
    </row>
    <row r="358">
      <c r="G358">
        <f>IF(AND(B358&lt;&gt;"",D358&lt;&gt;"",OR(E358="Open",E358="In progress",E358="Blocked")),IF(D358&lt;TODAY(),"Overdue",""),"")</f>
        <v/>
      </c>
    </row>
    <row r="359">
      <c r="G359">
        <f>IF(AND(B359&lt;&gt;"",D359&lt;&gt;"",OR(E359="Open",E359="In progress",E359="Blocked")),IF(D359&lt;TODAY(),"Overdue",""),"")</f>
        <v/>
      </c>
    </row>
    <row r="360">
      <c r="G360">
        <f>IF(AND(B360&lt;&gt;"",D360&lt;&gt;"",OR(E360="Open",E360="In progress",E360="Blocked")),IF(D360&lt;TODAY(),"Overdue",""),"")</f>
        <v/>
      </c>
    </row>
    <row r="361">
      <c r="G361">
        <f>IF(AND(B361&lt;&gt;"",D361&lt;&gt;"",OR(E361="Open",E361="In progress",E361="Blocked")),IF(D361&lt;TODAY(),"Overdue",""),"")</f>
        <v/>
      </c>
    </row>
    <row r="362">
      <c r="G362">
        <f>IF(AND(B362&lt;&gt;"",D362&lt;&gt;"",OR(E362="Open",E362="In progress",E362="Blocked")),IF(D362&lt;TODAY(),"Overdue",""),"")</f>
        <v/>
      </c>
    </row>
    <row r="363">
      <c r="G363">
        <f>IF(AND(B363&lt;&gt;"",D363&lt;&gt;"",OR(E363="Open",E363="In progress",E363="Blocked")),IF(D363&lt;TODAY(),"Overdue",""),"")</f>
        <v/>
      </c>
    </row>
    <row r="364">
      <c r="A364" s="16">
        <f>"Contract C · Other / new initiative   —   "&amp;(COUNTIF($E$365:$E$384,"Open")+COUNTIF($E$365:$E$384,"In progress")+COUNTIF($E$365:$E$384,"Blocked"))&amp;" open · "&amp;COUNTIF($G$365:$G$384,"Overdue")&amp;" overdue"</f>
        <v/>
      </c>
    </row>
    <row r="365">
      <c r="G365">
        <f>IF(AND(B365&lt;&gt;"",D365&lt;&gt;"",OR(E365="Open",E365="In progress",E365="Blocked")),IF(D365&lt;TODAY(),"Overdue",""),"")</f>
        <v/>
      </c>
    </row>
    <row r="366">
      <c r="G366">
        <f>IF(AND(B366&lt;&gt;"",D366&lt;&gt;"",OR(E366="Open",E366="In progress",E366="Blocked")),IF(D366&lt;TODAY(),"Overdue",""),"")</f>
        <v/>
      </c>
    </row>
    <row r="367">
      <c r="G367">
        <f>IF(AND(B367&lt;&gt;"",D367&lt;&gt;"",OR(E367="Open",E367="In progress",E367="Blocked")),IF(D367&lt;TODAY(),"Overdue",""),"")</f>
        <v/>
      </c>
    </row>
    <row r="368">
      <c r="G368">
        <f>IF(AND(B368&lt;&gt;"",D368&lt;&gt;"",OR(E368="Open",E368="In progress",E368="Blocked")),IF(D368&lt;TODAY(),"Overdue",""),"")</f>
        <v/>
      </c>
    </row>
    <row r="369">
      <c r="G369">
        <f>IF(AND(B369&lt;&gt;"",D369&lt;&gt;"",OR(E369="Open",E369="In progress",E369="Blocked")),IF(D369&lt;TODAY(),"Overdue",""),"")</f>
        <v/>
      </c>
    </row>
    <row r="370">
      <c r="G370">
        <f>IF(AND(B370&lt;&gt;"",D370&lt;&gt;"",OR(E370="Open",E370="In progress",E370="Blocked")),IF(D370&lt;TODAY(),"Overdue",""),"")</f>
        <v/>
      </c>
    </row>
    <row r="371">
      <c r="G371">
        <f>IF(AND(B371&lt;&gt;"",D371&lt;&gt;"",OR(E371="Open",E371="In progress",E371="Blocked")),IF(D371&lt;TODAY(),"Overdue",""),"")</f>
        <v/>
      </c>
    </row>
    <row r="372">
      <c r="G372">
        <f>IF(AND(B372&lt;&gt;"",D372&lt;&gt;"",OR(E372="Open",E372="In progress",E372="Blocked")),IF(D372&lt;TODAY(),"Overdue",""),"")</f>
        <v/>
      </c>
    </row>
    <row r="373">
      <c r="G373">
        <f>IF(AND(B373&lt;&gt;"",D373&lt;&gt;"",OR(E373="Open",E373="In progress",E373="Blocked")),IF(D373&lt;TODAY(),"Overdue",""),"")</f>
        <v/>
      </c>
    </row>
    <row r="374">
      <c r="G374">
        <f>IF(AND(B374&lt;&gt;"",D374&lt;&gt;"",OR(E374="Open",E374="In progress",E374="Blocked")),IF(D374&lt;TODAY(),"Overdue",""),"")</f>
        <v/>
      </c>
    </row>
    <row r="375">
      <c r="G375">
        <f>IF(AND(B375&lt;&gt;"",D375&lt;&gt;"",OR(E375="Open",E375="In progress",E375="Blocked")),IF(D375&lt;TODAY(),"Overdue",""),"")</f>
        <v/>
      </c>
    </row>
    <row r="376">
      <c r="G376">
        <f>IF(AND(B376&lt;&gt;"",D376&lt;&gt;"",OR(E376="Open",E376="In progress",E376="Blocked")),IF(D376&lt;TODAY(),"Overdue",""),"")</f>
        <v/>
      </c>
    </row>
    <row r="377">
      <c r="G377">
        <f>IF(AND(B377&lt;&gt;"",D377&lt;&gt;"",OR(E377="Open",E377="In progress",E377="Blocked")),IF(D377&lt;TODAY(),"Overdue",""),"")</f>
        <v/>
      </c>
    </row>
    <row r="378">
      <c r="G378">
        <f>IF(AND(B378&lt;&gt;"",D378&lt;&gt;"",OR(E378="Open",E378="In progress",E378="Blocked")),IF(D378&lt;TODAY(),"Overdue",""),"")</f>
        <v/>
      </c>
    </row>
    <row r="379">
      <c r="G379">
        <f>IF(AND(B379&lt;&gt;"",D379&lt;&gt;"",OR(E379="Open",E379="In progress",E379="Blocked")),IF(D379&lt;TODAY(),"Overdue",""),"")</f>
        <v/>
      </c>
    </row>
    <row r="380">
      <c r="G380">
        <f>IF(AND(B380&lt;&gt;"",D380&lt;&gt;"",OR(E380="Open",E380="In progress",E380="Blocked")),IF(D380&lt;TODAY(),"Overdue",""),"")</f>
        <v/>
      </c>
    </row>
    <row r="381">
      <c r="G381">
        <f>IF(AND(B381&lt;&gt;"",D381&lt;&gt;"",OR(E381="Open",E381="In progress",E381="Blocked")),IF(D381&lt;TODAY(),"Overdue",""),"")</f>
        <v/>
      </c>
    </row>
    <row r="382">
      <c r="G382">
        <f>IF(AND(B382&lt;&gt;"",D382&lt;&gt;"",OR(E382="Open",E382="In progress",E382="Blocked")),IF(D382&lt;TODAY(),"Overdue",""),"")</f>
        <v/>
      </c>
    </row>
    <row r="383">
      <c r="G383">
        <f>IF(AND(B383&lt;&gt;"",D383&lt;&gt;"",OR(E383="Open",E383="In progress",E383="Blocked")),IF(D383&lt;TODAY(),"Overdue",""),"")</f>
        <v/>
      </c>
    </row>
    <row r="384">
      <c r="G384">
        <f>IF(AND(B384&lt;&gt;"",D384&lt;&gt;"",OR(E384="Open",E384="In progress",E384="Blocked")),IF(D384&lt;TODAY(),"Overdue",""),"")</f>
        <v/>
      </c>
    </row>
    <row r="385">
      <c r="A385" s="8">
        <f>"Programme-level (no contract)   —   "&amp;(COUNTIF($E$385:$E$511,"Open")+COUNTIF($E$385:$E$511,"In progress")+COUNTIF($E$385:$E$511,"Blocked"))&amp;" open · "&amp;COUNTIF($G$385:$G$511,"Overdue")&amp;" overdue"</f>
        <v/>
      </c>
    </row>
    <row r="386">
      <c r="A386" s="16">
        <f>"Programme-level (no contract) · Contract-level   —   "&amp;(COUNTIF($E$387:$E$406,"Open")+COUNTIF($E$387:$E$406,"In progress")+COUNTIF($E$387:$E$406,"Blocked"))&amp;" open · "&amp;COUNTIF($G$387:$G$406,"Overdue")&amp;" overdue"</f>
        <v/>
      </c>
    </row>
    <row r="387">
      <c r="G387">
        <f>IF(AND(B387&lt;&gt;"",D387&lt;&gt;"",OR(E387="Open",E387="In progress",E387="Blocked")),IF(D387&lt;TODAY(),"Overdue",""),"")</f>
        <v/>
      </c>
    </row>
    <row r="388">
      <c r="G388">
        <f>IF(AND(B388&lt;&gt;"",D388&lt;&gt;"",OR(E388="Open",E388="In progress",E388="Blocked")),IF(D388&lt;TODAY(),"Overdue",""),"")</f>
        <v/>
      </c>
    </row>
    <row r="389">
      <c r="G389">
        <f>IF(AND(B389&lt;&gt;"",D389&lt;&gt;"",OR(E389="Open",E389="In progress",E389="Blocked")),IF(D389&lt;TODAY(),"Overdue",""),"")</f>
        <v/>
      </c>
    </row>
    <row r="390">
      <c r="G390">
        <f>IF(AND(B390&lt;&gt;"",D390&lt;&gt;"",OR(E390="Open",E390="In progress",E390="Blocked")),IF(D390&lt;TODAY(),"Overdue",""),"")</f>
        <v/>
      </c>
    </row>
    <row r="391">
      <c r="G391">
        <f>IF(AND(B391&lt;&gt;"",D391&lt;&gt;"",OR(E391="Open",E391="In progress",E391="Blocked")),IF(D391&lt;TODAY(),"Overdue",""),"")</f>
        <v/>
      </c>
    </row>
    <row r="392">
      <c r="G392">
        <f>IF(AND(B392&lt;&gt;"",D392&lt;&gt;"",OR(E392="Open",E392="In progress",E392="Blocked")),IF(D392&lt;TODAY(),"Overdue",""),"")</f>
        <v/>
      </c>
    </row>
    <row r="393">
      <c r="G393">
        <f>IF(AND(B393&lt;&gt;"",D393&lt;&gt;"",OR(E393="Open",E393="In progress",E393="Blocked")),IF(D393&lt;TODAY(),"Overdue",""),"")</f>
        <v/>
      </c>
    </row>
    <row r="394">
      <c r="G394">
        <f>IF(AND(B394&lt;&gt;"",D394&lt;&gt;"",OR(E394="Open",E394="In progress",E394="Blocked")),IF(D394&lt;TODAY(),"Overdue",""),"")</f>
        <v/>
      </c>
    </row>
    <row r="395">
      <c r="G395">
        <f>IF(AND(B395&lt;&gt;"",D395&lt;&gt;"",OR(E395="Open",E395="In progress",E395="Blocked")),IF(D395&lt;TODAY(),"Overdue",""),"")</f>
        <v/>
      </c>
    </row>
    <row r="396">
      <c r="G396">
        <f>IF(AND(B396&lt;&gt;"",D396&lt;&gt;"",OR(E396="Open",E396="In progress",E396="Blocked")),IF(D396&lt;TODAY(),"Overdue",""),"")</f>
        <v/>
      </c>
    </row>
    <row r="397">
      <c r="G397">
        <f>IF(AND(B397&lt;&gt;"",D397&lt;&gt;"",OR(E397="Open",E397="In progress",E397="Blocked")),IF(D397&lt;TODAY(),"Overdue",""),"")</f>
        <v/>
      </c>
    </row>
    <row r="398">
      <c r="G398">
        <f>IF(AND(B398&lt;&gt;"",D398&lt;&gt;"",OR(E398="Open",E398="In progress",E398="Blocked")),IF(D398&lt;TODAY(),"Overdue",""),"")</f>
        <v/>
      </c>
    </row>
    <row r="399">
      <c r="G399">
        <f>IF(AND(B399&lt;&gt;"",D399&lt;&gt;"",OR(E399="Open",E399="In progress",E399="Blocked")),IF(D399&lt;TODAY(),"Overdue",""),"")</f>
        <v/>
      </c>
    </row>
    <row r="400">
      <c r="G400">
        <f>IF(AND(B400&lt;&gt;"",D400&lt;&gt;"",OR(E400="Open",E400="In progress",E400="Blocked")),IF(D400&lt;TODAY(),"Overdue",""),"")</f>
        <v/>
      </c>
    </row>
    <row r="401">
      <c r="G401">
        <f>IF(AND(B401&lt;&gt;"",D401&lt;&gt;"",OR(E401="Open",E401="In progress",E401="Blocked")),IF(D401&lt;TODAY(),"Overdue",""),"")</f>
        <v/>
      </c>
    </row>
    <row r="402">
      <c r="G402">
        <f>IF(AND(B402&lt;&gt;"",D402&lt;&gt;"",OR(E402="Open",E402="In progress",E402="Blocked")),IF(D402&lt;TODAY(),"Overdue",""),"")</f>
        <v/>
      </c>
    </row>
    <row r="403">
      <c r="G403">
        <f>IF(AND(B403&lt;&gt;"",D403&lt;&gt;"",OR(E403="Open",E403="In progress",E403="Blocked")),IF(D403&lt;TODAY(),"Overdue",""),"")</f>
        <v/>
      </c>
    </row>
    <row r="404">
      <c r="G404">
        <f>IF(AND(B404&lt;&gt;"",D404&lt;&gt;"",OR(E404="Open",E404="In progress",E404="Blocked")),IF(D404&lt;TODAY(),"Overdue",""),"")</f>
        <v/>
      </c>
    </row>
    <row r="405">
      <c r="G405">
        <f>IF(AND(B405&lt;&gt;"",D405&lt;&gt;"",OR(E405="Open",E405="In progress",E405="Blocked")),IF(D405&lt;TODAY(),"Overdue",""),"")</f>
        <v/>
      </c>
    </row>
    <row r="406">
      <c r="G406">
        <f>IF(AND(B406&lt;&gt;"",D406&lt;&gt;"",OR(E406="Open",E406="In progress",E406="Blocked")),IF(D406&lt;TODAY(),"Overdue",""),"")</f>
        <v/>
      </c>
    </row>
    <row r="407">
      <c r="A407" s="16">
        <f>"Programme-level (no contract) · Initiative 1   —   "&amp;(COUNTIF($E$408:$E$427,"Open")+COUNTIF($E$408:$E$427,"In progress")+COUNTIF($E$408:$E$427,"Blocked"))&amp;" open · "&amp;COUNTIF($G$408:$G$427,"Overdue")&amp;" overdue"</f>
        <v/>
      </c>
    </row>
    <row r="408">
      <c r="G408">
        <f>IF(AND(B408&lt;&gt;"",D408&lt;&gt;"",OR(E408="Open",E408="In progress",E408="Blocked")),IF(D408&lt;TODAY(),"Overdue",""),"")</f>
        <v/>
      </c>
    </row>
    <row r="409">
      <c r="G409">
        <f>IF(AND(B409&lt;&gt;"",D409&lt;&gt;"",OR(E409="Open",E409="In progress",E409="Blocked")),IF(D409&lt;TODAY(),"Overdue",""),"")</f>
        <v/>
      </c>
    </row>
    <row r="410">
      <c r="G410">
        <f>IF(AND(B410&lt;&gt;"",D410&lt;&gt;"",OR(E410="Open",E410="In progress",E410="Blocked")),IF(D410&lt;TODAY(),"Overdue",""),"")</f>
        <v/>
      </c>
    </row>
    <row r="411">
      <c r="G411">
        <f>IF(AND(B411&lt;&gt;"",D411&lt;&gt;"",OR(E411="Open",E411="In progress",E411="Blocked")),IF(D411&lt;TODAY(),"Overdue",""),"")</f>
        <v/>
      </c>
    </row>
    <row r="412">
      <c r="G412">
        <f>IF(AND(B412&lt;&gt;"",D412&lt;&gt;"",OR(E412="Open",E412="In progress",E412="Blocked")),IF(D412&lt;TODAY(),"Overdue",""),"")</f>
        <v/>
      </c>
    </row>
    <row r="413">
      <c r="G413">
        <f>IF(AND(B413&lt;&gt;"",D413&lt;&gt;"",OR(E413="Open",E413="In progress",E413="Blocked")),IF(D413&lt;TODAY(),"Overdue",""),"")</f>
        <v/>
      </c>
    </row>
    <row r="414">
      <c r="G414">
        <f>IF(AND(B414&lt;&gt;"",D414&lt;&gt;"",OR(E414="Open",E414="In progress",E414="Blocked")),IF(D414&lt;TODAY(),"Overdue",""),"")</f>
        <v/>
      </c>
    </row>
    <row r="415">
      <c r="G415">
        <f>IF(AND(B415&lt;&gt;"",D415&lt;&gt;"",OR(E415="Open",E415="In progress",E415="Blocked")),IF(D415&lt;TODAY(),"Overdue",""),"")</f>
        <v/>
      </c>
    </row>
    <row r="416">
      <c r="G416">
        <f>IF(AND(B416&lt;&gt;"",D416&lt;&gt;"",OR(E416="Open",E416="In progress",E416="Blocked")),IF(D416&lt;TODAY(),"Overdue",""),"")</f>
        <v/>
      </c>
    </row>
    <row r="417">
      <c r="G417">
        <f>IF(AND(B417&lt;&gt;"",D417&lt;&gt;"",OR(E417="Open",E417="In progress",E417="Blocked")),IF(D417&lt;TODAY(),"Overdue",""),"")</f>
        <v/>
      </c>
    </row>
    <row r="418">
      <c r="G418">
        <f>IF(AND(B418&lt;&gt;"",D418&lt;&gt;"",OR(E418="Open",E418="In progress",E418="Blocked")),IF(D418&lt;TODAY(),"Overdue",""),"")</f>
        <v/>
      </c>
    </row>
    <row r="419">
      <c r="G419">
        <f>IF(AND(B419&lt;&gt;"",D419&lt;&gt;"",OR(E419="Open",E419="In progress",E419="Blocked")),IF(D419&lt;TODAY(),"Overdue",""),"")</f>
        <v/>
      </c>
    </row>
    <row r="420">
      <c r="G420">
        <f>IF(AND(B420&lt;&gt;"",D420&lt;&gt;"",OR(E420="Open",E420="In progress",E420="Blocked")),IF(D420&lt;TODAY(),"Overdue",""),"")</f>
        <v/>
      </c>
    </row>
    <row r="421">
      <c r="G421">
        <f>IF(AND(B421&lt;&gt;"",D421&lt;&gt;"",OR(E421="Open",E421="In progress",E421="Blocked")),IF(D421&lt;TODAY(),"Overdue",""),"")</f>
        <v/>
      </c>
    </row>
    <row r="422">
      <c r="G422">
        <f>IF(AND(B422&lt;&gt;"",D422&lt;&gt;"",OR(E422="Open",E422="In progress",E422="Blocked")),IF(D422&lt;TODAY(),"Overdue",""),"")</f>
        <v/>
      </c>
    </row>
    <row r="423">
      <c r="G423">
        <f>IF(AND(B423&lt;&gt;"",D423&lt;&gt;"",OR(E423="Open",E423="In progress",E423="Blocked")),IF(D423&lt;TODAY(),"Overdue",""),"")</f>
        <v/>
      </c>
    </row>
    <row r="424">
      <c r="G424">
        <f>IF(AND(B424&lt;&gt;"",D424&lt;&gt;"",OR(E424="Open",E424="In progress",E424="Blocked")),IF(D424&lt;TODAY(),"Overdue",""),"")</f>
        <v/>
      </c>
    </row>
    <row r="425">
      <c r="G425">
        <f>IF(AND(B425&lt;&gt;"",D425&lt;&gt;"",OR(E425="Open",E425="In progress",E425="Blocked")),IF(D425&lt;TODAY(),"Overdue",""),"")</f>
        <v/>
      </c>
    </row>
    <row r="426">
      <c r="G426">
        <f>IF(AND(B426&lt;&gt;"",D426&lt;&gt;"",OR(E426="Open",E426="In progress",E426="Blocked")),IF(D426&lt;TODAY(),"Overdue",""),"")</f>
        <v/>
      </c>
    </row>
    <row r="427">
      <c r="G427">
        <f>IF(AND(B427&lt;&gt;"",D427&lt;&gt;"",OR(E427="Open",E427="In progress",E427="Blocked")),IF(D427&lt;TODAY(),"Overdue",""),"")</f>
        <v/>
      </c>
    </row>
    <row r="428">
      <c r="A428" s="16">
        <f>"Programme-level (no contract) · Initiative 2   —   "&amp;(COUNTIF($E$429:$E$448,"Open")+COUNTIF($E$429:$E$448,"In progress")+COUNTIF($E$429:$E$448,"Blocked"))&amp;" open · "&amp;COUNTIF($G$429:$G$448,"Overdue")&amp;" overdue"</f>
        <v/>
      </c>
    </row>
    <row r="429">
      <c r="G429">
        <f>IF(AND(B429&lt;&gt;"",D429&lt;&gt;"",OR(E429="Open",E429="In progress",E429="Blocked")),IF(D429&lt;TODAY(),"Overdue",""),"")</f>
        <v/>
      </c>
    </row>
    <row r="430">
      <c r="G430">
        <f>IF(AND(B430&lt;&gt;"",D430&lt;&gt;"",OR(E430="Open",E430="In progress",E430="Blocked")),IF(D430&lt;TODAY(),"Overdue",""),"")</f>
        <v/>
      </c>
    </row>
    <row r="431">
      <c r="G431">
        <f>IF(AND(B431&lt;&gt;"",D431&lt;&gt;"",OR(E431="Open",E431="In progress",E431="Blocked")),IF(D431&lt;TODAY(),"Overdue",""),"")</f>
        <v/>
      </c>
    </row>
    <row r="432">
      <c r="G432">
        <f>IF(AND(B432&lt;&gt;"",D432&lt;&gt;"",OR(E432="Open",E432="In progress",E432="Blocked")),IF(D432&lt;TODAY(),"Overdue",""),"")</f>
        <v/>
      </c>
    </row>
    <row r="433">
      <c r="G433">
        <f>IF(AND(B433&lt;&gt;"",D433&lt;&gt;"",OR(E433="Open",E433="In progress",E433="Blocked")),IF(D433&lt;TODAY(),"Overdue",""),"")</f>
        <v/>
      </c>
    </row>
    <row r="434">
      <c r="G434">
        <f>IF(AND(B434&lt;&gt;"",D434&lt;&gt;"",OR(E434="Open",E434="In progress",E434="Blocked")),IF(D434&lt;TODAY(),"Overdue",""),"")</f>
        <v/>
      </c>
    </row>
    <row r="435">
      <c r="G435">
        <f>IF(AND(B435&lt;&gt;"",D435&lt;&gt;"",OR(E435="Open",E435="In progress",E435="Blocked")),IF(D435&lt;TODAY(),"Overdue",""),"")</f>
        <v/>
      </c>
    </row>
    <row r="436">
      <c r="G436">
        <f>IF(AND(B436&lt;&gt;"",D436&lt;&gt;"",OR(E436="Open",E436="In progress",E436="Blocked")),IF(D436&lt;TODAY(),"Overdue",""),"")</f>
        <v/>
      </c>
    </row>
    <row r="437">
      <c r="G437">
        <f>IF(AND(B437&lt;&gt;"",D437&lt;&gt;"",OR(E437="Open",E437="In progress",E437="Blocked")),IF(D437&lt;TODAY(),"Overdue",""),"")</f>
        <v/>
      </c>
    </row>
    <row r="438">
      <c r="G438">
        <f>IF(AND(B438&lt;&gt;"",D438&lt;&gt;"",OR(E438="Open",E438="In progress",E438="Blocked")),IF(D438&lt;TODAY(),"Overdue",""),"")</f>
        <v/>
      </c>
    </row>
    <row r="439">
      <c r="G439">
        <f>IF(AND(B439&lt;&gt;"",D439&lt;&gt;"",OR(E439="Open",E439="In progress",E439="Blocked")),IF(D439&lt;TODAY(),"Overdue",""),"")</f>
        <v/>
      </c>
    </row>
    <row r="440">
      <c r="G440">
        <f>IF(AND(B440&lt;&gt;"",D440&lt;&gt;"",OR(E440="Open",E440="In progress",E440="Blocked")),IF(D440&lt;TODAY(),"Overdue",""),"")</f>
        <v/>
      </c>
    </row>
    <row r="441">
      <c r="G441">
        <f>IF(AND(B441&lt;&gt;"",D441&lt;&gt;"",OR(E441="Open",E441="In progress",E441="Blocked")),IF(D441&lt;TODAY(),"Overdue",""),"")</f>
        <v/>
      </c>
    </row>
    <row r="442">
      <c r="G442">
        <f>IF(AND(B442&lt;&gt;"",D442&lt;&gt;"",OR(E442="Open",E442="In progress",E442="Blocked")),IF(D442&lt;TODAY(),"Overdue",""),"")</f>
        <v/>
      </c>
    </row>
    <row r="443">
      <c r="G443">
        <f>IF(AND(B443&lt;&gt;"",D443&lt;&gt;"",OR(E443="Open",E443="In progress",E443="Blocked")),IF(D443&lt;TODAY(),"Overdue",""),"")</f>
        <v/>
      </c>
    </row>
    <row r="444">
      <c r="G444">
        <f>IF(AND(B444&lt;&gt;"",D444&lt;&gt;"",OR(E444="Open",E444="In progress",E444="Blocked")),IF(D444&lt;TODAY(),"Overdue",""),"")</f>
        <v/>
      </c>
    </row>
    <row r="445">
      <c r="G445">
        <f>IF(AND(B445&lt;&gt;"",D445&lt;&gt;"",OR(E445="Open",E445="In progress",E445="Blocked")),IF(D445&lt;TODAY(),"Overdue",""),"")</f>
        <v/>
      </c>
    </row>
    <row r="446">
      <c r="G446">
        <f>IF(AND(B446&lt;&gt;"",D446&lt;&gt;"",OR(E446="Open",E446="In progress",E446="Blocked")),IF(D446&lt;TODAY(),"Overdue",""),"")</f>
        <v/>
      </c>
    </row>
    <row r="447">
      <c r="G447">
        <f>IF(AND(B447&lt;&gt;"",D447&lt;&gt;"",OR(E447="Open",E447="In progress",E447="Blocked")),IF(D447&lt;TODAY(),"Overdue",""),"")</f>
        <v/>
      </c>
    </row>
    <row r="448">
      <c r="G448">
        <f>IF(AND(B448&lt;&gt;"",D448&lt;&gt;"",OR(E448="Open",E448="In progress",E448="Blocked")),IF(D448&lt;TODAY(),"Overdue",""),"")</f>
        <v/>
      </c>
    </row>
    <row r="449">
      <c r="A449" s="16">
        <f>"Programme-level (no contract) · Initiative 3   —   "&amp;(COUNTIF($E$450:$E$469,"Open")+COUNTIF($E$450:$E$469,"In progress")+COUNTIF($E$450:$E$469,"Blocked"))&amp;" open · "&amp;COUNTIF($G$450:$G$469,"Overdue")&amp;" overdue"</f>
        <v/>
      </c>
    </row>
    <row r="450">
      <c r="G450">
        <f>IF(AND(B450&lt;&gt;"",D450&lt;&gt;"",OR(E450="Open",E450="In progress",E450="Blocked")),IF(D450&lt;TODAY(),"Overdue",""),"")</f>
        <v/>
      </c>
    </row>
    <row r="451">
      <c r="G451">
        <f>IF(AND(B451&lt;&gt;"",D451&lt;&gt;"",OR(E451="Open",E451="In progress",E451="Blocked")),IF(D451&lt;TODAY(),"Overdue",""),"")</f>
        <v/>
      </c>
    </row>
    <row r="452">
      <c r="G452">
        <f>IF(AND(B452&lt;&gt;"",D452&lt;&gt;"",OR(E452="Open",E452="In progress",E452="Blocked")),IF(D452&lt;TODAY(),"Overdue",""),"")</f>
        <v/>
      </c>
    </row>
    <row r="453">
      <c r="G453">
        <f>IF(AND(B453&lt;&gt;"",D453&lt;&gt;"",OR(E453="Open",E453="In progress",E453="Blocked")),IF(D453&lt;TODAY(),"Overdue",""),"")</f>
        <v/>
      </c>
    </row>
    <row r="454">
      <c r="G454">
        <f>IF(AND(B454&lt;&gt;"",D454&lt;&gt;"",OR(E454="Open",E454="In progress",E454="Blocked")),IF(D454&lt;TODAY(),"Overdue",""),"")</f>
        <v/>
      </c>
    </row>
    <row r="455">
      <c r="G455">
        <f>IF(AND(B455&lt;&gt;"",D455&lt;&gt;"",OR(E455="Open",E455="In progress",E455="Blocked")),IF(D455&lt;TODAY(),"Overdue",""),"")</f>
        <v/>
      </c>
    </row>
    <row r="456">
      <c r="G456">
        <f>IF(AND(B456&lt;&gt;"",D456&lt;&gt;"",OR(E456="Open",E456="In progress",E456="Blocked")),IF(D456&lt;TODAY(),"Overdue",""),"")</f>
        <v/>
      </c>
    </row>
    <row r="457">
      <c r="G457">
        <f>IF(AND(B457&lt;&gt;"",D457&lt;&gt;"",OR(E457="Open",E457="In progress",E457="Blocked")),IF(D457&lt;TODAY(),"Overdue",""),"")</f>
        <v/>
      </c>
    </row>
    <row r="458">
      <c r="G458">
        <f>IF(AND(B458&lt;&gt;"",D458&lt;&gt;"",OR(E458="Open",E458="In progress",E458="Blocked")),IF(D458&lt;TODAY(),"Overdue",""),"")</f>
        <v/>
      </c>
    </row>
    <row r="459">
      <c r="G459">
        <f>IF(AND(B459&lt;&gt;"",D459&lt;&gt;"",OR(E459="Open",E459="In progress",E459="Blocked")),IF(D459&lt;TODAY(),"Overdue",""),"")</f>
        <v/>
      </c>
    </row>
    <row r="460">
      <c r="G460">
        <f>IF(AND(B460&lt;&gt;"",D460&lt;&gt;"",OR(E460="Open",E460="In progress",E460="Blocked")),IF(D460&lt;TODAY(),"Overdue",""),"")</f>
        <v/>
      </c>
    </row>
    <row r="461">
      <c r="G461">
        <f>IF(AND(B461&lt;&gt;"",D461&lt;&gt;"",OR(E461="Open",E461="In progress",E461="Blocked")),IF(D461&lt;TODAY(),"Overdue",""),"")</f>
        <v/>
      </c>
    </row>
    <row r="462">
      <c r="G462">
        <f>IF(AND(B462&lt;&gt;"",D462&lt;&gt;"",OR(E462="Open",E462="In progress",E462="Blocked")),IF(D462&lt;TODAY(),"Overdue",""),"")</f>
        <v/>
      </c>
    </row>
    <row r="463">
      <c r="G463">
        <f>IF(AND(B463&lt;&gt;"",D463&lt;&gt;"",OR(E463="Open",E463="In progress",E463="Blocked")),IF(D463&lt;TODAY(),"Overdue",""),"")</f>
        <v/>
      </c>
    </row>
    <row r="464">
      <c r="G464">
        <f>IF(AND(B464&lt;&gt;"",D464&lt;&gt;"",OR(E464="Open",E464="In progress",E464="Blocked")),IF(D464&lt;TODAY(),"Overdue",""),"")</f>
        <v/>
      </c>
    </row>
    <row r="465">
      <c r="G465">
        <f>IF(AND(B465&lt;&gt;"",D465&lt;&gt;"",OR(E465="Open",E465="In progress",E465="Blocked")),IF(D465&lt;TODAY(),"Overdue",""),"")</f>
        <v/>
      </c>
    </row>
    <row r="466">
      <c r="G466">
        <f>IF(AND(B466&lt;&gt;"",D466&lt;&gt;"",OR(E466="Open",E466="In progress",E466="Blocked")),IF(D466&lt;TODAY(),"Overdue",""),"")</f>
        <v/>
      </c>
    </row>
    <row r="467">
      <c r="G467">
        <f>IF(AND(B467&lt;&gt;"",D467&lt;&gt;"",OR(E467="Open",E467="In progress",E467="Blocked")),IF(D467&lt;TODAY(),"Overdue",""),"")</f>
        <v/>
      </c>
    </row>
    <row r="468">
      <c r="G468">
        <f>IF(AND(B468&lt;&gt;"",D468&lt;&gt;"",OR(E468="Open",E468="In progress",E468="Blocked")),IF(D468&lt;TODAY(),"Overdue",""),"")</f>
        <v/>
      </c>
    </row>
    <row r="469">
      <c r="G469">
        <f>IF(AND(B469&lt;&gt;"",D469&lt;&gt;"",OR(E469="Open",E469="In progress",E469="Blocked")),IF(D469&lt;TODAY(),"Overdue",""),"")</f>
        <v/>
      </c>
    </row>
    <row r="470">
      <c r="A470" s="16">
        <f>"Programme-level (no contract) · Initiative 4   —   "&amp;(COUNTIF($E$471:$E$490,"Open")+COUNTIF($E$471:$E$490,"In progress")+COUNTIF($E$471:$E$490,"Blocked"))&amp;" open · "&amp;COUNTIF($G$471:$G$490,"Overdue")&amp;" overdue"</f>
        <v/>
      </c>
    </row>
    <row r="471">
      <c r="G471">
        <f>IF(AND(B471&lt;&gt;"",D471&lt;&gt;"",OR(E471="Open",E471="In progress",E471="Blocked")),IF(D471&lt;TODAY(),"Overdue",""),"")</f>
        <v/>
      </c>
    </row>
    <row r="472">
      <c r="G472">
        <f>IF(AND(B472&lt;&gt;"",D472&lt;&gt;"",OR(E472="Open",E472="In progress",E472="Blocked")),IF(D472&lt;TODAY(),"Overdue",""),"")</f>
        <v/>
      </c>
    </row>
    <row r="473">
      <c r="G473">
        <f>IF(AND(B473&lt;&gt;"",D473&lt;&gt;"",OR(E473="Open",E473="In progress",E473="Blocked")),IF(D473&lt;TODAY(),"Overdue",""),"")</f>
        <v/>
      </c>
    </row>
    <row r="474">
      <c r="G474">
        <f>IF(AND(B474&lt;&gt;"",D474&lt;&gt;"",OR(E474="Open",E474="In progress",E474="Blocked")),IF(D474&lt;TODAY(),"Overdue",""),"")</f>
        <v/>
      </c>
    </row>
    <row r="475">
      <c r="G475">
        <f>IF(AND(B475&lt;&gt;"",D475&lt;&gt;"",OR(E475="Open",E475="In progress",E475="Blocked")),IF(D475&lt;TODAY(),"Overdue",""),"")</f>
        <v/>
      </c>
    </row>
    <row r="476">
      <c r="G476">
        <f>IF(AND(B476&lt;&gt;"",D476&lt;&gt;"",OR(E476="Open",E476="In progress",E476="Blocked")),IF(D476&lt;TODAY(),"Overdue",""),"")</f>
        <v/>
      </c>
    </row>
    <row r="477">
      <c r="G477">
        <f>IF(AND(B477&lt;&gt;"",D477&lt;&gt;"",OR(E477="Open",E477="In progress",E477="Blocked")),IF(D477&lt;TODAY(),"Overdue",""),"")</f>
        <v/>
      </c>
    </row>
    <row r="478">
      <c r="G478">
        <f>IF(AND(B478&lt;&gt;"",D478&lt;&gt;"",OR(E478="Open",E478="In progress",E478="Blocked")),IF(D478&lt;TODAY(),"Overdue",""),"")</f>
        <v/>
      </c>
    </row>
    <row r="479">
      <c r="G479">
        <f>IF(AND(B479&lt;&gt;"",D479&lt;&gt;"",OR(E479="Open",E479="In progress",E479="Blocked")),IF(D479&lt;TODAY(),"Overdue",""),"")</f>
        <v/>
      </c>
    </row>
    <row r="480">
      <c r="G480">
        <f>IF(AND(B480&lt;&gt;"",D480&lt;&gt;"",OR(E480="Open",E480="In progress",E480="Blocked")),IF(D480&lt;TODAY(),"Overdue",""),"")</f>
        <v/>
      </c>
    </row>
    <row r="481">
      <c r="G481">
        <f>IF(AND(B481&lt;&gt;"",D481&lt;&gt;"",OR(E481="Open",E481="In progress",E481="Blocked")),IF(D481&lt;TODAY(),"Overdue",""),"")</f>
        <v/>
      </c>
    </row>
    <row r="482">
      <c r="G482">
        <f>IF(AND(B482&lt;&gt;"",D482&lt;&gt;"",OR(E482="Open",E482="In progress",E482="Blocked")),IF(D482&lt;TODAY(),"Overdue",""),"")</f>
        <v/>
      </c>
    </row>
    <row r="483">
      <c r="G483">
        <f>IF(AND(B483&lt;&gt;"",D483&lt;&gt;"",OR(E483="Open",E483="In progress",E483="Blocked")),IF(D483&lt;TODAY(),"Overdue",""),"")</f>
        <v/>
      </c>
    </row>
    <row r="484">
      <c r="G484">
        <f>IF(AND(B484&lt;&gt;"",D484&lt;&gt;"",OR(E484="Open",E484="In progress",E484="Blocked")),IF(D484&lt;TODAY(),"Overdue",""),"")</f>
        <v/>
      </c>
    </row>
    <row r="485">
      <c r="G485">
        <f>IF(AND(B485&lt;&gt;"",D485&lt;&gt;"",OR(E485="Open",E485="In progress",E485="Blocked")),IF(D485&lt;TODAY(),"Overdue",""),"")</f>
        <v/>
      </c>
    </row>
    <row r="486">
      <c r="G486">
        <f>IF(AND(B486&lt;&gt;"",D486&lt;&gt;"",OR(E486="Open",E486="In progress",E486="Blocked")),IF(D486&lt;TODAY(),"Overdue",""),"")</f>
        <v/>
      </c>
    </row>
    <row r="487">
      <c r="G487">
        <f>IF(AND(B487&lt;&gt;"",D487&lt;&gt;"",OR(E487="Open",E487="In progress",E487="Blocked")),IF(D487&lt;TODAY(),"Overdue",""),"")</f>
        <v/>
      </c>
    </row>
    <row r="488">
      <c r="G488">
        <f>IF(AND(B488&lt;&gt;"",D488&lt;&gt;"",OR(E488="Open",E488="In progress",E488="Blocked")),IF(D488&lt;TODAY(),"Overdue",""),"")</f>
        <v/>
      </c>
    </row>
    <row r="489">
      <c r="G489">
        <f>IF(AND(B489&lt;&gt;"",D489&lt;&gt;"",OR(E489="Open",E489="In progress",E489="Blocked")),IF(D489&lt;TODAY(),"Overdue",""),"")</f>
        <v/>
      </c>
    </row>
    <row r="490">
      <c r="G490">
        <f>IF(AND(B490&lt;&gt;"",D490&lt;&gt;"",OR(E490="Open",E490="In progress",E490="Blocked")),IF(D490&lt;TODAY(),"Overdue",""),"")</f>
        <v/>
      </c>
    </row>
    <row r="491">
      <c r="A491" s="16">
        <f>"Programme-level (no contract) · Other / new initiative   —   "&amp;(COUNTIF($E$492:$E$511,"Open")+COUNTIF($E$492:$E$511,"In progress")+COUNTIF($E$492:$E$511,"Blocked"))&amp;" open · "&amp;COUNTIF($G$492:$G$511,"Overdue")&amp;" overdue"</f>
        <v/>
      </c>
    </row>
    <row r="492">
      <c r="G492">
        <f>IF(AND(B492&lt;&gt;"",D492&lt;&gt;"",OR(E492="Open",E492="In progress",E492="Blocked")),IF(D492&lt;TODAY(),"Overdue",""),"")</f>
        <v/>
      </c>
    </row>
    <row r="493">
      <c r="G493">
        <f>IF(AND(B493&lt;&gt;"",D493&lt;&gt;"",OR(E493="Open",E493="In progress",E493="Blocked")),IF(D493&lt;TODAY(),"Overdue",""),"")</f>
        <v/>
      </c>
    </row>
    <row r="494">
      <c r="G494">
        <f>IF(AND(B494&lt;&gt;"",D494&lt;&gt;"",OR(E494="Open",E494="In progress",E494="Blocked")),IF(D494&lt;TODAY(),"Overdue",""),"")</f>
        <v/>
      </c>
    </row>
    <row r="495">
      <c r="G495">
        <f>IF(AND(B495&lt;&gt;"",D495&lt;&gt;"",OR(E495="Open",E495="In progress",E495="Blocked")),IF(D495&lt;TODAY(),"Overdue",""),"")</f>
        <v/>
      </c>
    </row>
    <row r="496">
      <c r="G496">
        <f>IF(AND(B496&lt;&gt;"",D496&lt;&gt;"",OR(E496="Open",E496="In progress",E496="Blocked")),IF(D496&lt;TODAY(),"Overdue",""),"")</f>
        <v/>
      </c>
    </row>
    <row r="497">
      <c r="G497">
        <f>IF(AND(B497&lt;&gt;"",D497&lt;&gt;"",OR(E497="Open",E497="In progress",E497="Blocked")),IF(D497&lt;TODAY(),"Overdue",""),"")</f>
        <v/>
      </c>
    </row>
    <row r="498">
      <c r="G498">
        <f>IF(AND(B498&lt;&gt;"",D498&lt;&gt;"",OR(E498="Open",E498="In progress",E498="Blocked")),IF(D498&lt;TODAY(),"Overdue",""),"")</f>
        <v/>
      </c>
    </row>
    <row r="499">
      <c r="G499">
        <f>IF(AND(B499&lt;&gt;"",D499&lt;&gt;"",OR(E499="Open",E499="In progress",E499="Blocked")),IF(D499&lt;TODAY(),"Overdue",""),"")</f>
        <v/>
      </c>
    </row>
    <row r="500">
      <c r="G500">
        <f>IF(AND(B500&lt;&gt;"",D500&lt;&gt;"",OR(E500="Open",E500="In progress",E500="Blocked")),IF(D500&lt;TODAY(),"Overdue",""),"")</f>
        <v/>
      </c>
    </row>
    <row r="501">
      <c r="G501">
        <f>IF(AND(B501&lt;&gt;"",D501&lt;&gt;"",OR(E501="Open",E501="In progress",E501="Blocked")),IF(D501&lt;TODAY(),"Overdue",""),"")</f>
        <v/>
      </c>
    </row>
    <row r="502">
      <c r="G502">
        <f>IF(AND(B502&lt;&gt;"",D502&lt;&gt;"",OR(E502="Open",E502="In progress",E502="Blocked")),IF(D502&lt;TODAY(),"Overdue",""),"")</f>
        <v/>
      </c>
    </row>
    <row r="503">
      <c r="G503">
        <f>IF(AND(B503&lt;&gt;"",D503&lt;&gt;"",OR(E503="Open",E503="In progress",E503="Blocked")),IF(D503&lt;TODAY(),"Overdue",""),"")</f>
        <v/>
      </c>
    </row>
    <row r="504">
      <c r="G504">
        <f>IF(AND(B504&lt;&gt;"",D504&lt;&gt;"",OR(E504="Open",E504="In progress",E504="Blocked")),IF(D504&lt;TODAY(),"Overdue",""),"")</f>
        <v/>
      </c>
    </row>
    <row r="505">
      <c r="G505">
        <f>IF(AND(B505&lt;&gt;"",D505&lt;&gt;"",OR(E505="Open",E505="In progress",E505="Blocked")),IF(D505&lt;TODAY(),"Overdue",""),"")</f>
        <v/>
      </c>
    </row>
    <row r="506">
      <c r="G506">
        <f>IF(AND(B506&lt;&gt;"",D506&lt;&gt;"",OR(E506="Open",E506="In progress",E506="Blocked")),IF(D506&lt;TODAY(),"Overdue",""),"")</f>
        <v/>
      </c>
    </row>
    <row r="507">
      <c r="G507">
        <f>IF(AND(B507&lt;&gt;"",D507&lt;&gt;"",OR(E507="Open",E507="In progress",E507="Blocked")),IF(D507&lt;TODAY(),"Overdue",""),"")</f>
        <v/>
      </c>
    </row>
    <row r="508">
      <c r="G508">
        <f>IF(AND(B508&lt;&gt;"",D508&lt;&gt;"",OR(E508="Open",E508="In progress",E508="Blocked")),IF(D508&lt;TODAY(),"Overdue",""),"")</f>
        <v/>
      </c>
    </row>
    <row r="509">
      <c r="G509">
        <f>IF(AND(B509&lt;&gt;"",D509&lt;&gt;"",OR(E509="Open",E509="In progress",E509="Blocked")),IF(D509&lt;TODAY(),"Overdue",""),"")</f>
        <v/>
      </c>
    </row>
    <row r="510">
      <c r="G510">
        <f>IF(AND(B510&lt;&gt;"",D510&lt;&gt;"",OR(E510="Open",E510="In progress",E510="Blocked")),IF(D510&lt;TODAY(),"Overdue",""),"")</f>
        <v/>
      </c>
    </row>
    <row r="511">
      <c r="G511">
        <f>IF(AND(B511&lt;&gt;"",D511&lt;&gt;"",OR(E511="Open",E511="In progress",E511="Blocked")),IF(D511&lt;TODAY(),"Overdue",""),"")</f>
        <v/>
      </c>
    </row>
  </sheetData>
  <dataValidations count="2">
    <dataValidation sqref="E4:E511" showDropDown="0" showInputMessage="0" showErrorMessage="1" allowBlank="1" error="Pick a value from the dropdown." type="list">
      <formula1>Lists!$D$2:$D$6</formula1>
    </dataValidation>
    <dataValidation sqref="D4:D511" showDropDown="0" showInputMessage="0" showErrorMessage="1" allowBlank="1" error="Enter a date." type="date" operator="greaterThan">
      <formula1>36526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30" customWidth="1" min="3" max="3"/>
    <col width="48" customWidth="1" min="4" max="4"/>
    <col width="20" customWidth="1" min="5" max="5"/>
    <col width="12" customWidth="1" min="6" max="6"/>
    <col width="11" customWidth="1" min="7" max="7"/>
    <col width="13" customWidth="1" min="8" max="8"/>
    <col width="14" customWidth="1" min="9" max="9"/>
    <col width="34" customWidth="1" min="10" max="10"/>
  </cols>
  <sheetData>
    <row r="1">
      <c r="A1" s="1" t="inlineStr">
        <is>
          <t>RAID Register</t>
        </is>
      </c>
    </row>
    <row r="3">
      <c r="A3" s="17" t="inlineStr">
        <is>
          <t>RAID ID</t>
        </is>
      </c>
      <c r="B3" s="17" t="inlineStr">
        <is>
          <t>Type</t>
        </is>
      </c>
      <c r="C3" s="17" t="inlineStr">
        <is>
          <t>Initiative</t>
        </is>
      </c>
      <c r="D3" s="17" t="inlineStr">
        <is>
          <t>Description</t>
        </is>
      </c>
      <c r="E3" s="17" t="inlineStr">
        <is>
          <t>Owner</t>
        </is>
      </c>
      <c r="F3" s="17" t="inlineStr">
        <is>
          <t>Raised</t>
        </is>
      </c>
      <c r="G3" s="17" t="inlineStr">
        <is>
          <t>Priority</t>
        </is>
      </c>
      <c r="H3" s="17" t="inlineStr">
        <is>
          <t>Status</t>
        </is>
      </c>
      <c r="I3" s="17" t="inlineStr">
        <is>
          <t>Due / review</t>
        </is>
      </c>
      <c r="J3" s="17" t="inlineStr">
        <is>
          <t>Notes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</row>
    <row r="5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</row>
    <row r="6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</row>
  </sheetData>
  <autoFilter ref="A3:J63"/>
  <conditionalFormatting sqref="H4:H63">
    <cfRule type="cellIs" priority="1" operator="equal" dxfId="8">
      <formula>"Open"</formula>
    </cfRule>
    <cfRule type="cellIs" priority="2" operator="equal" dxfId="2">
      <formula>"Blocked"</formula>
    </cfRule>
    <cfRule type="cellIs" priority="3" operator="equal" dxfId="1">
      <formula>"In progress"</formula>
    </cfRule>
    <cfRule type="cellIs" priority="4" operator="equal" dxfId="0">
      <formula>"Done"</formula>
    </cfRule>
  </conditionalFormatting>
  <conditionalFormatting sqref="G4:G63">
    <cfRule type="cellIs" priority="5" operator="equal" dxfId="7">
      <formula>"Critical"</formula>
    </cfRule>
    <cfRule type="cellIs" priority="6" operator="equal" dxfId="9">
      <formula>"High"</formula>
    </cfRule>
    <cfRule type="cellIs" priority="7" operator="equal" dxfId="4">
      <formula>"Medium"</formula>
    </cfRule>
    <cfRule type="cellIs" priority="8" operator="equal" dxfId="10">
      <formula>"Low"</formula>
    </cfRule>
  </conditionalFormatting>
  <dataValidations count="4">
    <dataValidation sqref="B4:B63" showDropDown="0" showInputMessage="0" showErrorMessage="1" allowBlank="1" error="Pick a value from the dropdown." type="list">
      <formula1>Lists!$E$2:$E$5</formula1>
    </dataValidation>
    <dataValidation sqref="G4:G63" showDropDown="0" showInputMessage="0" showErrorMessage="1" allowBlank="1" error="Pick a value from the dropdown." type="list">
      <formula1>Lists!$F$2:$F$5</formula1>
    </dataValidation>
    <dataValidation sqref="H4:H63" showDropDown="0" showInputMessage="0" showErrorMessage="1" allowBlank="1" error="Pick a value from the dropdown." type="list">
      <formula1>Lists!$D$2:$D$6</formula1>
    </dataValidation>
    <dataValidation sqref="I4:I63" showDropDown="0" showInputMessage="0" showErrorMessage="0" allowBlank="1" type="date" operator="greaterThan">
      <formula1>36526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Step state</t>
        </is>
      </c>
      <c r="B1" s="19" t="inlineStr">
        <is>
          <t>Lifecycle status</t>
        </is>
      </c>
      <c r="C1" s="19" t="inlineStr">
        <is>
          <t>RAG</t>
        </is>
      </c>
      <c r="D1" s="19" t="inlineStr">
        <is>
          <t>Action status</t>
        </is>
      </c>
      <c r="E1" s="19" t="inlineStr">
        <is>
          <t>RAID type</t>
        </is>
      </c>
      <c r="F1" s="19" t="inlineStr">
        <is>
          <t>RAID priority</t>
        </is>
      </c>
    </row>
    <row r="2">
      <c r="A2" t="inlineStr">
        <is>
          <t>● Complete</t>
        </is>
      </c>
      <c r="B2" t="inlineStr">
        <is>
          <t>● Hopper Backlog</t>
        </is>
      </c>
      <c r="C2" t="inlineStr">
        <is>
          <t>Green</t>
        </is>
      </c>
      <c r="D2" t="inlineStr">
        <is>
          <t>Open</t>
        </is>
      </c>
      <c r="E2" t="inlineStr">
        <is>
          <t>Risk</t>
        </is>
      </c>
      <c r="F2" t="inlineStr">
        <is>
          <t>Critical</t>
        </is>
      </c>
    </row>
    <row r="3">
      <c r="A3" t="inlineStr">
        <is>
          <t>● In Progress</t>
        </is>
      </c>
      <c r="B3" t="inlineStr">
        <is>
          <t>● Initiation Form in Progress</t>
        </is>
      </c>
      <c r="C3" t="inlineStr">
        <is>
          <t>Amber</t>
        </is>
      </c>
      <c r="D3" t="inlineStr">
        <is>
          <t>In progress</t>
        </is>
      </c>
      <c r="E3" t="inlineStr">
        <is>
          <t>Assumption</t>
        </is>
      </c>
      <c r="F3" t="inlineStr">
        <is>
          <t>High</t>
        </is>
      </c>
    </row>
    <row r="4">
      <c r="A4" t="inlineStr">
        <is>
          <t>● Not started</t>
        </is>
      </c>
      <c r="B4" t="inlineStr">
        <is>
          <t>● Mobilising</t>
        </is>
      </c>
      <c r="C4" t="inlineStr">
        <is>
          <t>Red</t>
        </is>
      </c>
      <c r="D4" t="inlineStr">
        <is>
          <t>Blocked</t>
        </is>
      </c>
      <c r="E4" t="inlineStr">
        <is>
          <t>Issue</t>
        </is>
      </c>
      <c r="F4" t="inlineStr">
        <is>
          <t>Medium</t>
        </is>
      </c>
    </row>
    <row r="5">
      <c r="A5" t="inlineStr">
        <is>
          <t>● Not required</t>
        </is>
      </c>
      <c r="B5" t="inlineStr">
        <is>
          <t>● In Delivery</t>
        </is>
      </c>
      <c r="D5" t="inlineStr">
        <is>
          <t>Done</t>
        </is>
      </c>
      <c r="E5" t="inlineStr">
        <is>
          <t>Dependency</t>
        </is>
      </c>
      <c r="F5" t="inlineStr">
        <is>
          <t>Low</t>
        </is>
      </c>
    </row>
    <row r="6">
      <c r="A6" t="inlineStr">
        <is>
          <t>● Blocked</t>
        </is>
      </c>
      <c r="B6" t="inlineStr">
        <is>
          <t>● Operational / Live</t>
        </is>
      </c>
      <c r="D6" t="inlineStr">
        <is>
          <t>Cancelled</t>
        </is>
      </c>
    </row>
    <row r="7">
      <c r="B7" t="inlineStr">
        <is>
          <t>● Closed / Retired</t>
        </is>
      </c>
    </row>
    <row r="8">
      <c r="B8" t="inlineStr">
        <is>
          <t>● Paused (On Hold)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2026-09-28T10:29:58Z</dcterms:created>
  <dcterms:modified xsi:type="dcterms:W3CDTF">2026-09-28T10:29:58Z</dcterms:modified>
</cp:coreProperties>
</file>