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G:\My Drive\01. SOS Workspace\00. Downloads\"/>
    </mc:Choice>
  </mc:AlternateContent>
  <xr:revisionPtr revIDLastSave="0" documentId="8_{385C7A6D-E9FC-4D24-8823-89C81BFFDB71}" xr6:coauthVersionLast="47" xr6:coauthVersionMax="47" xr10:uidLastSave="{00000000-0000-0000-0000-000000000000}"/>
  <bookViews>
    <workbookView xWindow="43080" yWindow="-120" windowWidth="29040" windowHeight="15720" activeTab="2" xr2:uid="{00000000-000D-0000-FFFF-FFFF00000000}"/>
  </bookViews>
  <sheets>
    <sheet name="Programme Overview" sheetId="1" r:id="rId1"/>
    <sheet name="Delivery Overview" sheetId="2" r:id="rId2"/>
    <sheet name="Actions" sheetId="3" r:id="rId3"/>
    <sheet name="Closed Actions" sheetId="6" state="hidden" r:id="rId4"/>
    <sheet name="RAID" sheetId="5" r:id="rId5"/>
    <sheet name="Lists" sheetId="4" r:id="rId6"/>
  </sheets>
  <definedNames>
    <definedName name="_xlnm._FilterDatabase" localSheetId="2" hidden="1">Actions!$A$3:$H$118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18" i="3" l="1"/>
  <c r="H117" i="3"/>
  <c r="H116" i="3"/>
  <c r="H115" i="3"/>
  <c r="H114" i="3"/>
  <c r="H113" i="3"/>
  <c r="H112" i="3"/>
  <c r="H111" i="3"/>
  <c r="H110" i="3"/>
  <c r="H109" i="3"/>
  <c r="H108" i="3"/>
  <c r="H107" i="3"/>
  <c r="H106" i="3"/>
  <c r="H105" i="3"/>
  <c r="H104" i="3"/>
  <c r="H103" i="3"/>
  <c r="H102" i="3"/>
  <c r="H101" i="3"/>
  <c r="H100" i="3"/>
  <c r="H99" i="3"/>
  <c r="H98" i="3"/>
  <c r="H97" i="3"/>
  <c r="H96" i="3"/>
  <c r="H95" i="3"/>
  <c r="H94" i="3"/>
  <c r="H93" i="3"/>
  <c r="H92" i="3"/>
  <c r="H91" i="3"/>
  <c r="H90" i="3"/>
  <c r="H89" i="3"/>
  <c r="H88" i="3"/>
  <c r="H87" i="3"/>
  <c r="H86" i="3"/>
  <c r="H85" i="3"/>
  <c r="H84" i="3"/>
  <c r="H83" i="3"/>
  <c r="H82" i="3"/>
  <c r="H81" i="3"/>
  <c r="H80" i="3"/>
  <c r="H79" i="3"/>
  <c r="H78" i="3"/>
  <c r="H77" i="3"/>
  <c r="H76" i="3"/>
  <c r="H75" i="3"/>
  <c r="H74" i="3"/>
  <c r="H73" i="3"/>
  <c r="H72" i="3"/>
  <c r="H71" i="3"/>
  <c r="H70" i="3"/>
  <c r="H69" i="3"/>
  <c r="H68" i="3"/>
  <c r="H67" i="3"/>
  <c r="H66" i="3"/>
  <c r="H65" i="3"/>
  <c r="H64" i="3"/>
  <c r="H63" i="3"/>
  <c r="H62" i="3"/>
  <c r="H61" i="3"/>
  <c r="H60" i="3"/>
  <c r="H59" i="3"/>
  <c r="H58" i="3"/>
  <c r="H57" i="3"/>
  <c r="H56" i="3"/>
  <c r="H55" i="3"/>
  <c r="H54" i="3"/>
  <c r="H53" i="3"/>
  <c r="H52" i="3"/>
  <c r="H51" i="3"/>
  <c r="H50" i="3"/>
  <c r="H49" i="3"/>
  <c r="H48" i="3"/>
  <c r="H47" i="3"/>
  <c r="H46" i="3"/>
  <c r="H45" i="3"/>
  <c r="H44" i="3"/>
  <c r="H43" i="3"/>
  <c r="H42" i="3"/>
  <c r="H41" i="3"/>
  <c r="H40" i="3"/>
  <c r="H39" i="3"/>
  <c r="H38" i="3"/>
  <c r="H37" i="3"/>
  <c r="H36" i="3"/>
  <c r="H35" i="3"/>
  <c r="H34" i="3"/>
  <c r="H33" i="3"/>
  <c r="H32" i="3"/>
  <c r="H31" i="3"/>
  <c r="H30" i="3"/>
  <c r="H29" i="3"/>
  <c r="H28" i="3"/>
  <c r="H27" i="3"/>
  <c r="H26" i="3"/>
  <c r="H25" i="3"/>
  <c r="H24" i="3"/>
  <c r="H23" i="3"/>
  <c r="H22" i="3"/>
  <c r="H21" i="3"/>
  <c r="H20" i="3"/>
  <c r="H19" i="3"/>
  <c r="H18" i="3"/>
  <c r="H17" i="3"/>
  <c r="H16" i="3"/>
  <c r="H15" i="3"/>
  <c r="H14" i="3"/>
  <c r="H13" i="3"/>
  <c r="H12" i="3"/>
  <c r="H11" i="3"/>
  <c r="H10" i="3"/>
  <c r="H9" i="3"/>
  <c r="H8" i="3"/>
  <c r="H7" i="3"/>
  <c r="H6" i="3"/>
  <c r="H5" i="3"/>
  <c r="H4" i="3"/>
  <c r="I134" i="5"/>
  <c r="I133" i="5"/>
  <c r="I132" i="5"/>
  <c r="I131" i="5"/>
  <c r="I130" i="5"/>
  <c r="I129" i="5"/>
  <c r="I128" i="5"/>
  <c r="I127" i="5"/>
  <c r="I125" i="5"/>
  <c r="I124" i="5"/>
  <c r="I123" i="5"/>
  <c r="I122" i="5"/>
  <c r="I121" i="5"/>
  <c r="I120" i="5"/>
  <c r="I119" i="5"/>
  <c r="I118" i="5"/>
  <c r="I117" i="5"/>
  <c r="I116" i="5"/>
  <c r="A115" i="5"/>
  <c r="I114" i="5"/>
  <c r="I113" i="5"/>
  <c r="I112" i="5"/>
  <c r="I111" i="5"/>
  <c r="I110" i="5"/>
  <c r="I109" i="5"/>
  <c r="A108" i="5" s="1"/>
  <c r="I106" i="5"/>
  <c r="I105" i="5"/>
  <c r="I104" i="5"/>
  <c r="I103" i="5"/>
  <c r="I102" i="5"/>
  <c r="I101" i="5"/>
  <c r="I100" i="5"/>
  <c r="I98" i="5"/>
  <c r="I97" i="5"/>
  <c r="I96" i="5"/>
  <c r="I95" i="5"/>
  <c r="I94" i="5"/>
  <c r="I93" i="5"/>
  <c r="I92" i="5"/>
  <c r="I90" i="5"/>
  <c r="I89" i="5"/>
  <c r="I88" i="5"/>
  <c r="I87" i="5"/>
  <c r="I86" i="5"/>
  <c r="I85" i="5"/>
  <c r="I84" i="5"/>
  <c r="A83" i="5"/>
  <c r="I82" i="5"/>
  <c r="I81" i="5"/>
  <c r="I80" i="5"/>
  <c r="I79" i="5"/>
  <c r="I78" i="5"/>
  <c r="I77" i="5"/>
  <c r="I76" i="5"/>
  <c r="I75" i="5"/>
  <c r="I74" i="5"/>
  <c r="I73" i="5"/>
  <c r="I71" i="5"/>
  <c r="I70" i="5"/>
  <c r="I69" i="5"/>
  <c r="I68" i="5"/>
  <c r="I67" i="5"/>
  <c r="I66" i="5"/>
  <c r="I65" i="5"/>
  <c r="I64" i="5"/>
  <c r="I63" i="5"/>
  <c r="I62" i="5"/>
  <c r="I60" i="5"/>
  <c r="I59" i="5"/>
  <c r="I58" i="5"/>
  <c r="I57" i="5"/>
  <c r="I56" i="5"/>
  <c r="I55" i="5"/>
  <c r="A54" i="5"/>
  <c r="I52" i="5"/>
  <c r="I51" i="5"/>
  <c r="I50" i="5"/>
  <c r="I49" i="5"/>
  <c r="I48" i="5"/>
  <c r="I47" i="5"/>
  <c r="I46" i="5"/>
  <c r="I44" i="5"/>
  <c r="I43" i="5"/>
  <c r="I42" i="5"/>
  <c r="I41" i="5"/>
  <c r="I40" i="5"/>
  <c r="I39" i="5"/>
  <c r="I38" i="5"/>
  <c r="I37" i="5"/>
  <c r="I36" i="5"/>
  <c r="I35" i="5"/>
  <c r="I33" i="5"/>
  <c r="I32" i="5"/>
  <c r="I31" i="5"/>
  <c r="I30" i="5"/>
  <c r="I29" i="5"/>
  <c r="I28" i="5"/>
  <c r="I27" i="5"/>
  <c r="I26" i="5"/>
  <c r="I25" i="5"/>
  <c r="I24" i="5"/>
  <c r="I22" i="5"/>
  <c r="I21" i="5"/>
  <c r="I20" i="5"/>
  <c r="I19" i="5"/>
  <c r="I18" i="5"/>
  <c r="I17" i="5"/>
  <c r="I16" i="5"/>
  <c r="I15" i="5"/>
  <c r="I14" i="5"/>
  <c r="I13" i="5"/>
  <c r="I11" i="5"/>
  <c r="I10" i="5"/>
  <c r="I9" i="5"/>
  <c r="I8" i="5"/>
  <c r="I7" i="5"/>
  <c r="I6" i="5"/>
  <c r="A5" i="5"/>
  <c r="G118" i="3"/>
  <c r="G117" i="3"/>
  <c r="G116" i="3"/>
  <c r="G115" i="3"/>
  <c r="G114" i="3"/>
  <c r="G113" i="3"/>
  <c r="G112" i="3"/>
  <c r="G111" i="3"/>
  <c r="G109" i="3"/>
  <c r="G108" i="3"/>
  <c r="G107" i="3"/>
  <c r="G106" i="3"/>
  <c r="G105" i="3"/>
  <c r="G104" i="3"/>
  <c r="G103" i="3"/>
  <c r="G102" i="3"/>
  <c r="G101" i="3"/>
  <c r="G100" i="3"/>
  <c r="G97" i="3"/>
  <c r="G96" i="3"/>
  <c r="G95" i="3"/>
  <c r="G94" i="3"/>
  <c r="G93" i="3"/>
  <c r="G92" i="3"/>
  <c r="G91" i="3"/>
  <c r="A90" i="3"/>
  <c r="G89" i="3"/>
  <c r="G88" i="3"/>
  <c r="G87" i="3"/>
  <c r="G86" i="3"/>
  <c r="G85" i="3"/>
  <c r="G84" i="3"/>
  <c r="G83" i="3"/>
  <c r="G82" i="3"/>
  <c r="G81" i="3"/>
  <c r="G80" i="3"/>
  <c r="G78" i="3"/>
  <c r="G77" i="3"/>
  <c r="G76" i="3"/>
  <c r="G75" i="3"/>
  <c r="G74" i="3"/>
  <c r="G73" i="3"/>
  <c r="G72" i="3"/>
  <c r="G71" i="3"/>
  <c r="G70" i="3"/>
  <c r="G69" i="3"/>
  <c r="O13" i="2" s="1"/>
  <c r="G67" i="3"/>
  <c r="G66" i="3"/>
  <c r="G65" i="3"/>
  <c r="G64" i="3"/>
  <c r="G63" i="3"/>
  <c r="G62" i="3"/>
  <c r="A61" i="3"/>
  <c r="G59" i="3"/>
  <c r="G58" i="3"/>
  <c r="G57" i="3"/>
  <c r="G56" i="3"/>
  <c r="G55" i="3"/>
  <c r="G54" i="3"/>
  <c r="G53" i="3"/>
  <c r="G51" i="3"/>
  <c r="G50" i="3"/>
  <c r="G49" i="3"/>
  <c r="G48" i="3"/>
  <c r="G47" i="3"/>
  <c r="G46" i="3"/>
  <c r="G44" i="3"/>
  <c r="G43" i="3"/>
  <c r="G42" i="3"/>
  <c r="G41" i="3"/>
  <c r="G40" i="3"/>
  <c r="G39" i="3"/>
  <c r="G38" i="3"/>
  <c r="G37" i="3"/>
  <c r="G36" i="3"/>
  <c r="G35" i="3"/>
  <c r="O9" i="2" s="1"/>
  <c r="A34" i="3"/>
  <c r="G33" i="3"/>
  <c r="G32" i="3"/>
  <c r="G31" i="3"/>
  <c r="G30" i="3"/>
  <c r="G29" i="3"/>
  <c r="G28" i="3"/>
  <c r="G27" i="3"/>
  <c r="G26" i="3"/>
  <c r="G25" i="3"/>
  <c r="G24" i="3"/>
  <c r="G22" i="3"/>
  <c r="G21" i="3"/>
  <c r="G20" i="3"/>
  <c r="G19" i="3"/>
  <c r="G18" i="3"/>
  <c r="G17" i="3"/>
  <c r="G16" i="3"/>
  <c r="G15" i="3"/>
  <c r="G14" i="3"/>
  <c r="G13" i="3"/>
  <c r="G11" i="3"/>
  <c r="G10" i="3"/>
  <c r="G9" i="3"/>
  <c r="A5" i="3" s="1"/>
  <c r="G8" i="3"/>
  <c r="G7" i="3"/>
  <c r="G6" i="3"/>
  <c r="R20" i="2"/>
  <c r="O20" i="2"/>
  <c r="N20" i="2"/>
  <c r="C20" i="2" a="1"/>
  <c r="B20" i="1" s="1"/>
  <c r="R19" i="2"/>
  <c r="O19" i="2"/>
  <c r="N19" i="2"/>
  <c r="C19" i="2" a="1"/>
  <c r="R18" i="2"/>
  <c r="F11" i="4" s="1"/>
  <c r="N18" i="2"/>
  <c r="C18" i="2" a="1"/>
  <c r="B18" i="1" s="1"/>
  <c r="C17" i="2" a="1"/>
  <c r="R16" i="2"/>
  <c r="O16" i="2"/>
  <c r="N16" i="2"/>
  <c r="C16" i="2" a="1"/>
  <c r="B16" i="1" s="1"/>
  <c r="R15" i="2"/>
  <c r="O15" i="2"/>
  <c r="N15" i="2"/>
  <c r="C15" i="2" a="1"/>
  <c r="B15" i="1" s="1"/>
  <c r="R14" i="2"/>
  <c r="F8" i="4" s="1"/>
  <c r="N14" i="2"/>
  <c r="C14" i="2" a="1"/>
  <c r="B14" i="1" s="1"/>
  <c r="R13" i="2"/>
  <c r="F7" i="4" s="1"/>
  <c r="N13" i="2"/>
  <c r="C13" i="2" a="1"/>
  <c r="B13" i="1" s="1"/>
  <c r="C12" i="2" a="1"/>
  <c r="R11" i="2"/>
  <c r="O11" i="2"/>
  <c r="N11" i="2"/>
  <c r="C11" i="2" a="1"/>
  <c r="B11" i="1" s="1"/>
  <c r="R10" i="2"/>
  <c r="F5" i="4" s="1"/>
  <c r="N10" i="2"/>
  <c r="C10" i="2" a="1"/>
  <c r="B10" i="1" s="1"/>
  <c r="R9" i="2"/>
  <c r="F4" i="4" s="1"/>
  <c r="N9" i="2"/>
  <c r="C9" i="2" a="1"/>
  <c r="B9" i="1" s="1"/>
  <c r="R8" i="2"/>
  <c r="F3" i="4" s="1"/>
  <c r="N8" i="2"/>
  <c r="C8" i="2" a="1"/>
  <c r="B8" i="1" s="1"/>
  <c r="R7" i="2"/>
  <c r="F2" i="4" s="1"/>
  <c r="N7" i="2"/>
  <c r="C7" i="2" a="1"/>
  <c r="B7" i="1" s="1"/>
  <c r="C6" i="2"/>
  <c r="A20" i="1"/>
  <c r="B19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H4" i="1"/>
  <c r="E4" i="1"/>
  <c r="A45" i="5" l="1"/>
  <c r="A52" i="3"/>
  <c r="A91" i="5"/>
  <c r="A45" i="3"/>
  <c r="A79" i="3"/>
  <c r="O10" i="2"/>
  <c r="A34" i="5"/>
  <c r="O14" i="2"/>
  <c r="A110" i="3"/>
  <c r="A72" i="5"/>
  <c r="A98" i="3"/>
  <c r="O18" i="2"/>
  <c r="A99" i="3"/>
  <c r="A23" i="5"/>
  <c r="A23" i="3"/>
  <c r="O8" i="2"/>
  <c r="A99" i="5"/>
  <c r="A61" i="5"/>
  <c r="A53" i="5"/>
  <c r="A107" i="5"/>
  <c r="A126" i="5"/>
  <c r="A4" i="5"/>
  <c r="A12" i="5"/>
  <c r="A68" i="3"/>
  <c r="A60" i="3"/>
  <c r="A4" i="3"/>
  <c r="A12" i="3"/>
  <c r="O7" i="2"/>
  <c r="C20" i="1"/>
  <c r="E20" i="1"/>
  <c r="G20" i="1"/>
  <c r="D20" i="1"/>
  <c r="F20" i="1"/>
  <c r="H20" i="1"/>
  <c r="D19" i="1"/>
  <c r="F19" i="1"/>
  <c r="G19" i="1"/>
  <c r="E19" i="1"/>
  <c r="C19" i="1"/>
  <c r="H19" i="1"/>
  <c r="D18" i="1"/>
  <c r="C18" i="1"/>
  <c r="E18" i="1"/>
  <c r="F18" i="1" s="1"/>
  <c r="G18" i="1" s="1"/>
  <c r="H18" i="1" s="1"/>
  <c r="H16" i="1"/>
  <c r="G16" i="1"/>
  <c r="F16" i="1"/>
  <c r="E16" i="1"/>
  <c r="D16" i="1"/>
  <c r="C16" i="1"/>
  <c r="H15" i="1"/>
  <c r="F15" i="1"/>
  <c r="E15" i="1"/>
  <c r="D15" i="1"/>
  <c r="C15" i="1"/>
  <c r="G15" i="1"/>
  <c r="C14" i="1"/>
  <c r="D14" i="1"/>
  <c r="E14" i="1"/>
  <c r="F14" i="1"/>
  <c r="G14" i="1"/>
  <c r="H14" i="1"/>
  <c r="D13" i="1"/>
  <c r="E13" i="1" s="1"/>
  <c r="F13" i="1" s="1"/>
  <c r="G13" i="1" s="1"/>
  <c r="H13" i="1" s="1"/>
  <c r="C13" i="1"/>
  <c r="H11" i="1"/>
  <c r="G11" i="1"/>
  <c r="F11" i="1"/>
  <c r="E11" i="1"/>
  <c r="D11" i="1"/>
  <c r="C11" i="1"/>
  <c r="E10" i="1"/>
  <c r="F10" i="1" s="1"/>
  <c r="G10" i="1" s="1"/>
  <c r="H10" i="1" s="1"/>
  <c r="D10" i="1"/>
  <c r="C10" i="1"/>
  <c r="C9" i="1"/>
  <c r="D9" i="1" s="1"/>
  <c r="E9" i="1" s="1"/>
  <c r="F9" i="1" s="1"/>
  <c r="G9" i="1" s="1"/>
  <c r="H9" i="1" s="1"/>
  <c r="C8" i="1"/>
  <c r="D8" i="1" s="1"/>
  <c r="E8" i="1" s="1"/>
  <c r="F8" i="1" s="1"/>
  <c r="G8" i="1" s="1"/>
  <c r="H8" i="1" s="1"/>
  <c r="C7" i="1"/>
  <c r="D7" i="1" s="1"/>
  <c r="E7" i="1" s="1"/>
  <c r="F7" i="1" s="1"/>
  <c r="G7" i="1" s="1"/>
  <c r="H7" i="1" s="1"/>
  <c r="A4" i="6" l="1" a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<sst xmlns="http://schemas.openxmlformats.org/spreadsheetml/2006/main" count="88" uniqueCount="88">
  <si>
    <t>Programme Overview</t>
  </si>
  <si>
    <t>Contract / initiative</t>
  </si>
  <si>
    <t>Current Step</t>
  </si>
  <si>
    <t>1. Commercial Approval</t>
  </si>
  <si>
    <t>2. Mobilising</t>
  </si>
  <si>
    <t>4. UAT</t>
  </si>
  <si>
    <t>5. Live</t>
  </si>
  <si>
    <t>Delivery Overview</t>
  </si>
  <si>
    <t>PEP MILESTONES</t>
  </si>
  <si>
    <t>Jira ref 
(GP / DDE)</t>
  </si>
  <si>
    <t>3. In Delivery</t>
  </si>
  <si>
    <t>6. Adopted</t>
  </si>
  <si>
    <t>Actions (Open)</t>
  </si>
  <si>
    <t>Actions (Overdue)</t>
  </si>
  <si>
    <t>Notes</t>
  </si>
  <si>
    <t>Leadership Approval</t>
  </si>
  <si>
    <t>Vendor Onboarded</t>
  </si>
  <si>
    <t>Project kick-off</t>
  </si>
  <si>
    <t>PEP Build</t>
  </si>
  <si>
    <t>Work Delivered</t>
  </si>
  <si>
    <t>Functional Testing</t>
  </si>
  <si>
    <t>UAT approval</t>
  </si>
  <si>
    <t>Go-live</t>
  </si>
  <si>
    <t>Hypercare</t>
  </si>
  <si>
    <t>Adoption (30-day)</t>
  </si>
  <si>
    <t>Contract Group 1</t>
  </si>
  <si>
    <t>● Complete</t>
  </si>
  <si>
    <t>● In Progress</t>
  </si>
  <si>
    <t>Contract Group 2</t>
  </si>
  <si>
    <t>● Not started</t>
  </si>
  <si>
    <t>Contract Group 3</t>
  </si>
  <si>
    <t>Action Tracker</t>
  </si>
  <si>
    <t>Action ID</t>
  </si>
  <si>
    <t>Action</t>
  </si>
  <si>
    <t>Owner</t>
  </si>
  <si>
    <t>Due</t>
  </si>
  <si>
    <t>Status</t>
  </si>
  <si>
    <t>Update</t>
  </si>
  <si>
    <t>Overdue</t>
  </si>
  <si>
    <t>Open</t>
  </si>
  <si>
    <t>In progress</t>
  </si>
  <si>
    <t>RAID Log</t>
  </si>
  <si>
    <t>RAID ID</t>
  </si>
  <si>
    <t>RAID Item</t>
  </si>
  <si>
    <t>Type</t>
  </si>
  <si>
    <t>Rating</t>
  </si>
  <si>
    <t>Due / Review</t>
  </si>
  <si>
    <t>Mitigation / Response</t>
  </si>
  <si>
    <t>Risk</t>
  </si>
  <si>
    <t>Amber</t>
  </si>
  <si>
    <t>Issue</t>
  </si>
  <si>
    <t>Red</t>
  </si>
  <si>
    <t>Blocked</t>
  </si>
  <si>
    <t>Dependency</t>
  </si>
  <si>
    <t>Assumption</t>
  </si>
  <si>
    <t>Step state</t>
  </si>
  <si>
    <t>RAG</t>
  </si>
  <si>
    <t>Action status</t>
  </si>
  <si>
    <t>Action step</t>
  </si>
  <si>
    <t>Initiative keys</t>
  </si>
  <si>
    <t>Contracts</t>
  </si>
  <si>
    <t>RAID type</t>
  </si>
  <si>
    <t>● Hopper Backlog</t>
  </si>
  <si>
    <t>Green</t>
  </si>
  <si>
    <t>● Initiation Form in Progress</t>
  </si>
  <si>
    <t>● Mobilising</t>
  </si>
  <si>
    <t>● Not required</t>
  </si>
  <si>
    <t>● In Delivery</t>
  </si>
  <si>
    <t>Done</t>
  </si>
  <si>
    <t>PEP built</t>
  </si>
  <si>
    <t>● Blocked</t>
  </si>
  <si>
    <t>● Operational / Live</t>
  </si>
  <si>
    <t>Cancelled</t>
  </si>
  <si>
    <t>● Closed / Retired</t>
  </si>
  <si>
    <t>● Paused (On Hold)</t>
  </si>
  <si>
    <t>General</t>
  </si>
  <si>
    <t>Contract Group 1 · General Transition</t>
  </si>
  <si>
    <t>Contract Group 2 · Contract-level</t>
  </si>
  <si>
    <t>Contract Group 3 · Programme-level</t>
  </si>
  <si>
    <t>Contract Group 1 · General (smaller initiatives)</t>
  </si>
  <si>
    <t>Contract Group 1 · other / new initiative</t>
  </si>
  <si>
    <t>Contract Group 2 · Workstream 3</t>
  </si>
  <si>
    <t>Contract Group 2 · General (smaller initiatives)</t>
  </si>
  <si>
    <t>Contract Group 2 · other / new initiative</t>
  </si>
  <si>
    <t>Contract Group 3 · other / new initiative</t>
  </si>
  <si>
    <t>Closed Actions Archive</t>
  </si>
  <si>
    <t>Live view of Closed, Done and Cancelled actions. Source records remain on the Actions sheet.</t>
  </si>
  <si>
    <t>Visibility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</si>
</sst>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2" x14ac:knownFonts="1">
    <font>
      <sz val="11"/>
      <color theme="1"/>
      <name val="Calibri"/>
    </font>
    <font>
      <b/>
      <sz val="10"/>
      <color rgb="FF22272B"/>
      <name val="Arial"/>
    </font>
    <font>
      <b/>
      <sz val="16"/>
      <color rgb="FF1F2A44"/>
      <name val="Arial"/>
    </font>
    <font>
      <i/>
      <sz val="9"/>
      <color rgb="FF5A626B"/>
      <name val="Arial"/>
    </font>
    <font>
      <b/>
      <sz val="9"/>
      <color rgb="FFFFFFFF"/>
      <name val="Arial"/>
    </font>
    <font>
      <b/>
      <sz val="10"/>
      <color rgb="FF1F2A44"/>
      <name val="Arial"/>
    </font>
    <font>
      <b/>
      <sz val="9"/>
      <color rgb="FF1F2A44"/>
      <name val="Arial"/>
    </font>
    <font>
      <i/>
      <sz val="8"/>
      <color rgb="FF5A626B"/>
      <name val="Arial"/>
    </font>
    <font>
      <b/>
      <sz val="10"/>
      <color rgb="FFFFFFFF"/>
      <name val="Arial"/>
    </font>
    <font>
      <sz val="9"/>
      <color rgb="FF5A626B"/>
      <name val="Arial"/>
    </font>
    <font>
      <i/>
      <sz val="8"/>
      <color rgb="FF5A626B"/>
      <name val="Arial"/>
    </font>
    <font>
      <b/>
      <sz val="9"/>
      <color rgb="FFFFFFFF"/>
      <name val="Arial"/>
    </font>
    <font>
      <b/>
      <sz val="16"/>
      <color rgb="FF1F2A44"/>
      <name val="Arial"/>
    </font>
    <font>
      <b/>
      <sz val="9"/>
      <color rgb="FFFFFFFF"/>
      <name val="Arial"/>
    </font>
    <font>
      <sz val="9"/>
      <color rgb="FF1F1F1F"/>
      <name val="Arial"/>
    </font>
    <font>
      <sz val="11"/>
      <color rgb="FF1F1F1F"/>
      <name val="Calibri"/>
    </font>
    <font>
      <b/>
      <sz val="9.5"/>
      <color rgb="FF1F2A44"/>
      <name val="Arial"/>
    </font>
    <font>
      <b/>
      <sz val="11"/>
      <color rgb="FFFFFFFF"/>
      <name val="Arial"/>
    </font>
    <font>
      <b/>
      <sz val="8.5"/>
      <name val="Arial"/>
    </font>
    <font>
      <b/>
      <sz val="10"/>
      <name val="Arial"/>
    </font>
    <font>
      <sz val="9"/>
      <name val="Arial"/>
    </font>
    <font>
      <sz val="7.5"/>
      <name val="Arial"/>
    </font>
    <font>
      <b/>
      <sz val="8.5"/>
      <color rgb="FF1F1F1F"/>
      <name val="Arial"/>
    </font>
    <font>
      <sz val="8.5"/>
      <color rgb="FF1F1F1F"/>
      <name val="Arial"/>
    </font>
    <font>
      <b/>
      <sz val="8.5"/>
      <color rgb="FF006100"/>
      <name val="Arial"/>
    </font>
    <font>
      <b/>
      <sz val="8.5"/>
      <color rgb="FF9C0006"/>
      <name val="Arial"/>
    </font>
    <font>
      <b/>
      <sz val="8.5"/>
      <color rgb="FF1F2A44"/>
      <name val="Arial"/>
    </font>
    <font>
      <sz val="9"/>
      <color rgb="FF1F1F1F"/>
      <name val="Arial"/>
    </font>
    <font>
      <b/>
      <sz val="9"/>
      <color rgb="FFFFFFFF"/>
      <name val="Arial"/>
    </font>
    <font>
      <b/>
      <sz val="11"/>
      <color rgb="FFFFFFFF"/>
      <name val="Calibri"/>
    </font>
    <font>
      <b/>
      <sz val="18"/>
      <color rgb="FFFFFFFF"/>
      <name val="Calibri"/>
    </font>
    <font>
      <sz val="11"/>
      <color rgb="FF44546A"/>
      <name val="Calibri"/>
    </font>
  </fonts>
  <fills count="15">
    <fill>
      <patternFill patternType="none"/>
    </fill>
    <fill>
      <patternFill patternType="gray125"/>
    </fill>
    <fill>
      <patternFill patternType="solid">
        <fgColor rgb="FF1F2A44"/>
      </patternFill>
    </fill>
    <fill>
      <patternFill patternType="solid">
        <fgColor rgb="FF146C74"/>
      </patternFill>
    </fill>
    <fill>
      <patternFill patternType="solid">
        <fgColor rgb="FFE9EDF2"/>
      </patternFill>
    </fill>
    <fill>
      <patternFill patternType="solid">
        <fgColor rgb="FFD6EAEC"/>
      </patternFill>
    </fill>
    <fill>
      <patternFill patternType="solid">
        <fgColor rgb="FFEEF1F4"/>
      </patternFill>
    </fill>
    <fill>
      <patternFill patternType="solid">
        <fgColor rgb="FFFFFFFF"/>
      </patternFill>
    </fill>
    <fill>
      <patternFill patternType="solid">
        <fgColor rgb="FFFFF2CC"/>
      </patternFill>
    </fill>
    <fill>
      <patternFill patternType="solid">
        <fgColor rgb="FFD9EAF7"/>
      </patternFill>
    </fill>
    <fill>
      <patternFill patternType="solid">
        <fgColor rgb="FFE9EDF2"/>
      </patternFill>
    </fill>
    <fill>
      <patternFill patternType="solid">
        <fgColor rgb="FFFFFFFF"/>
      </patternFill>
    </fill>
    <fill>
      <patternFill patternType="solid">
        <fgColor rgb="FF17365D"/>
        <bgColor indexed="64"/>
      </patternFill>
    </fill>
    <fill>
      <patternFill patternType="solid">
        <fgColor rgb="FFDCE6F1"/>
        <bgColor indexed="64"/>
      </patternFill>
    </fill>
    <fill>
      <patternFill patternType="solid">
        <fgColor rgb="FF4472C4"/>
        <bgColor indexed="64"/>
      </patternFill>
    </fill>
  </fills>
  <borders count="19">
    <border>
      <left/>
      <right/>
      <top/>
      <bottom/>
      <diagonal/>
    </border>
    <border>
      <left style="thin">
        <color rgb="FFC9D1D8"/>
      </left>
      <right style="thin">
        <color rgb="FFC9D1D8"/>
      </right>
      <top style="thin">
        <color rgb="FFC9D1D8"/>
      </top>
      <bottom style="thin">
        <color rgb="FFC9D1D8"/>
      </bottom>
      <diagonal/>
    </border>
    <border>
      <left style="thin">
        <color rgb="FFC9D1D8"/>
      </left>
      <right style="thin">
        <color rgb="FFC9D1D8"/>
      </right>
      <top/>
      <bottom style="thin">
        <color rgb="FFC9D1D8"/>
      </bottom>
      <diagonal/>
    </border>
    <border>
      <left/>
      <right/>
      <top style="thin">
        <color rgb="FFC9D1D8"/>
      </top>
      <bottom style="thin">
        <color rgb="FFC9D1D8"/>
      </bottom>
      <diagonal/>
    </border>
    <border>
      <left/>
      <right style="thin">
        <color rgb="FFC9D1D8"/>
      </right>
      <top style="thin">
        <color rgb="FFC9D1D8"/>
      </top>
      <bottom style="thin">
        <color rgb="FFC9D1D8"/>
      </bottom>
      <diagonal/>
    </border>
    <border>
      <left style="thin">
        <color rgb="FFC9D1D8"/>
      </left>
      <right style="thin">
        <color rgb="FFC9D1D8"/>
      </right>
      <top style="thin">
        <color rgb="FFC9D1D8"/>
      </top>
      <bottom style="thin">
        <color rgb="FFC9D1D8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rgb="FFC9D1D8"/>
      </left>
      <right/>
      <top style="thin">
        <color rgb="FFC9D1D8"/>
      </top>
      <bottom style="thin">
        <color rgb="FFC9D1D8"/>
      </bottom>
      <diagonal/>
    </border>
    <border>
      <left style="thin">
        <color rgb="FFE9EDF2"/>
      </left>
      <right style="thin">
        <color rgb="FFE9EDF2"/>
      </right>
      <top style="thin">
        <color rgb="FFC9D1D8"/>
      </top>
      <bottom style="thin">
        <color rgb="FFC9D1D8"/>
      </bottom>
      <diagonal/>
    </border>
    <border>
      <left style="thin">
        <color rgb="FFE9EDF2"/>
      </left>
      <right style="thin">
        <color rgb="FFC9D1D8"/>
      </right>
      <top style="thin">
        <color rgb="FFC9D1D8"/>
      </top>
      <bottom style="thin">
        <color rgb="FFC9D1D8"/>
      </bottom>
      <diagonal/>
    </border>
    <border>
      <left style="thin">
        <color rgb="FFC9D1D8"/>
      </left>
      <right style="thin">
        <color theme="0"/>
      </right>
      <top style="thin">
        <color rgb="FFC9D1D8"/>
      </top>
      <bottom style="thin">
        <color rgb="FFC9D1D8"/>
      </bottom>
      <diagonal/>
    </border>
    <border>
      <left style="thin">
        <color theme="0"/>
      </left>
      <right style="thin">
        <color theme="0"/>
      </right>
      <top style="thin">
        <color rgb="FFC9D1D8"/>
      </top>
      <bottom style="thin">
        <color rgb="FFC9D1D8"/>
      </bottom>
      <diagonal/>
    </border>
    <border>
      <left style="thin">
        <color theme="0"/>
      </left>
      <right style="thin">
        <color rgb="FFC9D1D8"/>
      </right>
      <top style="thin">
        <color rgb="FFC9D1D8"/>
      </top>
      <bottom style="thin">
        <color rgb="FFC9D1D8"/>
      </bottom>
      <diagonal/>
    </border>
    <border>
      <left style="thin">
        <color rgb="FFC9D1D8"/>
      </left>
      <right style="thin">
        <color rgb="FF146C74"/>
      </right>
      <top style="thin">
        <color rgb="FFC9D1D8"/>
      </top>
      <bottom style="thin">
        <color rgb="FFC9D1D8"/>
      </bottom>
      <diagonal/>
    </border>
    <border>
      <left style="thin">
        <color rgb="FF146C74"/>
      </left>
      <right style="thin">
        <color rgb="FF146C74"/>
      </right>
      <top style="thin">
        <color rgb="FFC9D1D8"/>
      </top>
      <bottom style="thin">
        <color rgb="FFC9D1D8"/>
      </bottom>
      <diagonal/>
    </border>
    <border>
      <left style="thin">
        <color rgb="FF146C74"/>
      </left>
      <right style="thin">
        <color rgb="FFC9D1D8"/>
      </right>
      <top style="thin">
        <color rgb="FFC9D1D8"/>
      </top>
      <bottom style="thin">
        <color rgb="FFC9D1D8"/>
      </bottom>
      <diagonal/>
    </border>
    <border>
      <left style="thin">
        <color theme="0"/>
      </left>
      <right style="thin">
        <color rgb="FFE9EDF2"/>
      </right>
      <top style="thin">
        <color rgb="FFC9D1D8"/>
      </top>
      <bottom style="thin">
        <color rgb="FFC9D1D8"/>
      </bottom>
      <diagonal/>
    </border>
  </borders>
  <cellStyleXfs count="1">
    <xf numFmtId="0" fontId="0" fillId="0" borderId="0"/>
  </cellStyleXfs>
  <cellXfs count="81">
    <xf numFmtId="0" fontId="0" fillId="0" borderId="0" xfId="0"/>
    <xf numFmtId="0" fontId="2" fillId="0" borderId="0" xfId="0" applyFont="1"/>
    <xf numFmtId="0" fontId="3" fillId="0" borderId="0" xfId="0" applyFont="1"/>
    <xf numFmtId="0" fontId="4" fillId="2" borderId="1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 wrapText="1"/>
    </xf>
    <xf numFmtId="0" fontId="5" fillId="4" borderId="1" xfId="0" applyFont="1" applyFill="1" applyBorder="1" applyAlignment="1">
      <alignment horizontal="left" vertical="center" wrapText="1"/>
    </xf>
    <xf numFmtId="0" fontId="5" fillId="4" borderId="1" xfId="0" applyFont="1" applyFill="1" applyBorder="1" applyAlignment="1">
      <alignment horizontal="center" vertical="center" wrapText="1"/>
    </xf>
    <xf numFmtId="0" fontId="7" fillId="0" borderId="0" xfId="0" applyFont="1"/>
    <xf numFmtId="0" fontId="10" fillId="0" borderId="0" xfId="0" applyFont="1"/>
    <xf numFmtId="0" fontId="5" fillId="4" borderId="5" xfId="0" applyFont="1" applyFill="1" applyBorder="1" applyAlignment="1">
      <alignment horizontal="left" vertical="center" wrapText="1"/>
    </xf>
    <xf numFmtId="0" fontId="14" fillId="7" borderId="5" xfId="0" applyFont="1" applyFill="1" applyBorder="1" applyAlignment="1">
      <alignment horizontal="left" vertical="center" wrapText="1"/>
    </xf>
    <xf numFmtId="0" fontId="14" fillId="8" borderId="1" xfId="0" applyFont="1" applyFill="1" applyBorder="1" applyAlignment="1">
      <alignment horizontal="left" vertical="center" wrapText="1"/>
    </xf>
    <xf numFmtId="0" fontId="14" fillId="8" borderId="1" xfId="0" applyFont="1" applyFill="1" applyBorder="1" applyAlignment="1">
      <alignment horizontal="center" vertical="center" wrapText="1"/>
    </xf>
    <xf numFmtId="0" fontId="14" fillId="9" borderId="1" xfId="0" applyFont="1" applyFill="1" applyBorder="1" applyAlignment="1">
      <alignment horizontal="center" vertical="center" wrapText="1"/>
    </xf>
    <xf numFmtId="0" fontId="14" fillId="7" borderId="1" xfId="0" applyFont="1" applyFill="1" applyBorder="1" applyAlignment="1">
      <alignment horizontal="center" vertical="center" wrapText="1"/>
    </xf>
    <xf numFmtId="0" fontId="14" fillId="8" borderId="1" xfId="0" applyFont="1" applyFill="1" applyBorder="1" applyAlignment="1">
      <alignment vertical="center" wrapText="1"/>
    </xf>
    <xf numFmtId="0" fontId="14" fillId="7" borderId="1" xfId="0" applyFont="1" applyFill="1" applyBorder="1" applyAlignment="1">
      <alignment vertical="center" wrapText="1"/>
    </xf>
    <xf numFmtId="0" fontId="0" fillId="0" borderId="0" xfId="0" applyAlignment="1">
      <alignment horizontal="center"/>
    </xf>
    <xf numFmtId="0" fontId="15" fillId="8" borderId="7" xfId="0" applyFont="1" applyFill="1" applyBorder="1" applyAlignment="1">
      <alignment horizontal="center"/>
    </xf>
    <xf numFmtId="0" fontId="15" fillId="7" borderId="7" xfId="0" applyFont="1" applyFill="1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8" xfId="0" applyBorder="1" applyAlignment="1">
      <alignment horizontal="center"/>
    </xf>
    <xf numFmtId="0" fontId="5" fillId="10" borderId="10" xfId="0" applyFont="1" applyFill="1" applyBorder="1" applyAlignment="1">
      <alignment horizontal="center" vertical="center" wrapText="1"/>
    </xf>
    <xf numFmtId="0" fontId="5" fillId="10" borderId="11" xfId="0" applyFont="1" applyFill="1" applyBorder="1" applyAlignment="1">
      <alignment horizontal="center" vertical="center" wrapText="1"/>
    </xf>
    <xf numFmtId="0" fontId="16" fillId="10" borderId="10" xfId="0" applyFont="1" applyFill="1" applyBorder="1" applyAlignment="1">
      <alignment horizontal="center" vertical="center" wrapText="1"/>
    </xf>
    <xf numFmtId="0" fontId="4" fillId="2" borderId="13" xfId="0" applyFont="1" applyFill="1" applyBorder="1" applyAlignment="1">
      <alignment horizontal="center" vertical="center" wrapText="1"/>
    </xf>
    <xf numFmtId="0" fontId="18" fillId="0" borderId="15" xfId="0" applyFont="1" applyBorder="1" applyAlignment="1">
      <alignment horizontal="center" vertical="center" wrapText="1"/>
    </xf>
    <xf numFmtId="0" fontId="18" fillId="0" borderId="16" xfId="0" applyFont="1" applyBorder="1" applyAlignment="1">
      <alignment horizontal="center" vertical="center" wrapText="1"/>
    </xf>
    <xf numFmtId="0" fontId="18" fillId="0" borderId="17" xfId="0" applyFont="1" applyBorder="1" applyAlignment="1">
      <alignment horizontal="center" vertical="center" wrapText="1"/>
    </xf>
    <xf numFmtId="0" fontId="19" fillId="4" borderId="5" xfId="0" applyFont="1" applyFill="1" applyBorder="1" applyAlignment="1">
      <alignment horizontal="left" vertical="center" wrapText="1"/>
    </xf>
    <xf numFmtId="0" fontId="19" fillId="4" borderId="1" xfId="0" applyFont="1" applyFill="1" applyBorder="1" applyAlignment="1">
      <alignment horizontal="center" vertical="center" wrapText="1"/>
    </xf>
    <xf numFmtId="0" fontId="20" fillId="4" borderId="1" xfId="0" applyFont="1" applyFill="1" applyBorder="1" applyAlignment="1">
      <alignment horizontal="center" vertical="center" wrapText="1"/>
    </xf>
    <xf numFmtId="0" fontId="21" fillId="7" borderId="1" xfId="0" applyFont="1" applyFill="1" applyBorder="1" applyAlignment="1">
      <alignment horizontal="left" vertical="center" wrapText="1"/>
    </xf>
    <xf numFmtId="14" fontId="14" fillId="8" borderId="1" xfId="0" applyNumberFormat="1" applyFont="1" applyFill="1" applyBorder="1" applyAlignment="1">
      <alignment horizontal="center" vertical="center" wrapText="1"/>
    </xf>
    <xf numFmtId="0" fontId="12" fillId="0" borderId="0" xfId="0" applyFont="1" applyAlignment="1">
      <alignment vertical="center"/>
    </xf>
    <xf numFmtId="0" fontId="0" fillId="0" borderId="0" xfId="0" applyAlignment="1">
      <alignment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left" vertical="center"/>
    </xf>
    <xf numFmtId="0" fontId="23" fillId="11" borderId="9" xfId="0" applyFont="1" applyFill="1" applyBorder="1" applyAlignment="1">
      <alignment horizontal="center" vertical="center" wrapText="1"/>
    </xf>
    <xf numFmtId="0" fontId="23" fillId="11" borderId="4" xfId="0" applyFont="1" applyFill="1" applyBorder="1" applyAlignment="1">
      <alignment horizontal="center" vertical="center" wrapText="1"/>
    </xf>
    <xf numFmtId="0" fontId="23" fillId="11" borderId="1" xfId="0" applyFont="1" applyFill="1" applyBorder="1" applyAlignment="1">
      <alignment horizontal="center" vertical="center" wrapText="1"/>
    </xf>
    <xf numFmtId="0" fontId="25" fillId="11" borderId="9" xfId="0" applyFont="1" applyFill="1" applyBorder="1" applyAlignment="1">
      <alignment horizontal="center" vertical="center" wrapText="1"/>
    </xf>
    <xf numFmtId="0" fontId="24" fillId="11" borderId="1" xfId="0" applyFont="1" applyFill="1" applyBorder="1" applyAlignment="1">
      <alignment horizontal="center" vertical="center" wrapText="1"/>
    </xf>
    <xf numFmtId="0" fontId="25" fillId="11" borderId="1" xfId="0" applyFont="1" applyFill="1" applyBorder="1" applyAlignment="1">
      <alignment horizontal="center" vertical="center" wrapText="1"/>
    </xf>
    <xf numFmtId="0" fontId="26" fillId="10" borderId="10" xfId="0" applyFont="1" applyFill="1" applyBorder="1" applyAlignment="1">
      <alignment horizontal="center" vertical="center" wrapText="1"/>
    </xf>
    <xf numFmtId="0" fontId="27" fillId="8" borderId="1" xfId="0" applyFont="1" applyFill="1" applyBorder="1" applyAlignment="1">
      <alignment vertical="center" wrapText="1"/>
    </xf>
    <xf numFmtId="0" fontId="27" fillId="8" borderId="1" xfId="0" applyFont="1" applyFill="1" applyBorder="1" applyAlignment="1">
      <alignment horizontal="left" vertical="center" wrapText="1"/>
    </xf>
    <xf numFmtId="0" fontId="27" fillId="8" borderId="1" xfId="0" applyFont="1" applyFill="1" applyBorder="1" applyAlignment="1">
      <alignment horizontal="center" vertical="center" wrapText="1"/>
    </xf>
    <xf numFmtId="0" fontId="27" fillId="9" borderId="1" xfId="0" applyFont="1" applyFill="1" applyBorder="1" applyAlignment="1">
      <alignment horizontal="center" vertical="center" wrapText="1"/>
    </xf>
    <xf numFmtId="0" fontId="28" fillId="3" borderId="1" xfId="0" applyFont="1" applyFill="1" applyBorder="1" applyAlignment="1">
      <alignment horizontal="center" vertical="center" wrapText="1"/>
    </xf>
    <xf numFmtId="0" fontId="22" fillId="11" borderId="12" xfId="0" applyFont="1" applyFill="1" applyBorder="1" applyAlignment="1">
      <alignment horizontal="center" vertical="center" wrapText="1"/>
    </xf>
    <xf numFmtId="0" fontId="22" fillId="11" borderId="13" xfId="0" applyFont="1" applyFill="1" applyBorder="1" applyAlignment="1">
      <alignment horizontal="center" vertical="center" wrapText="1"/>
    </xf>
    <xf numFmtId="0" fontId="22" fillId="11" borderId="18" xfId="0" applyFont="1" applyFill="1" applyBorder="1" applyAlignment="1">
      <alignment horizontal="center" vertical="center" wrapText="1"/>
    </xf>
    <xf numFmtId="0" fontId="9" fillId="6" borderId="9" xfId="0" applyFont="1" applyFill="1" applyBorder="1" applyAlignment="1">
      <alignment vertical="center"/>
    </xf>
    <xf numFmtId="0" fontId="9" fillId="6" borderId="3" xfId="0" applyFont="1" applyFill="1" applyBorder="1" applyAlignment="1">
      <alignment vertical="center"/>
    </xf>
    <xf numFmtId="0" fontId="9" fillId="6" borderId="4" xfId="0" applyFont="1" applyFill="1" applyBorder="1" applyAlignment="1">
      <alignment vertical="center"/>
    </xf>
    <xf numFmtId="0" fontId="6" fillId="5" borderId="9" xfId="0" applyFont="1" applyFill="1" applyBorder="1" applyAlignment="1">
      <alignment vertical="center"/>
    </xf>
    <xf numFmtId="0" fontId="6" fillId="5" borderId="3" xfId="0" applyFont="1" applyFill="1" applyBorder="1" applyAlignment="1">
      <alignment vertical="center"/>
    </xf>
    <xf numFmtId="0" fontId="6" fillId="5" borderId="4" xfId="0" applyFont="1" applyFill="1" applyBorder="1" applyAlignment="1">
      <alignment vertical="center"/>
    </xf>
    <xf numFmtId="0" fontId="8" fillId="2" borderId="9" xfId="0" applyFont="1" applyFill="1" applyBorder="1" applyAlignment="1">
      <alignment vertical="center"/>
    </xf>
    <xf numFmtId="0" fontId="8" fillId="2" borderId="3" xfId="0" applyFont="1" applyFill="1" applyBorder="1" applyAlignment="1">
      <alignment vertical="center"/>
    </xf>
    <xf numFmtId="0" fontId="8" fillId="2" borderId="4" xfId="0" applyFont="1" applyFill="1" applyBorder="1" applyAlignment="1">
      <alignment vertical="center"/>
    </xf>
    <xf numFmtId="0" fontId="13" fillId="2" borderId="5" xfId="0" applyFont="1" applyFill="1" applyBorder="1" applyAlignment="1">
      <alignment horizontal="center" vertical="center" wrapText="1"/>
    </xf>
    <xf numFmtId="0" fontId="4" fillId="2" borderId="5" xfId="0" applyFont="1" applyFill="1" applyBorder="1" applyAlignment="1">
      <alignment horizontal="center" vertical="center" wrapText="1"/>
    </xf>
    <xf numFmtId="0" fontId="17" fillId="3" borderId="9" xfId="0" applyFont="1" applyFill="1" applyBorder="1" applyAlignment="1">
      <alignment horizontal="center" vertical="center" wrapText="1"/>
    </xf>
    <xf numFmtId="0" fontId="17" fillId="3" borderId="3" xfId="0" applyFont="1" applyFill="1" applyBorder="1" applyAlignment="1">
      <alignment horizontal="center" vertical="center" wrapText="1"/>
    </xf>
    <xf numFmtId="0" fontId="17" fillId="3" borderId="4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 wrapText="1"/>
    </xf>
    <xf numFmtId="0" fontId="0" fillId="0" borderId="2" xfId="0" applyBorder="1"/>
    <xf numFmtId="0" fontId="11" fillId="2" borderId="1" xfId="0" applyFont="1" applyFill="1" applyBorder="1" applyAlignment="1">
      <alignment horizontal="center" vertical="center" wrapText="1"/>
    </xf>
    <xf numFmtId="0" fontId="4" fillId="2" borderId="12" xfId="0" applyFont="1" applyFill="1" applyBorder="1" applyAlignment="1">
      <alignment horizontal="center" vertical="center" wrapText="1"/>
    </xf>
    <xf numFmtId="0" fontId="4" fillId="2" borderId="13" xfId="0" applyFont="1" applyFill="1" applyBorder="1" applyAlignment="1">
      <alignment horizontal="center" vertical="center" wrapText="1"/>
    </xf>
    <xf numFmtId="0" fontId="4" fillId="2" borderId="14" xfId="0" applyFont="1" applyFill="1" applyBorder="1" applyAlignment="1">
      <alignment horizontal="center" vertical="center" wrapText="1"/>
    </xf>
    <xf numFmtId="0" fontId="30" fillId="12" borderId="0" xfId="0" applyFont="1" applyFill="1" applyAlignment="1">
      <alignment vertical="top"/>
    </xf>
    <xf numFmtId="0" fontId="31" fillId="13" borderId="0" xfId="0" applyFont="1" applyFill="1" applyAlignment="1">
      <alignment vertical="top"/>
    </xf>
    <xf numFmtId="0" fontId="29" fillId="14" borderId="0" xfId="0" applyFont="1" applyFill="1" applyAlignment="1">
      <alignment vertical="top"/>
    </xf>
    <xf numFmtId="0" fontId="0" fillId="0" borderId="0" xfId="0" applyAlignment="1">
      <alignment vertical="top"/>
    </xf>
    <xf numFmtId="0" fontId="0" fillId="0" borderId="0" xfId="0" applyAlignment="1">
      <alignment vertical="top" wrapText="1"/>
    </xf>
    <xf numFmtId="14" fontId="0" fillId="0" borderId="0" xfId="0" applyNumberFormat="1" applyAlignment="1">
      <alignment vertical="top"/>
    </xf>
    <xf numFmtId="0" fontId="1" fillId="0" borderId="6" xfId="0" applyFont="1" applyBorder="1" applyAlignment="1">
      <alignment horizontal="center"/>
    </xf>
    <xf numFmtId="0" fontId="0" fillId="0" borderId="8" xfId="0" applyBorder="1"/>
  </cellXfs>
  <cellStyles count="1">
    <cellStyle name="Normal" xfId="0" builtinId="0"/>
  </cellStyles>
  <dxfs count="9">
    <dxf>
      <font>
        <b/>
        <color rgb="FFA12626"/>
        <name val="Arial"/>
      </font>
      <fill>
        <patternFill>
          <bgColor rgb="FFFBE3E3"/>
        </patternFill>
      </fill>
    </dxf>
    <dxf>
      <font>
        <b/>
        <color rgb="FFA12626"/>
        <name val="Arial"/>
      </font>
      <fill>
        <patternFill>
          <bgColor rgb="FFFBE3E3"/>
        </patternFill>
      </fill>
    </dxf>
    <dxf>
      <font>
        <i/>
        <color rgb="FF9AA3AB"/>
        <name val="Arial"/>
      </font>
    </dxf>
    <dxf>
      <font>
        <b/>
        <color rgb="FFA12626"/>
        <name val="Arial"/>
      </font>
      <fill>
        <patternFill>
          <bgColor rgb="FFFBE3E3"/>
        </patternFill>
      </fill>
    </dxf>
    <dxf>
      <font>
        <b/>
        <color rgb="FFA12626"/>
        <name val="Arial"/>
      </font>
      <fill>
        <patternFill>
          <bgColor rgb="FFFBE3E3"/>
        </patternFill>
      </fill>
    </dxf>
    <dxf>
      <font>
        <i/>
        <color rgb="FF9AA3AB"/>
        <name val="Arial"/>
      </font>
    </dxf>
    <dxf>
      <font>
        <i/>
        <color rgb="FF7A828A"/>
        <name val="Arial"/>
      </font>
    </dxf>
    <dxf>
      <font>
        <i/>
        <color rgb="FF7A828A"/>
        <name val="Arial"/>
      </font>
    </dxf>
    <dxf>
      <font>
        <i/>
        <color rgb="FF7A828A"/>
        <name val="Arial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microsoft.com/office/2017/10/relationships/person" Target="persons/person.xml"/><Relationship Id="rId5" Type="http://schemas.openxmlformats.org/officeDocument/2006/relationships/worksheet" Target="worksheets/sheet5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ns1="http://schemas.openxmlformats.org/markup-compatibility/2006" xmlns:ns2="http://schemas.microsoft.com/office/spreadsheetml/2014/revision" xmlns:ns3="http://schemas.microsoft.com/office/spreadsheetml/2009/9/ac" ns1:Ignorable="x14ac xr xr2 xr3" ns2:uid="{00000000-0001-0000-0000-000000000000}">
  <sheetPr>
    <tabColor rgb="FF1F2A44"/>
  </sheetPr>
  <dimension ref="A1:H20"/>
  <sheetViews>
    <sheetView showGridLines="0" workbookViewId="0">
      <pane xSplit="2" ySplit="5" topLeftCell="C6" activePane="bottomRight" state="frozen"/>
      <selection pane="topRight"/>
      <selection pane="bottomLeft"/>
      <selection pane="bottomRight" activeCell="C6" sqref="C6"/>
    </sheetView>
  </sheetViews>
  <sheetFormatPr defaultRowHeight="14.6" ns3:dyDescent="0.4"/>
  <cols>
    <col min="1" max="1" width="27" customWidth="1"/>
    <col min="2" max="2" width="21.69140625" customWidth="1"/>
    <col min="3" max="8" width="15" customWidth="1"/>
  </cols>
  <sheetData>
    <row r="1" spans="1:8" ht="20.149999999999999" customHeight="1" ns3:dyDescent="0.5">
      <c r="A1" s="1" t="s">
        <v>0</v>
      </c>
    </row>
    <row r="4" spans="1:8" ht="22" customHeight="1" ns3:dyDescent="0.4">
      <c r="A4" s="62" t="s">
        <v>1</v>
      </c>
      <c r="B4" s="62" t="s">
        <v>2</v>
      </c>
      <c r="C4" s="63" t="s">
        <v>3</v>
      </c>
      <c r="D4" s="62" t="s">
        <v>4</v>
      </c>
      <c r="E4" s="62" t="str">
        <f>'Delivery Overview'!H4</f>
      </c>
      <c r="F4" s="62" t="s">
        <v>5</v>
      </c>
      <c r="G4" s="62" t="s">
        <v>6</v>
      </c>
      <c r="H4" s="62" t="str">
        <f>'Delivery Overview'!M4</f>
      </c>
    </row>
    <row r="5" spans="1:8" ns3:dyDescent="0.4">
      <c r="A5" s="62"/>
      <c r="B5" s="62"/>
      <c r="C5" s="62"/>
      <c r="D5" s="62"/>
      <c r="E5" s="62"/>
      <c r="F5" s="62"/>
      <c r="G5" s="62"/>
      <c r="H5" s="62"/>
    </row>
    <row r="6" spans="1:8" ht="24" customHeight="1" ns3:dyDescent="0.4">
      <c r="A6" s="9" t="str">
        <f>'Delivery Overview'!A6</f>
      </c>
      <c r="B6" s="29"/>
      <c r="C6" s="24"/>
      <c r="D6" s="24"/>
      <c r="E6" s="24"/>
      <c r="F6" s="24"/>
      <c r="G6" s="24"/>
      <c r="H6" s="24"/>
    </row>
    <row r="7" spans="1:8" ht="22.3" customHeight="1" ns3:dyDescent="0.4">
      <c r="A7" s="10" t="str">
        <f>IF('Delivery Overview'!A7="","",'Delivery Overview'!A7)</f>
      </c>
      <c r="B7" s="32" t="str">
        <f>IF('Delivery Overview'!C7="","",'Delivery Overview'!C7)</f>
      </c>
      <c r="C7" s="40" t="str">
        <f>IF(A7="","",IF(COUNTA('Delivery Overview'!D7:E7)=0,"● Not started",_xlfn.IFS(COUNTIF('Delivery Overview'!D7:E7,"● Blocked")&gt;0,"● Blocked",COUNTIF('Delivery Overview'!D7:E7,"● In Progress")&gt;0,"● In Progress",COUNTIF('Delivery Overview'!D7:E7,"● Not required")=2,"● Not required",COUNTIF('Delivery Overview'!D7:E7,"● Complete")+COUNTIF('Delivery Overview'!D7:E7,"● Not required")=2,"● Complete",COUNTIF('Delivery Overview'!D7:E7,"● Complete")+COUNTIF('Delivery Overview'!D7:E7,"● Not required")&gt;0,"● In Progress",TRUE,"● Not started")))</f>
      </c>
      <c r="D7" s="40" t="str">
        <f>IF(A7="","",IF(COUNTA('Delivery Overview'!F7:G7)=0,IF(OR(C7="● Complete",C7="● Not required"),"● Not started",""),_xlfn.IFS(COUNTIF('Delivery Overview'!F7:G7,"● Blocked")&gt;0,"● Blocked",COUNTIF('Delivery Overview'!F7:G7,"● In Progress")&gt;0,"● In Progress",COUNTIF('Delivery Overview'!F7:G7,"● Not required")=2,"● Not required",COUNTIF('Delivery Overview'!F7:G7,"● Complete")+COUNTIF('Delivery Overview'!F7:G7,"● Not required")=2,"● Complete",COUNTIF('Delivery Overview'!F7:G7,"● Complete")+COUNTIF('Delivery Overview'!F7:G7,"● Not required")&gt;0,"● In Progress",TRUE,"● Not started")))</f>
      </c>
      <c r="E7" s="40" t="str">
        <f>IF(A7="","",IF(COUNTA('Delivery Overview'!H7:H7)=0,IF(OR(D7="● Complete",D7="● Not required"),"● Not started",""),_xlfn.IFS(COUNTIF('Delivery Overview'!H7:H7,"● Blocked")&gt;0,"● Blocked",COUNTIF('Delivery Overview'!H7:H7,"● In Progress")&gt;0,"● In Progress",COUNTIF('Delivery Overview'!H7:H7,"● Not required")=1,"● Not required",COUNTIF('Delivery Overview'!H7:H7,"● Complete")+COUNTIF('Delivery Overview'!H7:H7,"● Not required")=1,"● Complete",COUNTIF('Delivery Overview'!H7:H7,"● Complete")+COUNTIF('Delivery Overview'!H7:H7,"● Not required")&gt;0,"● In Progress",TRUE,"● Not started")))</f>
      </c>
      <c r="F7" s="40" t="str">
        <f>IF(A7="","",IF(COUNTA('Delivery Overview'!I7:J7)=0,IF(OR(E7="● Complete",E7="● Not required"),"● Not started",""),_xlfn.IFS(COUNTIF('Delivery Overview'!I7:J7,"● Blocked")&gt;0,"● Blocked",COUNTIF('Delivery Overview'!I7:J7,"● In Progress")&gt;0,"● In Progress",COUNTIF('Delivery Overview'!I7:J7,"● Not required")=2,"● Not required",COUNTIF('Delivery Overview'!I7:J7,"● Complete")+COUNTIF('Delivery Overview'!I7:J7,"● Not required")=2,"● Complete",COUNTIF('Delivery Overview'!I7:J7,"● Complete")+COUNTIF('Delivery Overview'!I7:J7,"● Not required")&gt;0,"● In Progress",TRUE,"● Not started")))</f>
      </c>
      <c r="G7" s="40" t="str">
        <f>IF(A7="","",IF(COUNTA('Delivery Overview'!K7:L7)=0,IF(OR(F7="● Complete",F7="● Not required"),"● Not started",""),_xlfn.IFS(COUNTIF('Delivery Overview'!K7:L7,"● Blocked")&gt;0,"● Blocked",COUNTIF('Delivery Overview'!K7:L7,"● In Progress")&gt;0,"● In Progress",COUNTIF('Delivery Overview'!K7:L7,"● Not required")=2,"● Not required",COUNTIF('Delivery Overview'!K7:L7,"● Complete")+COUNTIF('Delivery Overview'!K7:L7,"● Not required")=2,"● Complete",COUNTIF('Delivery Overview'!K7:L7,"● Complete")+COUNTIF('Delivery Overview'!K7:L7,"● Not required")&gt;0,"● In Progress",TRUE,"● Not started")))</f>
      </c>
      <c r="H7" s="40" t="str">
        <f>IF(A7="","",IF(COUNTA('Delivery Overview'!M7:M7)=0,IF(OR(G7="● Complete",G7="● Not required"),"● Not started",""),_xlfn.IFS(COUNTIF('Delivery Overview'!M7:M7,"● Blocked")&gt;0,"● Blocked",COUNTIF('Delivery Overview'!M7:M7,"● In Progress")&gt;0,"● In Progress",COUNTIF('Delivery Overview'!M7:M7,"● Not required")=1,"● Not required",COUNTIF('Delivery Overview'!M7:M7,"● Complete")+COUNTIF('Delivery Overview'!M7:M7,"● Not required")=1,"● Complete",COUNTIF('Delivery Overview'!M7:M7,"● Complete")+COUNTIF('Delivery Overview'!M7:M7,"● Not required")&gt;0,"● In Progress",TRUE,"● Not started")))</f>
      </c>
    </row>
    <row r="8" spans="1:8" ht="22.3" customHeight="1" ns3:dyDescent="0.4">
      <c r="A8" s="10" t="str">
        <f>IF('Delivery Overview'!A8="","",'Delivery Overview'!A8)</f>
      </c>
      <c r="B8" s="32" t="str">
        <f>IF('Delivery Overview'!C8="","",'Delivery Overview'!C8)</f>
      </c>
      <c r="C8" s="42" t="str">
        <f>IF(A8="","",IF(COUNTA('Delivery Overview'!D8:E8)=0,"● Not started",_xlfn.IFS(COUNTIF('Delivery Overview'!D8:E8,"● Blocked")&gt;0,"● Blocked",COUNTIF('Delivery Overview'!D8:E8,"● In Progress")&gt;0,"● In Progress",COUNTIF('Delivery Overview'!D8:E8,"● Not required")=2,"● Not required",COUNTIF('Delivery Overview'!D8:E8,"● Complete")+COUNTIF('Delivery Overview'!D8:E8,"● Not required")=2,"● Complete",COUNTIF('Delivery Overview'!D8:E8,"● Complete")+COUNTIF('Delivery Overview'!D8:E8,"● Not required")&gt;0,"● In Progress",TRUE,"● Not started")))</f>
      </c>
      <c r="D8" s="43" t="str">
        <f>IF(A8="","",IF(COUNTA('Delivery Overview'!F8:G8)=0,IF(OR(C8="● Complete",C8="● Not required"),"● Not started",""),_xlfn.IFS(COUNTIF('Delivery Overview'!F8:G8,"● Blocked")&gt;0,"● Blocked",COUNTIF('Delivery Overview'!F8:G8,"● In Progress")&gt;0,"● In Progress",COUNTIF('Delivery Overview'!F8:G8,"● Not required")=2,"● Not required",COUNTIF('Delivery Overview'!F8:G8,"● Complete")+COUNTIF('Delivery Overview'!F8:G8,"● Not required")=2,"● Complete",COUNTIF('Delivery Overview'!F8:G8,"● Complete")+COUNTIF('Delivery Overview'!F8:G8,"● Not required")&gt;0,"● In Progress",TRUE,"● Not started")))</f>
      </c>
      <c r="E8" s="40" t="str">
        <f>IF(A8="","",IF(COUNTA('Delivery Overview'!H8:H8)=0,IF(OR(D8="● Complete",D8="● Not required"),"● Not started",""),_xlfn.IFS(COUNTIF('Delivery Overview'!H8:H8,"● Blocked")&gt;0,"● Blocked",COUNTIF('Delivery Overview'!H8:H8,"● In Progress")&gt;0,"● In Progress",COUNTIF('Delivery Overview'!H8:H8,"● Not required")=1,"● Not required",COUNTIF('Delivery Overview'!H8:H8,"● Complete")+COUNTIF('Delivery Overview'!H8:H8,"● Not required")=1,"● Complete",COUNTIF('Delivery Overview'!H8:H8,"● Complete")+COUNTIF('Delivery Overview'!H8:H8,"● Not required")&gt;0,"● In Progress",TRUE,"● Not started")))</f>
      </c>
      <c r="F8" s="40" t="str">
        <f>IF(A8="","",IF(COUNTA('Delivery Overview'!I8:J8)=0,IF(OR(E8="● Complete",E8="● Not required"),"● Not started",""),_xlfn.IFS(COUNTIF('Delivery Overview'!I8:J8,"● Blocked")&gt;0,"● Blocked",COUNTIF('Delivery Overview'!I8:J8,"● In Progress")&gt;0,"● In Progress",COUNTIF('Delivery Overview'!I8:J8,"● Not required")=2,"● Not required",COUNTIF('Delivery Overview'!I8:J8,"● Complete")+COUNTIF('Delivery Overview'!I8:J8,"● Not required")=2,"● Complete",COUNTIF('Delivery Overview'!I8:J8,"● Complete")+COUNTIF('Delivery Overview'!I8:J8,"● Not required")&gt;0,"● In Progress",TRUE,"● Not started")))</f>
      </c>
      <c r="G8" s="40" t="str">
        <f>IF(A8="","",IF(COUNTA('Delivery Overview'!K8:L8)=0,IF(OR(F8="● Complete",F8="● Not required"),"● Not started",""),_xlfn.IFS(COUNTIF('Delivery Overview'!K8:L8,"● Blocked")&gt;0,"● Blocked",COUNTIF('Delivery Overview'!K8:L8,"● In Progress")&gt;0,"● In Progress",COUNTIF('Delivery Overview'!K8:L8,"● Not required")=2,"● Not required",COUNTIF('Delivery Overview'!K8:L8,"● Complete")+COUNTIF('Delivery Overview'!K8:L8,"● Not required")=2,"● Complete",COUNTIF('Delivery Overview'!K8:L8,"● Complete")+COUNTIF('Delivery Overview'!K8:L8,"● Not required")&gt;0,"● In Progress",TRUE,"● Not started")))</f>
      </c>
      <c r="H8" s="40" t="str">
        <f>IF(A8="","",IF(COUNTA('Delivery Overview'!M8:M8)=0,IF(OR(G8="● Complete",G8="● Not required"),"● Not started",""),_xlfn.IFS(COUNTIF('Delivery Overview'!M8:M8,"● Blocked")&gt;0,"● Blocked",COUNTIF('Delivery Overview'!M8:M8,"● In Progress")&gt;0,"● In Progress",COUNTIF('Delivery Overview'!M8:M8,"● Not required")=1,"● Not required",COUNTIF('Delivery Overview'!M8:M8,"● Complete")+COUNTIF('Delivery Overview'!M8:M8,"● Not required")=1,"● Complete",COUNTIF('Delivery Overview'!M8:M8,"● Complete")+COUNTIF('Delivery Overview'!M8:M8,"● Not required")&gt;0,"● In Progress",TRUE,"● Not started")))</f>
      </c>
    </row>
    <row r="9" spans="1:8" ht="22.3" customHeight="1" ns3:dyDescent="0.4">
      <c r="A9" s="10" t="str">
        <f>IF('Delivery Overview'!A9="","",'Delivery Overview'!A9)</f>
      </c>
      <c r="B9" s="32" t="str">
        <f>IF('Delivery Overview'!C9="","",'Delivery Overview'!C9)</f>
      </c>
      <c r="C9" s="40" t="str">
        <f>IF(A9="","",IF(COUNTA('Delivery Overview'!D9:E9)=0,"● Not started",_xlfn.IFS(COUNTIF('Delivery Overview'!D9:E9,"● Blocked")&gt;0,"● Blocked",COUNTIF('Delivery Overview'!D9:E9,"● In Progress")&gt;0,"● In Progress",COUNTIF('Delivery Overview'!D9:E9,"● Not required")=2,"● Not required",COUNTIF('Delivery Overview'!D9:E9,"● Complete")+COUNTIF('Delivery Overview'!D9:E9,"● Not required")=2,"● Complete",COUNTIF('Delivery Overview'!D9:E9,"● Complete")+COUNTIF('Delivery Overview'!D9:E9,"● Not required")&gt;0,"● In Progress",TRUE,"● Not started")))</f>
      </c>
      <c r="D9" s="40" t="str">
        <f>IF(A9="","",IF(COUNTA('Delivery Overview'!F9:G9)=0,IF(OR(C9="● Complete",C9="● Not required"),"● Not started",""),_xlfn.IFS(COUNTIF('Delivery Overview'!F9:G9,"● Blocked")&gt;0,"● Blocked",COUNTIF('Delivery Overview'!F9:G9,"● In Progress")&gt;0,"● In Progress",COUNTIF('Delivery Overview'!F9:G9,"● Not required")=2,"● Not required",COUNTIF('Delivery Overview'!F9:G9,"● Complete")+COUNTIF('Delivery Overview'!F9:G9,"● Not required")=2,"● Complete",COUNTIF('Delivery Overview'!F9:G9,"● Complete")+COUNTIF('Delivery Overview'!F9:G9,"● Not required")&gt;0,"● In Progress",TRUE,"● Not started")))</f>
      </c>
      <c r="E9" s="40" t="str">
        <f>IF(A9="","",IF(COUNTA('Delivery Overview'!H9:H9)=0,IF(OR(D9="● Complete",D9="● Not required"),"● Not started",""),_xlfn.IFS(COUNTIF('Delivery Overview'!H9:H9,"● Blocked")&gt;0,"● Blocked",COUNTIF('Delivery Overview'!H9:H9,"● In Progress")&gt;0,"● In Progress",COUNTIF('Delivery Overview'!H9:H9,"● Not required")=1,"● Not required",COUNTIF('Delivery Overview'!H9:H9,"● Complete")+COUNTIF('Delivery Overview'!H9:H9,"● Not required")=1,"● Complete",COUNTIF('Delivery Overview'!H9:H9,"● Complete")+COUNTIF('Delivery Overview'!H9:H9,"● Not required")&gt;0,"● In Progress",TRUE,"● Not started")))</f>
      </c>
      <c r="F9" s="40" t="str">
        <f>IF(A9="","",IF(COUNTA('Delivery Overview'!I9:J9)=0,IF(OR(E9="● Complete",E9="● Not required"),"● Not started",""),_xlfn.IFS(COUNTIF('Delivery Overview'!I9:J9,"● Blocked")&gt;0,"● Blocked",COUNTIF('Delivery Overview'!I9:J9,"● In Progress")&gt;0,"● In Progress",COUNTIF('Delivery Overview'!I9:J9,"● Not required")=2,"● Not required",COUNTIF('Delivery Overview'!I9:J9,"● Complete")+COUNTIF('Delivery Overview'!I9:J9,"● Not required")=2,"● Complete",COUNTIF('Delivery Overview'!I9:J9,"● Complete")+COUNTIF('Delivery Overview'!I9:J9,"● Not required")&gt;0,"● In Progress",TRUE,"● Not started")))</f>
      </c>
      <c r="G9" s="40" t="str">
        <f>IF(A9="","",IF(COUNTA('Delivery Overview'!K9:L9)=0,IF(OR(F9="● Complete",F9="● Not required"),"● Not started",""),_xlfn.IFS(COUNTIF('Delivery Overview'!K9:L9,"● Blocked")&gt;0,"● Blocked",COUNTIF('Delivery Overview'!K9:L9,"● In Progress")&gt;0,"● In Progress",COUNTIF('Delivery Overview'!K9:L9,"● Not required")=2,"● Not required",COUNTIF('Delivery Overview'!K9:L9,"● Complete")+COUNTIF('Delivery Overview'!K9:L9,"● Not required")=2,"● Complete",COUNTIF('Delivery Overview'!K9:L9,"● Complete")+COUNTIF('Delivery Overview'!K9:L9,"● Not required")&gt;0,"● In Progress",TRUE,"● Not started")))</f>
      </c>
      <c r="H9" s="40" t="str">
        <f>IF(A9="","",IF(COUNTA('Delivery Overview'!M9:M9)=0,IF(OR(G9="● Complete",G9="● Not required"),"● Not started",""),_xlfn.IFS(COUNTIF('Delivery Overview'!M9:M9,"● Blocked")&gt;0,"● Blocked",COUNTIF('Delivery Overview'!M9:M9,"● In Progress")&gt;0,"● In Progress",COUNTIF('Delivery Overview'!M9:M9,"● Not required")=1,"● Not required",COUNTIF('Delivery Overview'!M9:M9,"● Complete")+COUNTIF('Delivery Overview'!M9:M9,"● Not required")=1,"● Complete",COUNTIF('Delivery Overview'!M9:M9,"● Complete")+COUNTIF('Delivery Overview'!M9:M9,"● Not required")&gt;0,"● In Progress",TRUE,"● Not started")))</f>
      </c>
    </row>
    <row r="10" spans="1:8" ht="22.3" customHeight="1" ns3:dyDescent="0.4">
      <c r="A10" s="10" t="str">
        <f>IF('Delivery Overview'!A10="","",'Delivery Overview'!A10)</f>
      </c>
      <c r="B10" s="32" t="str">
        <f>IF('Delivery Overview'!C10="","",'Delivery Overview'!C10)</f>
      </c>
      <c r="C10" s="40" t="str">
        <f>IF(A10="","",IF(COUNTA('Delivery Overview'!D10:E10)=0,"● Not started",_xlfn.IFS(COUNTIF('Delivery Overview'!D10:E10,"● Blocked")&gt;0,"● Blocked",COUNTIF('Delivery Overview'!D10:E10,"● In Progress")&gt;0,"● In Progress",COUNTIF('Delivery Overview'!D10:E10,"● Not required")=2,"● Not required",COUNTIF('Delivery Overview'!D10:E10,"● Complete")+COUNTIF('Delivery Overview'!D10:E10,"● Not required")=2,"● Complete",COUNTIF('Delivery Overview'!D10:E10,"● Complete")+COUNTIF('Delivery Overview'!D10:E10,"● Not required")&gt;0,"● In Progress",TRUE,"● Not started")))</f>
      </c>
      <c r="D10" s="40" t="str">
        <f>IF(A10="","",IF(COUNTA('Delivery Overview'!F10:G10)=0,IF(OR(C10="● Complete",C10="● Not required"),"● Not started",""),_xlfn.IFS(COUNTIF('Delivery Overview'!F10:G10,"● Blocked")&gt;0,"● Blocked",COUNTIF('Delivery Overview'!F10:G10,"● In Progress")&gt;0,"● In Progress",COUNTIF('Delivery Overview'!F10:G10,"● Not required")=2,"● Not required",COUNTIF('Delivery Overview'!F10:G10,"● Complete")+COUNTIF('Delivery Overview'!F10:G10,"● Not required")=2,"● Complete",COUNTIF('Delivery Overview'!F10:G10,"● Complete")+COUNTIF('Delivery Overview'!F10:G10,"● Not required")&gt;0,"● In Progress",TRUE,"● Not started")))</f>
      </c>
      <c r="E10" s="40" t="str">
        <f>IF(A10="","",IF(COUNTA('Delivery Overview'!H10:H10)=0,IF(OR(D10="● Complete",D10="● Not required"),"● Not started",""),_xlfn.IFS(COUNTIF('Delivery Overview'!H10:H10,"● Blocked")&gt;0,"● Blocked",COUNTIF('Delivery Overview'!H10:H10,"● In Progress")&gt;0,"● In Progress",COUNTIF('Delivery Overview'!H10:H10,"● Not required")=1,"● Not required",COUNTIF('Delivery Overview'!H10:H10,"● Complete")+COUNTIF('Delivery Overview'!H10:H10,"● Not required")=1,"● Complete",COUNTIF('Delivery Overview'!H10:H10,"● Complete")+COUNTIF('Delivery Overview'!H10:H10,"● Not required")&gt;0,"● In Progress",TRUE,"● Not started")))</f>
      </c>
      <c r="F10" s="40" t="str">
        <f>IF(A10="","",IF(COUNTA('Delivery Overview'!I10:J10)=0,IF(OR(E10="● Complete",E10="● Not required"),"● Not started",""),_xlfn.IFS(COUNTIF('Delivery Overview'!I10:J10,"● Blocked")&gt;0,"● Blocked",COUNTIF('Delivery Overview'!I10:J10,"● In Progress")&gt;0,"● In Progress",COUNTIF('Delivery Overview'!I10:J10,"● Not required")=2,"● Not required",COUNTIF('Delivery Overview'!I10:J10,"● Complete")+COUNTIF('Delivery Overview'!I10:J10,"● Not required")=2,"● Complete",COUNTIF('Delivery Overview'!I10:J10,"● Complete")+COUNTIF('Delivery Overview'!I10:J10,"● Not required")&gt;0,"● In Progress",TRUE,"● Not started")))</f>
      </c>
      <c r="G10" s="40" t="str">
        <f>IF(A10="","",IF(COUNTA('Delivery Overview'!K10:L10)=0,IF(OR(F10="● Complete",F10="● Not required"),"● Not started",""),_xlfn.IFS(COUNTIF('Delivery Overview'!K10:L10,"● Blocked")&gt;0,"● Blocked",COUNTIF('Delivery Overview'!K10:L10,"● In Progress")&gt;0,"● In Progress",COUNTIF('Delivery Overview'!K10:L10,"● Not required")=2,"● Not required",COUNTIF('Delivery Overview'!K10:L10,"● Complete")+COUNTIF('Delivery Overview'!K10:L10,"● Not required")=2,"● Complete",COUNTIF('Delivery Overview'!K10:L10,"● Complete")+COUNTIF('Delivery Overview'!K10:L10,"● Not required")&gt;0,"● In Progress",TRUE,"● Not started")))</f>
      </c>
      <c r="H10" s="40" t="str">
        <f>IF(A10="","",IF(COUNTA('Delivery Overview'!M10:M10)=0,IF(OR(G10="● Complete",G10="● Not required"),"● Not started",""),_xlfn.IFS(COUNTIF('Delivery Overview'!M10:M10,"● Blocked")&gt;0,"● Blocked",COUNTIF('Delivery Overview'!M10:M10,"● In Progress")&gt;0,"● In Progress",COUNTIF('Delivery Overview'!M10:M10,"● Not required")=1,"● Not required",COUNTIF('Delivery Overview'!M10:M10,"● Complete")+COUNTIF('Delivery Overview'!M10:M10,"● Not required")=1,"● Complete",COUNTIF('Delivery Overview'!M10:M10,"● Complete")+COUNTIF('Delivery Overview'!M10:M10,"● Not required")&gt;0,"● In Progress",TRUE,"● Not started")))</f>
      </c>
    </row>
    <row r="11" spans="1:8" ht="22.3" customHeight="1" ns3:dyDescent="0.4">
      <c r="A11" s="10" t="str">
        <f>IF('Delivery Overview'!A11="","",'Delivery Overview'!A11)</f>
      </c>
      <c r="B11" s="32" t="str">
        <f>IF('Delivery Overview'!C11="","",'Delivery Overview'!C11)</f>
      </c>
      <c r="C11" s="40" t="str">
        <f>IF(A11="","",IF(COUNTA('Delivery Overview'!D11:E11)=0,"● Not started",_xlfn.IFS(COUNTIF('Delivery Overview'!D11:E11,"● Blocked")&gt;0,"● Blocked",COUNTIF('Delivery Overview'!D11:E11,"● In Progress")&gt;0,"● In Progress",COUNTIF('Delivery Overview'!D11:E11,"● Not required")=2,"● Not required",COUNTIF('Delivery Overview'!D11:E11,"● Complete")+COUNTIF('Delivery Overview'!D11:E11,"● Not required")=2,"● Complete",COUNTIF('Delivery Overview'!D11:E11,"● Complete")+COUNTIF('Delivery Overview'!D11:E11,"● Not required")&gt;0,"● In Progress",TRUE,"● Not started")))</f>
      </c>
      <c r="D11" s="40" t="str">
        <f>IF(A11="","",IF(COUNTA('Delivery Overview'!F11:G11)=0,IF(OR(C11="● Complete",C11="● Not required"),"● Not started",""),_xlfn.IFS(COUNTIF('Delivery Overview'!F11:G11,"● Blocked")&gt;0,"● Blocked",COUNTIF('Delivery Overview'!F11:G11,"● In Progress")&gt;0,"● In Progress",COUNTIF('Delivery Overview'!F11:G11,"● Not required")=2,"● Not required",COUNTIF('Delivery Overview'!F11:G11,"● Complete")+COUNTIF('Delivery Overview'!F11:G11,"● Not required")=2,"● Complete",COUNTIF('Delivery Overview'!F11:G11,"● Complete")+COUNTIF('Delivery Overview'!F11:G11,"● Not required")&gt;0,"● In Progress",TRUE,"● Not started")))</f>
      </c>
      <c r="E11" s="40" t="str">
        <f>IF(A11="","",IF(COUNTA('Delivery Overview'!H11:H11)=0,IF(OR(D11="● Complete",D11="● Not required"),"● Not started",""),_xlfn.IFS(COUNTIF('Delivery Overview'!H11:H11,"● Blocked")&gt;0,"● Blocked",COUNTIF('Delivery Overview'!H11:H11,"● In Progress")&gt;0,"● In Progress",COUNTIF('Delivery Overview'!H11:H11,"● Not required")=1,"● Not required",COUNTIF('Delivery Overview'!H11:H11,"● Complete")+COUNTIF('Delivery Overview'!H11:H11,"● Not required")=1,"● Complete",COUNTIF('Delivery Overview'!H11:H11,"● Complete")+COUNTIF('Delivery Overview'!H11:H11,"● Not required")&gt;0,"● In Progress",TRUE,"● Not started")))</f>
      </c>
      <c r="F11" s="40" t="str">
        <f>IF(A11="","",IF(COUNTA('Delivery Overview'!I11:J11)=0,IF(OR(E11="● Complete",E11="● Not required"),"● Not started",""),_xlfn.IFS(COUNTIF('Delivery Overview'!I11:J11,"● Blocked")&gt;0,"● Blocked",COUNTIF('Delivery Overview'!I11:J11,"● In Progress")&gt;0,"● In Progress",COUNTIF('Delivery Overview'!I11:J11,"● Not required")=2,"● Not required",COUNTIF('Delivery Overview'!I11:J11,"● Complete")+COUNTIF('Delivery Overview'!I11:J11,"● Not required")=2,"● Complete",COUNTIF('Delivery Overview'!I11:J11,"● Complete")+COUNTIF('Delivery Overview'!I11:J11,"● Not required")&gt;0,"● In Progress",TRUE,"● Not started")))</f>
      </c>
      <c r="G11" s="40" t="str">
        <f>IF(A11="","",IF(COUNTA('Delivery Overview'!K11:L11)=0,IF(OR(F11="● Complete",F11="● Not required"),"● Not started",""),_xlfn.IFS(COUNTIF('Delivery Overview'!K11:L11,"● Blocked")&gt;0,"● Blocked",COUNTIF('Delivery Overview'!K11:L11,"● In Progress")&gt;0,"● In Progress",COUNTIF('Delivery Overview'!K11:L11,"● Not required")=2,"● Not required",COUNTIF('Delivery Overview'!K11:L11,"● Complete")+COUNTIF('Delivery Overview'!K11:L11,"● Not required")=2,"● Complete",COUNTIF('Delivery Overview'!K11:L11,"● Complete")+COUNTIF('Delivery Overview'!K11:L11,"● Not required")&gt;0,"● In Progress",TRUE,"● Not started")))</f>
      </c>
      <c r="H11" s="40" t="str">
        <f>IF(A11="","",IF(COUNTA('Delivery Overview'!M11:M11)=0,IF(OR(G11="● Complete",G11="● Not required"),"● Not started",""),_xlfn.IFS(COUNTIF('Delivery Overview'!M11:M11,"● Blocked")&gt;0,"● Blocked",COUNTIF('Delivery Overview'!M11:M11,"● In Progress")&gt;0,"● In Progress",COUNTIF('Delivery Overview'!M11:M11,"● Not required")=1,"● Not required",COUNTIF('Delivery Overview'!M11:M11,"● Complete")+COUNTIF('Delivery Overview'!M11:M11,"● Not required")=1,"● Complete",COUNTIF('Delivery Overview'!M11:M11,"● Complete")+COUNTIF('Delivery Overview'!M11:M11,"● Not required")&gt;0,"● In Progress",TRUE,"● Not started")))</f>
      </c>
    </row>
    <row r="12" spans="1:8" ht="24" customHeight="1" ns3:dyDescent="0.4">
      <c r="A12" s="9" t="str">
        <f>'Delivery Overview'!A12</f>
      </c>
      <c r="B12" s="29"/>
      <c r="C12" s="44"/>
      <c r="D12" s="44"/>
      <c r="E12" s="44"/>
      <c r="F12" s="44"/>
      <c r="G12" s="44"/>
      <c r="H12" s="44"/>
    </row>
    <row r="13" spans="1:8" ht="22.3" customHeight="1" ns3:dyDescent="0.4">
      <c r="A13" s="10" t="str">
        <f>IF('Delivery Overview'!A13="","",'Delivery Overview'!A13)</f>
      </c>
      <c r="B13" s="32" t="str">
        <f>IF('Delivery Overview'!C13="","",'Delivery Overview'!C13)</f>
      </c>
      <c r="C13" s="40" t="str">
        <f>IF(A13="","",IF(COUNTA('Delivery Overview'!D13:E13)=0,"● Not started",_xlfn.IFS(COUNTIF('Delivery Overview'!D13:E13,"● Blocked")&gt;0,"● Blocked",COUNTIF('Delivery Overview'!D13:E13,"● In Progress")&gt;0,"● In Progress",COUNTIF('Delivery Overview'!D13:E13,"● Not required")=2,"● Not required",COUNTIF('Delivery Overview'!D13:E13,"● Complete")+COUNTIF('Delivery Overview'!D13:E13,"● Not required")=2,"● Complete",COUNTIF('Delivery Overview'!D13:E13,"● Complete")+COUNTIF('Delivery Overview'!D13:E13,"● Not required")&gt;0,"● In Progress",TRUE,"● Not started")))</f>
      </c>
      <c r="D13" s="40" t="str">
        <f>IF(A13="","",IF(COUNTA('Delivery Overview'!F13:G13)=0,IF(OR(C13="● Complete",C13="● Not required"),"● Not started",""),_xlfn.IFS(COUNTIF('Delivery Overview'!F13:G13,"● Blocked")&gt;0,"● Blocked",COUNTIF('Delivery Overview'!F13:G13,"● In Progress")&gt;0,"● In Progress",COUNTIF('Delivery Overview'!F13:G13,"● Not required")=2,"● Not required",COUNTIF('Delivery Overview'!F13:G13,"● Complete")+COUNTIF('Delivery Overview'!F13:G13,"● Not required")=2,"● Complete",COUNTIF('Delivery Overview'!F13:G13,"● Complete")+COUNTIF('Delivery Overview'!F13:G13,"● Not required")&gt;0,"● In Progress",TRUE,"● Not started")))</f>
      </c>
      <c r="E13" s="40" t="str">
        <f>IF(A13="","",IF(COUNTA('Delivery Overview'!H13:H13)=0,IF(OR(D13="● Complete",D13="● Not required"),"● Not started",""),_xlfn.IFS(COUNTIF('Delivery Overview'!H13:H13,"● Blocked")&gt;0,"● Blocked",COUNTIF('Delivery Overview'!H13:H13,"● In Progress")&gt;0,"● In Progress",COUNTIF('Delivery Overview'!H13:H13,"● Not required")=1,"● Not required",COUNTIF('Delivery Overview'!H13:H13,"● Complete")+COUNTIF('Delivery Overview'!H13:H13,"● Not required")=1,"● Complete",COUNTIF('Delivery Overview'!H13:H13,"● Complete")+COUNTIF('Delivery Overview'!H13:H13,"● Not required")&gt;0,"● In Progress",TRUE,"● Not started")))</f>
      </c>
      <c r="F13" s="40" t="str">
        <f>IF(A13="","",IF(COUNTA('Delivery Overview'!I13:J13)=0,IF(OR(E13="● Complete",E13="● Not required"),"● Not started",""),_xlfn.IFS(COUNTIF('Delivery Overview'!I13:J13,"● Blocked")&gt;0,"● Blocked",COUNTIF('Delivery Overview'!I13:J13,"● In Progress")&gt;0,"● In Progress",COUNTIF('Delivery Overview'!I13:J13,"● Not required")=2,"● Not required",COUNTIF('Delivery Overview'!I13:J13,"● Complete")+COUNTIF('Delivery Overview'!I13:J13,"● Not required")=2,"● Complete",COUNTIF('Delivery Overview'!I13:J13,"● Complete")+COUNTIF('Delivery Overview'!I13:J13,"● Not required")&gt;0,"● In Progress",TRUE,"● Not started")))</f>
      </c>
      <c r="G13" s="40" t="str">
        <f>IF(A13="","",IF(COUNTA('Delivery Overview'!K13:L13)=0,IF(OR(F13="● Complete",F13="● Not required"),"● Not started",""),_xlfn.IFS(COUNTIF('Delivery Overview'!K13:L13,"● Blocked")&gt;0,"● Blocked",COUNTIF('Delivery Overview'!K13:L13,"● In Progress")&gt;0,"● In Progress",COUNTIF('Delivery Overview'!K13:L13,"● Not required")=2,"● Not required",COUNTIF('Delivery Overview'!K13:L13,"● Complete")+COUNTIF('Delivery Overview'!K13:L13,"● Not required")=2,"● Complete",COUNTIF('Delivery Overview'!K13:L13,"● Complete")+COUNTIF('Delivery Overview'!K13:L13,"● Not required")&gt;0,"● In Progress",TRUE,"● Not started")))</f>
      </c>
      <c r="H13" s="40" t="str">
        <f>IF(A13="","",IF(COUNTA('Delivery Overview'!M13:M13)=0,IF(OR(G13="● Complete",G13="● Not required"),"● Not started",""),_xlfn.IFS(COUNTIF('Delivery Overview'!M13:M13,"● Blocked")&gt;0,"● Blocked",COUNTIF('Delivery Overview'!M13:M13,"● In Progress")&gt;0,"● In Progress",COUNTIF('Delivery Overview'!M13:M13,"● Not required")=1,"● Not required",COUNTIF('Delivery Overview'!M13:M13,"● Complete")+COUNTIF('Delivery Overview'!M13:M13,"● Not required")=1,"● Complete",COUNTIF('Delivery Overview'!M13:M13,"● Complete")+COUNTIF('Delivery Overview'!M13:M13,"● Not required")&gt;0,"● In Progress",TRUE,"● Not started")))</f>
      </c>
    </row>
    <row r="14" spans="1:8" ht="22.3" customHeight="1" ns3:dyDescent="0.4">
      <c r="A14" s="10" t="str">
        <f>IF('Delivery Overview'!A14="","",'Delivery Overview'!A14)</f>
      </c>
      <c r="B14" s="32" t="str">
        <f>IF('Delivery Overview'!C14="","",'Delivery Overview'!C14)</f>
      </c>
      <c r="C14" s="40" t="str">
        <f>IF(A14="","",IF(COUNTA('Delivery Overview'!D14:E14)=0,"● Not started",_xlfn.IFS(COUNTIF('Delivery Overview'!D14:E14,"● Blocked")&gt;0,"● Blocked",COUNTIF('Delivery Overview'!D14:E14,"● In Progress")&gt;0,"● In Progress",COUNTIF('Delivery Overview'!D14:E14,"● Not required")=2,"● Not required",COUNTIF('Delivery Overview'!D14:E14,"● Complete")+COUNTIF('Delivery Overview'!D14:E14,"● Not required")=2,"● Complete",COUNTIF('Delivery Overview'!D14:E14,"● Complete")+COUNTIF('Delivery Overview'!D14:E14,"● Not required")&gt;0,"● In Progress",TRUE,"● Not started")))</f>
      </c>
      <c r="D14" s="40" t="str">
        <f>IF(A14="","",IF(COUNTA('Delivery Overview'!F14:G14)=0,IF(OR(C14="● Complete",C14="● Not required"),"● Not started",""),_xlfn.IFS(COUNTIF('Delivery Overview'!F14:G14,"● Blocked")&gt;0,"● Blocked",COUNTIF('Delivery Overview'!F14:G14,"● In Progress")&gt;0,"● In Progress",COUNTIF('Delivery Overview'!F14:G14,"● Not required")=2,"● Not required",COUNTIF('Delivery Overview'!F14:G14,"● Complete")+COUNTIF('Delivery Overview'!F14:G14,"● Not required")=2,"● Complete",COUNTIF('Delivery Overview'!F14:G14,"● Complete")+COUNTIF('Delivery Overview'!F14:G14,"● Not required")&gt;0,"● In Progress",TRUE,"● Not started")))</f>
      </c>
      <c r="E14" s="40" t="str">
        <f>IF(A14="","",IF(COUNTA('Delivery Overview'!H14:H14)=0,IF(OR(D14="● Complete",D14="● Not required"),"● Not started",""),_xlfn.IFS(COUNTIF('Delivery Overview'!H14:H14,"● Blocked")&gt;0,"● Blocked",COUNTIF('Delivery Overview'!H14:H14,"● In Progress")&gt;0,"● In Progress",COUNTIF('Delivery Overview'!H14:H14,"● Not required")=1,"● Not required",COUNTIF('Delivery Overview'!H14:H14,"● Complete")+COUNTIF('Delivery Overview'!H14:H14,"● Not required")=1,"● Complete",COUNTIF('Delivery Overview'!H14:H14,"● Complete")+COUNTIF('Delivery Overview'!H14:H14,"● Not required")&gt;0,"● In Progress",TRUE,"● Not started")))</f>
      </c>
      <c r="F14" s="40" t="str">
        <f>IF(A14="","",IF(COUNTA('Delivery Overview'!I14:J14)=0,IF(OR(E14="● Complete",E14="● Not required"),"● Not started",""),_xlfn.IFS(COUNTIF('Delivery Overview'!I14:J14,"● Blocked")&gt;0,"● Blocked",COUNTIF('Delivery Overview'!I14:J14,"● In Progress")&gt;0,"● In Progress",COUNTIF('Delivery Overview'!I14:J14,"● Not required")=2,"● Not required",COUNTIF('Delivery Overview'!I14:J14,"● Complete")+COUNTIF('Delivery Overview'!I14:J14,"● Not required")=2,"● Complete",COUNTIF('Delivery Overview'!I14:J14,"● Complete")+COUNTIF('Delivery Overview'!I14:J14,"● Not required")&gt;0,"● In Progress",TRUE,"● Not started")))</f>
      </c>
      <c r="G14" s="40" t="str">
        <f>IF(A14="","",IF(COUNTA('Delivery Overview'!K14:L14)=0,IF(OR(F14="● Complete",F14="● Not required"),"● Not started",""),_xlfn.IFS(COUNTIF('Delivery Overview'!K14:L14,"● Blocked")&gt;0,"● Blocked",COUNTIF('Delivery Overview'!K14:L14,"● In Progress")&gt;0,"● In Progress",COUNTIF('Delivery Overview'!K14:L14,"● Not required")=2,"● Not required",COUNTIF('Delivery Overview'!K14:L14,"● Complete")+COUNTIF('Delivery Overview'!K14:L14,"● Not required")=2,"● Complete",COUNTIF('Delivery Overview'!K14:L14,"● Complete")+COUNTIF('Delivery Overview'!K14:L14,"● Not required")&gt;0,"● In Progress",TRUE,"● Not started")))</f>
      </c>
      <c r="H14" s="40" t="str">
        <f>IF(A14="","",IF(COUNTA('Delivery Overview'!M14:M14)=0,IF(OR(G14="● Complete",G14="● Not required"),"● Not started",""),_xlfn.IFS(COUNTIF('Delivery Overview'!M14:M14,"● Blocked")&gt;0,"● Blocked",COUNTIF('Delivery Overview'!M14:M14,"● In Progress")&gt;0,"● In Progress",COUNTIF('Delivery Overview'!M14:M14,"● Not required")=1,"● Not required",COUNTIF('Delivery Overview'!M14:M14,"● Complete")+COUNTIF('Delivery Overview'!M14:M14,"● Not required")=1,"● Complete",COUNTIF('Delivery Overview'!M14:M14,"● Complete")+COUNTIF('Delivery Overview'!M14:M14,"● Not required")&gt;0,"● In Progress",TRUE,"● Not started")))</f>
      </c>
    </row>
    <row r="15" spans="1:8" ht="22.3" customHeight="1" ns3:dyDescent="0.4">
      <c r="A15" s="10" t="str">
        <f>IF('Delivery Overview'!A15="","",'Delivery Overview'!A15)</f>
      </c>
      <c r="B15" s="32" t="str">
        <f>IF('Delivery Overview'!C15="","",'Delivery Overview'!C15)</f>
      </c>
      <c r="C15" s="40" t="str">
        <f>IF(A15="","",IF(COUNTA('Delivery Overview'!D15:E15)=0,"● Not started",_xlfn.IFS(COUNTIF('Delivery Overview'!D15:E15,"● Blocked")&gt;0,"● Blocked",COUNTIF('Delivery Overview'!D15:E15,"● In Progress")&gt;0,"● In Progress",COUNTIF('Delivery Overview'!D15:E15,"● Not required")=2,"● Not required",COUNTIF('Delivery Overview'!D15:E15,"● Complete")+COUNTIF('Delivery Overview'!D15:E15,"● Not required")=2,"● Complete",COUNTIF('Delivery Overview'!D15:E15,"● Complete")+COUNTIF('Delivery Overview'!D15:E15,"● Not required")&gt;0,"● In Progress",TRUE,"● Not started")))</f>
      </c>
      <c r="D15" s="40" t="str">
        <f>IF(A15="","",IF(COUNTA('Delivery Overview'!F15:G15)=0,IF(OR(C15="● Complete",C15="● Not required"),"● Not started",""),_xlfn.IFS(COUNTIF('Delivery Overview'!F15:G15,"● Blocked")&gt;0,"● Blocked",COUNTIF('Delivery Overview'!F15:G15,"● In Progress")&gt;0,"● In Progress",COUNTIF('Delivery Overview'!F15:G15,"● Not required")=2,"● Not required",COUNTIF('Delivery Overview'!F15:G15,"● Complete")+COUNTIF('Delivery Overview'!F15:G15,"● Not required")=2,"● Complete",COUNTIF('Delivery Overview'!F15:G15,"● Complete")+COUNTIF('Delivery Overview'!F15:G15,"● Not required")&gt;0,"● In Progress",TRUE,"● Not started")))</f>
      </c>
      <c r="E15" s="40" t="str">
        <f>IF(A15="","",IF(COUNTA('Delivery Overview'!H15:H15)=0,IF(OR(D15="● Complete",D15="● Not required"),"● Not started",""),_xlfn.IFS(COUNTIF('Delivery Overview'!H15:H15,"● Blocked")&gt;0,"● Blocked",COUNTIF('Delivery Overview'!H15:H15,"● In Progress")&gt;0,"● In Progress",COUNTIF('Delivery Overview'!H15:H15,"● Not required")=1,"● Not required",COUNTIF('Delivery Overview'!H15:H15,"● Complete")+COUNTIF('Delivery Overview'!H15:H15,"● Not required")=1,"● Complete",COUNTIF('Delivery Overview'!H15:H15,"● Complete")+COUNTIF('Delivery Overview'!H15:H15,"● Not required")&gt;0,"● In Progress",TRUE,"● Not started")))</f>
      </c>
      <c r="F15" s="40" t="str">
        <f>IF(A15="","",IF(COUNTA('Delivery Overview'!I15:J15)=0,IF(OR(E15="● Complete",E15="● Not required"),"● Not started",""),_xlfn.IFS(COUNTIF('Delivery Overview'!I15:J15,"● Blocked")&gt;0,"● Blocked",COUNTIF('Delivery Overview'!I15:J15,"● In Progress")&gt;0,"● In Progress",COUNTIF('Delivery Overview'!I15:J15,"● Not required")=2,"● Not required",COUNTIF('Delivery Overview'!I15:J15,"● Complete")+COUNTIF('Delivery Overview'!I15:J15,"● Not required")=2,"● Complete",COUNTIF('Delivery Overview'!I15:J15,"● Complete")+COUNTIF('Delivery Overview'!I15:J15,"● Not required")&gt;0,"● In Progress",TRUE,"● Not started")))</f>
      </c>
      <c r="G15" s="40" t="str">
        <f>IF(A15="","",IF(COUNTA('Delivery Overview'!K15:L15)=0,IF(OR(F15="● Complete",F15="● Not required"),"● Not started",""),_xlfn.IFS(COUNTIF('Delivery Overview'!K15:L15,"● Blocked")&gt;0,"● Blocked",COUNTIF('Delivery Overview'!K15:L15,"● In Progress")&gt;0,"● In Progress",COUNTIF('Delivery Overview'!K15:L15,"● Not required")=2,"● Not required",COUNTIF('Delivery Overview'!K15:L15,"● Complete")+COUNTIF('Delivery Overview'!K15:L15,"● Not required")=2,"● Complete",COUNTIF('Delivery Overview'!K15:L15,"● Complete")+COUNTIF('Delivery Overview'!K15:L15,"● Not required")&gt;0,"● In Progress",TRUE,"● Not started")))</f>
      </c>
      <c r="H15" s="40" t="str">
        <f>IF(A15="","",IF(COUNTA('Delivery Overview'!M15:M15)=0,IF(OR(G15="● Complete",G15="● Not required"),"● Not started",""),_xlfn.IFS(COUNTIF('Delivery Overview'!M15:M15,"● Blocked")&gt;0,"● Blocked",COUNTIF('Delivery Overview'!M15:M15,"● In Progress")&gt;0,"● In Progress",COUNTIF('Delivery Overview'!M15:M15,"● Not required")=1,"● Not required",COUNTIF('Delivery Overview'!M15:M15,"● Complete")+COUNTIF('Delivery Overview'!M15:M15,"● Not required")=1,"● Complete",COUNTIF('Delivery Overview'!M15:M15,"● Complete")+COUNTIF('Delivery Overview'!M15:M15,"● Not required")&gt;0,"● In Progress",TRUE,"● Not started")))</f>
      </c>
    </row>
    <row r="16" spans="1:8" ht="22.3" customHeight="1" ns3:dyDescent="0.4">
      <c r="A16" s="10" t="str">
        <f>IF('Delivery Overview'!A16="","",'Delivery Overview'!A16)</f>
      </c>
      <c r="B16" s="32" t="str">
        <f>IF('Delivery Overview'!C16="","",'Delivery Overview'!C16)</f>
      </c>
      <c r="C16" s="40" t="str">
        <f>IF(A16="","",IF(COUNTA('Delivery Overview'!D16:E16)=0,"● Not started",_xlfn.IFS(COUNTIF('Delivery Overview'!D16:E16,"● Blocked")&gt;0,"● Blocked",COUNTIF('Delivery Overview'!D16:E16,"● In Progress")&gt;0,"● In Progress",COUNTIF('Delivery Overview'!D16:E16,"● Not required")=2,"● Not required",COUNTIF('Delivery Overview'!D16:E16,"● Complete")+COUNTIF('Delivery Overview'!D16:E16,"● Not required")=2,"● Complete",COUNTIF('Delivery Overview'!D16:E16,"● Complete")+COUNTIF('Delivery Overview'!D16:E16,"● Not required")&gt;0,"● In Progress",TRUE,"● Not started")))</f>
      </c>
      <c r="D16" s="40" t="str">
        <f>IF(A16="","",IF(COUNTA('Delivery Overview'!F16:G16)=0,IF(OR(C16="● Complete",C16="● Not required"),"● Not started",""),_xlfn.IFS(COUNTIF('Delivery Overview'!F16:G16,"● Blocked")&gt;0,"● Blocked",COUNTIF('Delivery Overview'!F16:G16,"● In Progress")&gt;0,"● In Progress",COUNTIF('Delivery Overview'!F16:G16,"● Not required")=2,"● Not required",COUNTIF('Delivery Overview'!F16:G16,"● Complete")+COUNTIF('Delivery Overview'!F16:G16,"● Not required")=2,"● Complete",COUNTIF('Delivery Overview'!F16:G16,"● Complete")+COUNTIF('Delivery Overview'!F16:G16,"● Not required")&gt;0,"● In Progress",TRUE,"● Not started")))</f>
      </c>
      <c r="E16" s="40" t="str">
        <f>IF(A16="","",IF(COUNTA('Delivery Overview'!H16:H16)=0,IF(OR(D16="● Complete",D16="● Not required"),"● Not started",""),_xlfn.IFS(COUNTIF('Delivery Overview'!H16:H16,"● Blocked")&gt;0,"● Blocked",COUNTIF('Delivery Overview'!H16:H16,"● In Progress")&gt;0,"● In Progress",COUNTIF('Delivery Overview'!H16:H16,"● Not required")=1,"● Not required",COUNTIF('Delivery Overview'!H16:H16,"● Complete")+COUNTIF('Delivery Overview'!H16:H16,"● Not required")=1,"● Complete",COUNTIF('Delivery Overview'!H16:H16,"● Complete")+COUNTIF('Delivery Overview'!H16:H16,"● Not required")&gt;0,"● In Progress",TRUE,"● Not started")))</f>
      </c>
      <c r="F16" s="40" t="str">
        <f>IF(A16="","",IF(COUNTA('Delivery Overview'!I16:J16)=0,IF(OR(E16="● Complete",E16="● Not required"),"● Not started",""),_xlfn.IFS(COUNTIF('Delivery Overview'!I16:J16,"● Blocked")&gt;0,"● Blocked",COUNTIF('Delivery Overview'!I16:J16,"● In Progress")&gt;0,"● In Progress",COUNTIF('Delivery Overview'!I16:J16,"● Not required")=2,"● Not required",COUNTIF('Delivery Overview'!I16:J16,"● Complete")+COUNTIF('Delivery Overview'!I16:J16,"● Not required")=2,"● Complete",COUNTIF('Delivery Overview'!I16:J16,"● Complete")+COUNTIF('Delivery Overview'!I16:J16,"● Not required")&gt;0,"● In Progress",TRUE,"● Not started")))</f>
      </c>
      <c r="G16" s="40" t="str">
        <f>IF(A16="","",IF(COUNTA('Delivery Overview'!K16:L16)=0,IF(OR(F16="● Complete",F16="● Not required"),"● Not started",""),_xlfn.IFS(COUNTIF('Delivery Overview'!K16:L16,"● Blocked")&gt;0,"● Blocked",COUNTIF('Delivery Overview'!K16:L16,"● In Progress")&gt;0,"● In Progress",COUNTIF('Delivery Overview'!K16:L16,"● Not required")=2,"● Not required",COUNTIF('Delivery Overview'!K16:L16,"● Complete")+COUNTIF('Delivery Overview'!K16:L16,"● Not required")=2,"● Complete",COUNTIF('Delivery Overview'!K16:L16,"● Complete")+COUNTIF('Delivery Overview'!K16:L16,"● Not required")&gt;0,"● In Progress",TRUE,"● Not started")))</f>
      </c>
      <c r="H16" s="40" t="str">
        <f>IF(A16="","",IF(COUNTA('Delivery Overview'!M16:M16)=0,IF(OR(G16="● Complete",G16="● Not required"),"● Not started",""),_xlfn.IFS(COUNTIF('Delivery Overview'!M16:M16,"● Blocked")&gt;0,"● Blocked",COUNTIF('Delivery Overview'!M16:M16,"● In Progress")&gt;0,"● In Progress",COUNTIF('Delivery Overview'!M16:M16,"● Not required")=1,"● Not required",COUNTIF('Delivery Overview'!M16:M16,"● Complete")+COUNTIF('Delivery Overview'!M16:M16,"● Not required")=1,"● Complete",COUNTIF('Delivery Overview'!M16:M16,"● Complete")+COUNTIF('Delivery Overview'!M16:M16,"● Not required")&gt;0,"● In Progress",TRUE,"● Not started")))</f>
      </c>
    </row>
    <row r="17" spans="1:8" ht="24" customHeight="1" ns3:dyDescent="0.4">
      <c r="A17" s="9" t="str">
        <f>'Delivery Overview'!A17</f>
      </c>
      <c r="B17" s="29"/>
      <c r="C17" s="44"/>
      <c r="D17" s="44"/>
      <c r="E17" s="44"/>
      <c r="F17" s="44"/>
      <c r="G17" s="44"/>
      <c r="H17" s="44"/>
    </row>
    <row r="18" spans="1:8" ht="22.3" customHeight="1" ns3:dyDescent="0.4">
      <c r="A18" s="10" t="str">
        <f>IF('Delivery Overview'!A18="","",'Delivery Overview'!A18)</f>
      </c>
      <c r="B18" s="32" t="str">
        <f>IF('Delivery Overview'!C18="","",'Delivery Overview'!C18)</f>
      </c>
      <c r="C18" s="40" t="str">
        <f>IF(A18="","",IF(COUNTA('Delivery Overview'!D18:E18)=0,"● Not started",_xlfn.IFS(COUNTIF('Delivery Overview'!D18:E18,"● Blocked")&gt;0,"● Blocked",COUNTIF('Delivery Overview'!D18:E18,"● In Progress")&gt;0,"● In Progress",COUNTIF('Delivery Overview'!D18:E18,"● Not required")=2,"● Not required",COUNTIF('Delivery Overview'!D18:E18,"● Complete")+COUNTIF('Delivery Overview'!D18:E18,"● Not required")=2,"● Complete",COUNTIF('Delivery Overview'!D18:E18,"● Complete")+COUNTIF('Delivery Overview'!D18:E18,"● Not required")&gt;0,"● In Progress",TRUE,"● Not started")))</f>
      </c>
      <c r="D18" s="40" t="str">
        <f>IF(A18="","",IF(COUNTA('Delivery Overview'!F18:G18)=0,IF(OR(C18="● Complete",C18="● Not required"),"● Not started",""),_xlfn.IFS(COUNTIF('Delivery Overview'!F18:G18,"● Blocked")&gt;0,"● Blocked",COUNTIF('Delivery Overview'!F18:G18,"● In Progress")&gt;0,"● In Progress",COUNTIF('Delivery Overview'!F18:G18,"● Not required")=2,"● Not required",COUNTIF('Delivery Overview'!F18:G18,"● Complete")+COUNTIF('Delivery Overview'!F18:G18,"● Not required")=2,"● Complete",COUNTIF('Delivery Overview'!F18:G18,"● Complete")+COUNTIF('Delivery Overview'!F18:G18,"● Not required")&gt;0,"● In Progress",TRUE,"● Not started")))</f>
      </c>
      <c r="E18" s="40" t="str">
        <f>IF(A18="","",IF(COUNTA('Delivery Overview'!H18:H18)=0,IF(OR(D18="● Complete",D18="● Not required"),"● Not started",""),_xlfn.IFS(COUNTIF('Delivery Overview'!H18:H18,"● Blocked")&gt;0,"● Blocked",COUNTIF('Delivery Overview'!H18:H18,"● In Progress")&gt;0,"● In Progress",COUNTIF('Delivery Overview'!H18:H18,"● Not required")=1,"● Not required",COUNTIF('Delivery Overview'!H18:H18,"● Complete")+COUNTIF('Delivery Overview'!H18:H18,"● Not required")=1,"● Complete",COUNTIF('Delivery Overview'!H18:H18,"● Complete")+COUNTIF('Delivery Overview'!H18:H18,"● Not required")&gt;0,"● In Progress",TRUE,"● Not started")))</f>
      </c>
      <c r="F18" s="40" t="str">
        <f>IF(A18="","",IF(COUNTA('Delivery Overview'!I18:J18)=0,IF(OR(E18="● Complete",E18="● Not required"),"● Not started",""),_xlfn.IFS(COUNTIF('Delivery Overview'!I18:J18,"● Blocked")&gt;0,"● Blocked",COUNTIF('Delivery Overview'!I18:J18,"● In Progress")&gt;0,"● In Progress",COUNTIF('Delivery Overview'!I18:J18,"● Not required")=2,"● Not required",COUNTIF('Delivery Overview'!I18:J18,"● Complete")+COUNTIF('Delivery Overview'!I18:J18,"● Not required")=2,"● Complete",COUNTIF('Delivery Overview'!I18:J18,"● Complete")+COUNTIF('Delivery Overview'!I18:J18,"● Not required")&gt;0,"● In Progress",TRUE,"● Not started")))</f>
      </c>
      <c r="G18" s="40" t="str">
        <f>IF(A18="","",IF(COUNTA('Delivery Overview'!K18:L18)=0,IF(OR(F18="● Complete",F18="● Not required"),"● Not started",""),_xlfn.IFS(COUNTIF('Delivery Overview'!K18:L18,"● Blocked")&gt;0,"● Blocked",COUNTIF('Delivery Overview'!K18:L18,"● In Progress")&gt;0,"● In Progress",COUNTIF('Delivery Overview'!K18:L18,"● Not required")=2,"● Not required",COUNTIF('Delivery Overview'!K18:L18,"● Complete")+COUNTIF('Delivery Overview'!K18:L18,"● Not required")=2,"● Complete",COUNTIF('Delivery Overview'!K18:L18,"● Complete")+COUNTIF('Delivery Overview'!K18:L18,"● Not required")&gt;0,"● In Progress",TRUE,"● Not started")))</f>
      </c>
      <c r="H18" s="40" t="str">
        <f>IF(A18="","",IF(COUNTA('Delivery Overview'!M18:M18)=0,IF(OR(G18="● Complete",G18="● Not required"),"● Not started",""),_xlfn.IFS(COUNTIF('Delivery Overview'!M18:M18,"● Blocked")&gt;0,"● Blocked",COUNTIF('Delivery Overview'!M18:M18,"● In Progress")&gt;0,"● In Progress",COUNTIF('Delivery Overview'!M18:M18,"● Not required")=1,"● Not required",COUNTIF('Delivery Overview'!M18:M18,"● Complete")+COUNTIF('Delivery Overview'!M18:M18,"● Not required")=1,"● Complete",COUNTIF('Delivery Overview'!M18:M18,"● Complete")+COUNTIF('Delivery Overview'!M18:M18,"● Not required")&gt;0,"● In Progress",TRUE,"● Not started")))</f>
      </c>
    </row>
    <row r="19" spans="1:8" ht="22.3" customHeight="1" ns3:dyDescent="0.4">
      <c r="A19" s="10" t="str">
        <f>IF('Delivery Overview'!A19="","",'Delivery Overview'!A19)</f>
      </c>
      <c r="B19" s="32" t="str">
        <f>IF('Delivery Overview'!C19="","",'Delivery Overview'!C19)</f>
      </c>
      <c r="C19" s="40" t="str">
        <f>IF(A19="","",IF(COUNTA('Delivery Overview'!D19:E19)=0,"● Not started",_xlfn.IFS(COUNTIF('Delivery Overview'!D19:E19,"● Blocked")&gt;0,"● Blocked",COUNTIF('Delivery Overview'!D19:E19,"● In Progress")&gt;0,"● In Progress",COUNTIF('Delivery Overview'!D19:E19,"● Not required")=2,"● Not required",COUNTIF('Delivery Overview'!D19:E19,"● Complete")+COUNTIF('Delivery Overview'!D19:E19,"● Not required")=2,"● Complete",COUNTIF('Delivery Overview'!D19:E19,"● Complete")+COUNTIF('Delivery Overview'!D19:E19,"● Not required")&gt;0,"● In Progress",TRUE,"● Not started")))</f>
      </c>
      <c r="D19" s="40" t="str">
        <f>IF(A19="","",IF(COUNTA('Delivery Overview'!F19:G19)=0,IF(OR(C19="● Complete",C19="● Not required"),"● Not started",""),_xlfn.IFS(COUNTIF('Delivery Overview'!F19:G19,"● Blocked")&gt;0,"● Blocked",COUNTIF('Delivery Overview'!F19:G19,"● In Progress")&gt;0,"● In Progress",COUNTIF('Delivery Overview'!F19:G19,"● Not required")=2,"● Not required",COUNTIF('Delivery Overview'!F19:G19,"● Complete")+COUNTIF('Delivery Overview'!F19:G19,"● Not required")=2,"● Complete",COUNTIF('Delivery Overview'!F19:G19,"● Complete")+COUNTIF('Delivery Overview'!F19:G19,"● Not required")&gt;0,"● In Progress",TRUE,"● Not started")))</f>
      </c>
      <c r="E19" s="40" t="str">
        <f>IF(A19="","",IF(COUNTA('Delivery Overview'!H19:H19)=0,IF(OR(D19="● Complete",D19="● Not required"),"● Not started",""),_xlfn.IFS(COUNTIF('Delivery Overview'!H19:H19,"● Blocked")&gt;0,"● Blocked",COUNTIF('Delivery Overview'!H19:H19,"● In Progress")&gt;0,"● In Progress",COUNTIF('Delivery Overview'!H19:H19,"● Not required")=1,"● Not required",COUNTIF('Delivery Overview'!H19:H19,"● Complete")+COUNTIF('Delivery Overview'!H19:H19,"● Not required")=1,"● Complete",COUNTIF('Delivery Overview'!H19:H19,"● Complete")+COUNTIF('Delivery Overview'!H19:H19,"● Not required")&gt;0,"● In Progress",TRUE,"● Not started")))</f>
      </c>
      <c r="F19" s="40" t="str">
        <f>IF(A19="","",IF(COUNTA('Delivery Overview'!I19:J19)=0,IF(OR(E19="● Complete",E19="● Not required"),"● Not started",""),_xlfn.IFS(COUNTIF('Delivery Overview'!I19:J19,"● Blocked")&gt;0,"● Blocked",COUNTIF('Delivery Overview'!I19:J19,"● In Progress")&gt;0,"● In Progress",COUNTIF('Delivery Overview'!I19:J19,"● Not required")=2,"● Not required",COUNTIF('Delivery Overview'!I19:J19,"● Complete")+COUNTIF('Delivery Overview'!I19:J19,"● Not required")=2,"● Complete",COUNTIF('Delivery Overview'!I19:J19,"● Complete")+COUNTIF('Delivery Overview'!I19:J19,"● Not required")&gt;0,"● In Progress",TRUE,"● Not started")))</f>
      </c>
      <c r="G19" s="40" t="str">
        <f>IF(A19="","",IF(COUNTA('Delivery Overview'!K19:L19)=0,IF(OR(F19="● Complete",F19="● Not required"),"● Not started",""),_xlfn.IFS(COUNTIF('Delivery Overview'!K19:L19,"● Blocked")&gt;0,"● Blocked",COUNTIF('Delivery Overview'!K19:L19,"● In Progress")&gt;0,"● In Progress",COUNTIF('Delivery Overview'!K19:L19,"● Not required")=2,"● Not required",COUNTIF('Delivery Overview'!K19:L19,"● Complete")+COUNTIF('Delivery Overview'!K19:L19,"● Not required")=2,"● Complete",COUNTIF('Delivery Overview'!K19:L19,"● Complete")+COUNTIF('Delivery Overview'!K19:L19,"● Not required")&gt;0,"● In Progress",TRUE,"● Not started")))</f>
      </c>
      <c r="H19" s="40" t="str">
        <f>IF(A19="","",IF(COUNTA('Delivery Overview'!M19:M19)=0,IF(OR(G19="● Complete",G19="● Not required"),"● Not started",""),_xlfn.IFS(COUNTIF('Delivery Overview'!M19:M19,"● Blocked")&gt;0,"● Blocked",COUNTIF('Delivery Overview'!M19:M19,"● In Progress")&gt;0,"● In Progress",COUNTIF('Delivery Overview'!M19:M19,"● Not required")=1,"● Not required",COUNTIF('Delivery Overview'!M19:M19,"● Complete")+COUNTIF('Delivery Overview'!M19:M19,"● Not required")=1,"● Complete",COUNTIF('Delivery Overview'!M19:M19,"● Complete")+COUNTIF('Delivery Overview'!M19:M19,"● Not required")&gt;0,"● In Progress",TRUE,"● Not started")))</f>
      </c>
    </row>
    <row r="20" spans="1:8" ht="22.3" customHeight="1" ns3:dyDescent="0.4">
      <c r="A20" s="10" t="str">
        <f>IF('Delivery Overview'!A20="","",'Delivery Overview'!A20)</f>
      </c>
      <c r="B20" s="32" t="str">
        <f>IF('Delivery Overview'!C20="","",'Delivery Overview'!C20)</f>
      </c>
      <c r="C20" s="40" t="str">
        <f>IF(A20="","",IF(COUNTA('Delivery Overview'!D20:E20)=0,"● Not started",_xlfn.IFS(COUNTIF('Delivery Overview'!D20:E20,"● Blocked")&gt;0,"● Blocked",COUNTIF('Delivery Overview'!D20:E20,"● In Progress")&gt;0,"● In Progress",COUNTIF('Delivery Overview'!D20:E20,"● Not required")=2,"● Not required",COUNTIF('Delivery Overview'!D20:E20,"● Complete")+COUNTIF('Delivery Overview'!D20:E20,"● Not required")=2,"● Complete",COUNTIF('Delivery Overview'!D20:E20,"● Complete")+COUNTIF('Delivery Overview'!D20:E20,"● Not required")&gt;0,"● In Progress",TRUE,"● Not started")))</f>
      </c>
      <c r="D20" s="40" t="str">
        <f>IF(A20="","",IF(COUNTA('Delivery Overview'!F20:G20)=0,IF(OR(C20="● Complete",C20="● Not required"),"● Not started",""),_xlfn.IFS(COUNTIF('Delivery Overview'!F20:G20,"● Blocked")&gt;0,"● Blocked",COUNTIF('Delivery Overview'!F20:G20,"● In Progress")&gt;0,"● In Progress",COUNTIF('Delivery Overview'!F20:G20,"● Not required")=2,"● Not required",COUNTIF('Delivery Overview'!F20:G20,"● Complete")+COUNTIF('Delivery Overview'!F20:G20,"● Not required")=2,"● Complete",COUNTIF('Delivery Overview'!F20:G20,"● Complete")+COUNTIF('Delivery Overview'!F20:G20,"● Not required")&gt;0,"● In Progress",TRUE,"● Not started")))</f>
      </c>
      <c r="E20" s="40" t="str">
        <f>IF(A20="","",IF(COUNTA('Delivery Overview'!H20:H20)=0,IF(OR(D20="● Complete",D20="● Not required"),"● Not started",""),_xlfn.IFS(COUNTIF('Delivery Overview'!H20:H20,"● Blocked")&gt;0,"● Blocked",COUNTIF('Delivery Overview'!H20:H20,"● In Progress")&gt;0,"● In Progress",COUNTIF('Delivery Overview'!H20:H20,"● Not required")=1,"● Not required",COUNTIF('Delivery Overview'!H20:H20,"● Complete")+COUNTIF('Delivery Overview'!H20:H20,"● Not required")=1,"● Complete",COUNTIF('Delivery Overview'!H20:H20,"● Complete")+COUNTIF('Delivery Overview'!H20:H20,"● Not required")&gt;0,"● In Progress",TRUE,"● Not started")))</f>
      </c>
      <c r="F20" s="40" t="str">
        <f>IF(A20="","",IF(COUNTA('Delivery Overview'!I20:J20)=0,IF(OR(E20="● Complete",E20="● Not required"),"● Not started",""),_xlfn.IFS(COUNTIF('Delivery Overview'!I20:J20,"● Blocked")&gt;0,"● Blocked",COUNTIF('Delivery Overview'!I20:J20,"● In Progress")&gt;0,"● In Progress",COUNTIF('Delivery Overview'!I20:J20,"● Not required")=2,"● Not required",COUNTIF('Delivery Overview'!I20:J20,"● Complete")+COUNTIF('Delivery Overview'!I20:J20,"● Not required")=2,"● Complete",COUNTIF('Delivery Overview'!I20:J20,"● Complete")+COUNTIF('Delivery Overview'!I20:J20,"● Not required")&gt;0,"● In Progress",TRUE,"● Not started")))</f>
      </c>
      <c r="G20" s="40" t="str">
        <f>IF(A20="","",IF(COUNTA('Delivery Overview'!K20:L20)=0,IF(OR(F20="● Complete",F20="● Not required"),"● Not started",""),_xlfn.IFS(COUNTIF('Delivery Overview'!K20:L20,"● Blocked")&gt;0,"● Blocked",COUNTIF('Delivery Overview'!K20:L20,"● In Progress")&gt;0,"● In Progress",COUNTIF('Delivery Overview'!K20:L20,"● Not required")=2,"● Not required",COUNTIF('Delivery Overview'!K20:L20,"● Complete")+COUNTIF('Delivery Overview'!K20:L20,"● Not required")=2,"● Complete",COUNTIF('Delivery Overview'!K20:L20,"● Complete")+COUNTIF('Delivery Overview'!K20:L20,"● Not required")&gt;0,"● In Progress",TRUE,"● Not started")))</f>
      </c>
      <c r="H20" s="40" t="str">
        <f>IF(A20="","",IF(COUNTA('Delivery Overview'!M20:M20)=0,IF(OR(G20="● Complete",G20="● Not required"),"● Not started",""),_xlfn.IFS(COUNTIF('Delivery Overview'!M20:M20,"● Blocked")&gt;0,"● Blocked",COUNTIF('Delivery Overview'!M20:M20,"● In Progress")&gt;0,"● In Progress",COUNTIF('Delivery Overview'!M20:M20,"● Not required")=1,"● Not required",COUNTIF('Delivery Overview'!M20:M20,"● Complete")+COUNTIF('Delivery Overview'!M20:M20,"● Not required")=1,"● Complete",COUNTIF('Delivery Overview'!M20:M20,"● Complete")+COUNTIF('Delivery Overview'!M20:M20,"● Not required")&gt;0,"● In Progress",TRUE,"● Not started")))</f>
      </c>
    </row>
  </sheetData>
  <mergeCells count="8">
    <mergeCell ref="F4:F5"/>
    <mergeCell ref="G4:G5"/>
    <mergeCell ref="H4:H5"/>
    <mergeCell ref="B4:B5"/>
    <mergeCell ref="A4:A5"/>
    <mergeCell ref="E4:E5"/>
    <mergeCell ref="D4:D5"/>
    <mergeCell ref="C4:C5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ns1="http://schemas.openxmlformats.org/markup-compatibility/2006" xmlns:ns2="http://schemas.microsoft.com/office/spreadsheetml/2014/revision" xmlns:ns3="http://schemas.microsoft.com/office/spreadsheetml/2009/9/ac" xmlns:ns4="http://schemas.microsoft.com/office/spreadsheetml/2009/9/main" xmlns:ns5="http://schemas.microsoft.com/office/excel/2006/main" ns1:Ignorable="x14ac xr xr2 xr3" ns2:uid="{00000000-0001-0000-0100-000000000000}">
  <sheetPr>
    <tabColor rgb="FF1F2A44"/>
  </sheetPr>
  <dimension ref="A1:S23"/>
  <sheetViews>
    <sheetView showGridLines="0" workbookViewId="0">
      <pane xSplit="3" ySplit="5" topLeftCell="D6" activePane="bottomRight" state="frozen"/>
      <selection pane="topRight"/>
      <selection pane="bottomLeft"/>
      <selection pane="bottomRight" activeCell="D6" sqref="D6"/>
    </sheetView>
  </sheetViews>
  <sheetFormatPr defaultRowHeight="14.6" ns3:dyDescent="0.4"/>
  <cols>
    <col min="1" max="1" width="28.15234375" customWidth="1"/>
    <col min="2" max="2" width="8.84375" customWidth="1"/>
    <col min="3" max="3" width="23.3828125" customWidth="1"/>
    <col min="4" max="7" width="12.53515625" customWidth="1"/>
    <col min="8" max="8" width="21.84375" customWidth="1"/>
    <col min="9" max="12" width="12.53515625" customWidth="1"/>
    <col min="13" max="13" width="21.84375" customWidth="1"/>
    <col min="14" max="15" width="9.3046875" customWidth="1"/>
    <col min="16" max="16" width="25.921875" customWidth="1"/>
    <col min="17" max="17" width="14.07421875" hidden="1" customWidth="1"/>
    <col min="18" max="18" width="38.84375" hidden="1" customWidth="1"/>
    <col min="19" max="19" width="8.921875" hidden="1" customWidth="1"/>
  </cols>
  <sheetData>
    <row r="1" spans="1:18" ht="20.149999999999999" customHeight="1" ns3:dyDescent="0.5">
      <c r="A1" s="1" t="s">
        <v>7</v>
      </c>
    </row>
    <row r="2" spans="1:18" ns3:dyDescent="0.4">
      <c r="A2" s="2"/>
    </row>
    <row r="3" spans="1:18" ht="26.6" customHeight="1" ns3:dyDescent="0.4">
      <c r="H3" s="64" t="s">
        <v>8</v>
      </c>
      <c r="I3" s="65"/>
      <c r="J3" s="65"/>
      <c r="K3" s="65"/>
      <c r="L3" s="65"/>
      <c r="M3" s="66"/>
    </row>
    <row r="4" spans="1:18" ht="19.75" customHeight="1" ns3:dyDescent="0.4">
      <c r="A4" s="67" t="s">
        <v>1</v>
      </c>
      <c r="B4" s="69" t="s">
        <v>9</v>
      </c>
      <c r="C4" s="67" t="s">
        <v>2</v>
      </c>
      <c r="D4" s="70" t="s">
        <v>3</v>
      </c>
      <c r="E4" s="71"/>
      <c r="F4" s="71" t="s">
        <v>4</v>
      </c>
      <c r="G4" s="71"/>
      <c r="H4" s="25" t="s">
        <v>10</v>
      </c>
      <c r="I4" s="71" t="s">
        <v>5</v>
      </c>
      <c r="J4" s="71"/>
      <c r="K4" s="71" t="s">
        <v>6</v>
      </c>
      <c r="L4" s="72"/>
      <c r="M4" s="3" t="s">
        <v>11</v>
      </c>
      <c r="N4" s="67" t="s">
        <v>12</v>
      </c>
      <c r="O4" s="67" t="s">
        <v>13</v>
      </c>
      <c r="P4" s="67" t="s">
        <v>14</v>
      </c>
    </row>
    <row r="5" spans="1:18" ht="26.6" customHeight="1" ns3:dyDescent="0.4">
      <c r="A5" s="68"/>
      <c r="B5" s="68"/>
      <c r="C5" s="68"/>
      <c r="D5" s="26" t="s">
        <v>15</v>
      </c>
      <c r="E5" s="27" t="s">
        <v>16</v>
      </c>
      <c r="F5" s="27" t="s">
        <v>17</v>
      </c>
      <c r="G5" s="27" t="s">
        <v>18</v>
      </c>
      <c r="H5" s="27" t="s">
        <v>19</v>
      </c>
      <c r="I5" s="27" t="s">
        <v>20</v>
      </c>
      <c r="J5" s="27" t="s">
        <v>21</v>
      </c>
      <c r="K5" s="27" t="s">
        <v>22</v>
      </c>
      <c r="L5" s="27" t="s">
        <v>23</v>
      </c>
      <c r="M5" s="28" t="s">
        <v>24</v>
      </c>
      <c r="N5" s="68"/>
      <c r="O5" s="68"/>
      <c r="P5" s="68"/>
    </row>
    <row r="6" spans="1:18" ht="24" customHeight="1" ns3:dyDescent="0.4">
      <c r="A6" s="5"/>
      <c r="B6" s="6"/>
      <c r="C6" s="30" t="str">
        <f>COUNTA(A7:A11)&amp;IF(COUNTA(A7:A11)=1," initiative"," initiatives")</f>
      </c>
      <c r="D6" s="50"/>
      <c r="E6" s="51"/>
      <c r="F6" s="51"/>
      <c r="G6" s="51"/>
      <c r="H6" s="51"/>
      <c r="I6" s="51"/>
      <c r="J6" s="51"/>
      <c r="K6" s="51"/>
      <c r="L6" s="51"/>
      <c r="M6" s="52"/>
      <c r="N6" s="22"/>
      <c r="O6" s="22"/>
      <c r="P6" s="23"/>
      <c r="Q6"/>
    </row>
    <row r="7" spans="1:18" ht="21.55" customHeight="1" ns3:dyDescent="0.4">
      <c r="A7" s="11"/>
      <c r="B7" s="12"/>
      <c r="C7" s="32" t="str" cm="1">
        <f t="array" ref="C7">IF(A7="","",_xlfn.LET(_xlpm.s,D7:M7,_xlpm.h,$D$5:$M$5,_xlpm.g,COUNTIF(_xlpm.s,"● Complete")+COUNTIF(_xlpm.s,"● Not required"),IF(COUNTIF(_xlpm.s,"● Blocked")&gt;0,"Blocked: "&amp;INDEX(_xlpm.h,1,MATCH("● Blocked",_xlpm.s,0)),IF(COUNTIF(_xlpm.s,"● In Progress")&gt;0,"In Progress: "&amp;INDEX(_xlpm.h,1,MATCH("● In Progress",_xlpm.s,0)),IF(_xlpm.g=COLUMNS(_xlpm.s),"All steps complete",_xlfn.LET(_xlpm.last,IFERROR(LOOKUP(2,1/((_xlpm.s="● Complete")+(_xlpm.s="● Not required")),COLUMN(_xlpm.s)-COLUMN(D7)+1),0),_xlpm.nxt,IFERROR(MATCH(1,(_xlpm.s="")*(_xlfn.SEQUENCE(1,COLUMNS(_xlpm.s))&gt;_xlpm.last),0),IFERROR(MATCH("",_xlpm.s,0),0)),IF(_xlpm.nxt=0,"No current step","Not Started: "&amp;INDEX(_xlpm.h,1,_xlpm.nxt))))))))</f>
      </c>
      <c r="D7" s="38"/>
      <c r="E7" s="39"/>
      <c r="F7" s="38"/>
      <c r="G7" s="39"/>
      <c r="H7" s="40"/>
      <c r="I7" s="38"/>
      <c r="J7" s="39"/>
      <c r="K7" s="38"/>
      <c r="L7" s="39"/>
      <c r="M7" s="40"/>
      <c r="N7" s="14">
        <f>IF(A7="","",COUNTIF(Actions!$E$13:$E$22,"Open")+COUNTIF(Actions!$E$13:$E$22,"In progress")+COUNTIF(Actions!$E$13:$E$22,"Blocked"))</f>
      </c>
      <c r="O7" s="14">
        <f ca="1">IF(A7="","",COUNTIF(Actions!$G$13:$G$22,"Overdue"))</f>
      </c>
      <c r="P7" s="11"/>
      <c r="Q7"/>
      <c r="R7" t="str">
        <f>IF(A7="","",Q7&amp;" · "&amp;A7)</f>
      </c>
    </row>
    <row r="8" spans="1:18" ht="21.55" customHeight="1" ns3:dyDescent="0.4">
      <c r="A8" s="11"/>
      <c r="B8" s="12"/>
      <c r="C8" s="32" t="str" cm="1">
        <f t="array" ref="C8">IF(A8="","",_xlfn.LET(_xlpm.s,D8:M8,_xlpm.h,$D$5:$M$5,_xlpm.g,COUNTIF(_xlpm.s,"● Complete")+COUNTIF(_xlpm.s,"● Not required"),IF(COUNTIF(_xlpm.s,"● Blocked")&gt;0,"Blocked: "&amp;INDEX(_xlpm.h,1,MATCH("● Blocked",_xlpm.s,0)),IF(COUNTIF(_xlpm.s,"● In Progress")&gt;0,"In Progress: "&amp;INDEX(_xlpm.h,1,MATCH("● In Progress",_xlpm.s,0)),IF(_xlpm.g=COLUMNS(_xlpm.s),"All steps complete",_xlfn.LET(_xlpm.last,IFERROR(LOOKUP(2,1/((_xlpm.s="● Complete")+(_xlpm.s="● Not required")),COLUMN(_xlpm.s)-COLUMN(D8)+1),0),_xlpm.nxt,IFERROR(MATCH(1,(_xlpm.s="")*(_xlfn.SEQUENCE(1,COLUMNS(_xlpm.s))&gt;_xlpm.last),0),IFERROR(MATCH("",_xlpm.s,0),0)),IF(_xlpm.nxt=0,"No current step","Not Started: "&amp;INDEX(_xlpm.h,1,_xlpm.nxt))))))))</f>
      </c>
      <c r="D8" s="38"/>
      <c r="E8" s="39"/>
      <c r="F8" s="41"/>
      <c r="G8" s="39"/>
      <c r="H8" s="40"/>
      <c r="I8" s="38"/>
      <c r="J8" s="39"/>
      <c r="K8" s="38"/>
      <c r="L8" s="39"/>
      <c r="M8" s="40"/>
      <c r="N8" s="14">
        <f>IF(A8="","",COUNTIF(Actions!$E$24:$E$33,"Open")+COUNTIF(Actions!$E$24:$E$33,"In progress")+COUNTIF(Actions!$E$24:$E$33,"Blocked"))</f>
      </c>
      <c r="O8" s="14">
        <f ca="1">IF(A8="","",COUNTIF(Actions!$G$24:$G$33,"Overdue"))</f>
      </c>
      <c r="P8" s="11"/>
      <c r="Q8"/>
      <c r="R8" t="str">
        <f>IF(A8="","",Q8&amp;" · "&amp;A8)</f>
      </c>
    </row>
    <row r="9" spans="1:18" ht="21.55" customHeight="1" ns3:dyDescent="0.4">
      <c r="A9" s="11"/>
      <c r="B9" s="12"/>
      <c r="C9" s="32" t="str" cm="1">
        <f t="array" ref="C9">IF(A9="","",_xlfn.LET(_xlpm.s,D9:M9,_xlpm.h,$D$5:$M$5,_xlpm.g,COUNTIF(_xlpm.s,"● Complete")+COUNTIF(_xlpm.s,"● Not required"),IF(COUNTIF(_xlpm.s,"● Blocked")&gt;0,"Blocked: "&amp;INDEX(_xlpm.h,1,MATCH("● Blocked",_xlpm.s,0)),IF(COUNTIF(_xlpm.s,"● In Progress")&gt;0,"In Progress: "&amp;INDEX(_xlpm.h,1,MATCH("● In Progress",_xlpm.s,0)),IF(_xlpm.g=COLUMNS(_xlpm.s),"All steps complete",_xlfn.LET(_xlpm.last,IFERROR(LOOKUP(2,1/((_xlpm.s="● Complete")+(_xlpm.s="● Not required")),COLUMN(_xlpm.s)-COLUMN(D9)+1),0),_xlpm.nxt,IFERROR(MATCH(1,(_xlpm.s="")*(_xlfn.SEQUENCE(1,COLUMNS(_xlpm.s))&gt;_xlpm.last),0),IFERROR(MATCH("",_xlpm.s,0),0)),IF(_xlpm.nxt=0,"No current step","Not Started: "&amp;INDEX(_xlpm.h,1,_xlpm.nxt))))))))</f>
      </c>
      <c r="D9" s="38"/>
      <c r="E9" s="39"/>
      <c r="F9" s="38"/>
      <c r="G9" s="39"/>
      <c r="H9" s="40"/>
      <c r="I9" s="38"/>
      <c r="J9" s="39"/>
      <c r="K9" s="38"/>
      <c r="L9" s="39"/>
      <c r="M9" s="40"/>
      <c r="N9" s="14">
        <f>IF(A9="","",COUNTIF(Actions!$E$35:$E$44,"Open")+COUNTIF(Actions!$E$35:$E$44,"In progress")+COUNTIF(Actions!$E$35:$E$44,"Blocked"))</f>
      </c>
      <c r="O9" s="14">
        <f ca="1">IF(A9="","",COUNTIF(Actions!$G$35:$G$44,"Overdue"))</f>
      </c>
      <c r="P9" s="11"/>
      <c r="Q9"/>
      <c r="R9" t="str">
        <f>IF(A9="","",Q9&amp;" · "&amp;A9)</f>
      </c>
    </row>
    <row r="10" spans="1:18" ht="21.55" customHeight="1" ns3:dyDescent="0.4">
      <c r="A10" s="11"/>
      <c r="B10" s="12"/>
      <c r="C10" s="32" t="str" cm="1">
        <f t="array" ref="C10">IF(A10="","",_xlfn.LET(_xlpm.s,D10:M10,_xlpm.h,$D$5:$M$5,_xlpm.g,COUNTIF(_xlpm.s,"● Complete")+COUNTIF(_xlpm.s,"● Not required"),IF(COUNTIF(_xlpm.s,"● Blocked")&gt;0,"Blocked: "&amp;INDEX(_xlpm.h,1,MATCH("● Blocked",_xlpm.s,0)),IF(COUNTIF(_xlpm.s,"● In Progress")&gt;0,"In Progress: "&amp;INDEX(_xlpm.h,1,MATCH("● In Progress",_xlpm.s,0)),IF(_xlpm.g=COLUMNS(_xlpm.s),"All steps complete",_xlfn.LET(_xlpm.last,IFERROR(LOOKUP(2,1/((_xlpm.s="● Complete")+(_xlpm.s="● Not required")),COLUMN(_xlpm.s)-COLUMN(D10)+1),0),_xlpm.nxt,IFERROR(MATCH(1,(_xlpm.s="")*(_xlfn.SEQUENCE(1,COLUMNS(_xlpm.s))&gt;_xlpm.last),0),IFERROR(MATCH("",_xlpm.s,0),0)),IF(_xlpm.nxt=0,"No current step","Not Started: "&amp;INDEX(_xlpm.h,1,_xlpm.nxt))))))))</f>
      </c>
      <c r="D10" s="38"/>
      <c r="E10" s="39"/>
      <c r="F10" s="38"/>
      <c r="G10" s="39"/>
      <c r="H10" s="40"/>
      <c r="I10" s="38"/>
      <c r="J10" s="39"/>
      <c r="K10" s="38"/>
      <c r="L10" s="39"/>
      <c r="M10" s="40"/>
      <c r="N10" s="14">
        <f>IF(A10="","",COUNTIF(Actions!$E$46:$E$51,"Open")+COUNTIF(Actions!$E$46:$E$51,"In progress")+COUNTIF(Actions!$E$46:$E$51,"Blocked"))</f>
      </c>
      <c r="O10" s="14">
        <f ca="1">IF(A10="","",COUNTIF(Actions!$G$46:$G$51,"Overdue"))</f>
      </c>
      <c r="P10" s="11"/>
      <c r="Q10"/>
      <c r="R10" t="str">
        <f>IF(A10="","",Q10&amp;" · "&amp;A10)</f>
      </c>
    </row>
    <row r="11" spans="1:18" ht="21.55" customHeight="1" ns3:dyDescent="0.4">
      <c r="A11" s="11"/>
      <c r="B11" s="12"/>
      <c r="C11" s="32" t="str" cm="1">
        <f t="array" ref="C11">IF(A11="","",_xlfn.LET(_xlpm.s,D11:M11,_xlpm.h,$D$5:$M$5,_xlpm.g,COUNTIF(_xlpm.s,"● Complete")+COUNTIF(_xlpm.s,"● Not required"),IF(COUNTIF(_xlpm.s,"● Blocked")&gt;0,"Blocked: "&amp;INDEX(_xlpm.h,1,MATCH("● Blocked",_xlpm.s,0)),IF(COUNTIF(_xlpm.s,"● In Progress")&gt;0,"In Progress: "&amp;INDEX(_xlpm.h,1,MATCH("● In Progress",_xlpm.s,0)),IF(_xlpm.g=COLUMNS(_xlpm.s),"All steps complete",_xlfn.LET(_xlpm.last,IFERROR(LOOKUP(2,1/((_xlpm.s="● Complete")+(_xlpm.s="● Not required")),COLUMN(_xlpm.s)-COLUMN(D11)+1),0),_xlpm.nxt,IFERROR(MATCH(1,(_xlpm.s="")*(_xlfn.SEQUENCE(1,COLUMNS(_xlpm.s))&gt;_xlpm.last),0),IFERROR(MATCH("",_xlpm.s,0),0)),IF(_xlpm.nxt=0,"No current step","Not Started: "&amp;INDEX(_xlpm.h,1,_xlpm.nxt))))))))</f>
      </c>
      <c r="D11" s="38"/>
      <c r="E11" s="39"/>
      <c r="F11" s="38"/>
      <c r="G11" s="39"/>
      <c r="H11" s="40"/>
      <c r="I11" s="38"/>
      <c r="J11" s="39"/>
      <c r="K11" s="38"/>
      <c r="L11" s="39"/>
      <c r="M11" s="40"/>
      <c r="N11" s="14" t="str">
        <f>IF(A11="","",0)</f>
      </c>
      <c r="O11" s="14" t="str">
        <f>IF(A11="","",0)</f>
      </c>
      <c r="P11" s="11"/>
      <c r="Q11"/>
      <c r="R11" t="str">
        <f>IF(A11="","",Q11&amp;" · "&amp;A11)</f>
      </c>
    </row>
    <row r="12" spans="1:18" ht="24" customHeight="1" ns3:dyDescent="0.4">
      <c r="A12" s="5"/>
      <c r="B12" s="6"/>
      <c r="C12" s="31" t="str" cm="1">
        <f t="array" ref="C12">COUNTA(A13:A16)&amp;IF(COUNTA(A13:A16)=1," initiative"," initiatives")</f>
      </c>
      <c r="D12" s="50"/>
      <c r="E12" s="51"/>
      <c r="F12" s="51"/>
      <c r="G12" s="51"/>
      <c r="H12" s="51"/>
      <c r="I12" s="51"/>
      <c r="J12" s="51"/>
      <c r="K12" s="51"/>
      <c r="L12" s="51"/>
      <c r="M12" s="52"/>
      <c r="N12" s="22"/>
      <c r="O12" s="22"/>
      <c r="P12" s="23"/>
      <c r="Q12"/>
    </row>
    <row r="13" spans="1:18" ht="21.55" customHeight="1" ns3:dyDescent="0.4">
      <c r="A13" s="11"/>
      <c r="B13" s="12"/>
      <c r="C13" s="32" t="str" cm="1">
        <f t="array" ref="C13">IF(A13="","",_xlfn.LET(_xlpm.s,D13:M13,_xlpm.h,$D$5:$M$5,_xlpm.g,COUNTIF(_xlpm.s,"● Complete")+COUNTIF(_xlpm.s,"● Not required"),IF(COUNTIF(_xlpm.s,"● Blocked")&gt;0,"Blocked: "&amp;INDEX(_xlpm.h,1,MATCH("● Blocked",_xlpm.s,0)),IF(COUNTIF(_xlpm.s,"● In Progress")&gt;0,"In Progress: "&amp;INDEX(_xlpm.h,1,MATCH("● In Progress",_xlpm.s,0)),IF(_xlpm.g=COLUMNS(_xlpm.s),"All steps complete",_xlfn.LET(_xlpm.last,IFERROR(LOOKUP(2,1/((_xlpm.s="● Complete")+(_xlpm.s="● Not required")),COLUMN(_xlpm.s)-COLUMN(D13)+1),0),_xlpm.nxt,IFERROR(MATCH(1,(_xlpm.s="")*(_xlfn.SEQUENCE(1,COLUMNS(_xlpm.s))&gt;_xlpm.last),0),IFERROR(MATCH("",_xlpm.s,0),0)),IF(_xlpm.nxt=0,"No current step","Not Started: "&amp;INDEX(_xlpm.h,1,_xlpm.nxt))))))))</f>
      </c>
      <c r="D13" s="38"/>
      <c r="E13" s="39"/>
      <c r="F13" s="38"/>
      <c r="G13" s="39"/>
      <c r="H13" s="40"/>
      <c r="I13" s="38"/>
      <c r="J13" s="39"/>
      <c r="K13" s="38"/>
      <c r="L13" s="39"/>
      <c r="M13" s="40"/>
      <c r="N13" s="14">
        <f>IF(A13="","",COUNTIF(Actions!$E$69:$E$78,"Open")+COUNTIF(Actions!$E$69:$E$78,"In progress")+COUNTIF(Actions!$E$69:$E$78,"Blocked"))</f>
      </c>
      <c r="O13" s="14">
        <f ca="1">IF(A13="","",COUNTIF(Actions!$G$69:$G$78,"Overdue"))</f>
      </c>
      <c r="P13" s="11"/>
      <c r="Q13"/>
      <c r="R13" t="str">
        <f>IF(A13="","",Q13&amp;" · "&amp;A13)</f>
      </c>
    </row>
    <row r="14" spans="1:18" ht="21.55" customHeight="1" ns3:dyDescent="0.4">
      <c r="A14" s="11"/>
      <c r="B14" s="12"/>
      <c r="C14" s="32" t="str" cm="1">
        <f t="array" ref="C14">IF(A14="","",_xlfn.LET(_xlpm.s,D14:M14,_xlpm.h,$D$5:$M$5,_xlpm.g,COUNTIF(_xlpm.s,"● Complete")+COUNTIF(_xlpm.s,"● Not required"),IF(COUNTIF(_xlpm.s,"● Blocked")&gt;0,"Blocked: "&amp;INDEX(_xlpm.h,1,MATCH("● Blocked",_xlpm.s,0)),IF(COUNTIF(_xlpm.s,"● In Progress")&gt;0,"In Progress: "&amp;INDEX(_xlpm.h,1,MATCH("● In Progress",_xlpm.s,0)),IF(_xlpm.g=COLUMNS(_xlpm.s),"All steps complete",_xlfn.LET(_xlpm.last,IFERROR(LOOKUP(2,1/((_xlpm.s="● Complete")+(_xlpm.s="● Not required")),COLUMN(_xlpm.s)-COLUMN(D14)+1),0),_xlpm.nxt,IFERROR(MATCH(1,(_xlpm.s="")*(_xlfn.SEQUENCE(1,COLUMNS(_xlpm.s))&gt;_xlpm.last),0),IFERROR(MATCH("",_xlpm.s,0),0)),IF(_xlpm.nxt=0,"No current step","Not Started: "&amp;INDEX(_xlpm.h,1,_xlpm.nxt))))))))</f>
      </c>
      <c r="D14" s="38"/>
      <c r="E14" s="39"/>
      <c r="F14" s="38"/>
      <c r="G14" s="39"/>
      <c r="H14" s="40"/>
      <c r="I14" s="38"/>
      <c r="J14" s="39"/>
      <c r="K14" s="38"/>
      <c r="L14" s="39"/>
      <c r="M14" s="40"/>
      <c r="N14" s="14">
        <f>IF(A14="","",COUNTIF(Actions!$E$80:$E$89,"Open")+COUNTIF(Actions!$E$80:$E$89,"In progress")+COUNTIF(Actions!$E$80:$E$89,"Blocked"))</f>
      </c>
      <c r="O14" s="14">
        <f ca="1">IF(A14="","",COUNTIF(Actions!$G$80:$G$89,"Overdue"))</f>
      </c>
      <c r="P14" s="11"/>
      <c r="Q14"/>
      <c r="R14" t="str">
        <f>IF(A14="","",Q14&amp;" · "&amp;A14)</f>
      </c>
    </row>
    <row r="15" spans="1:18" ht="21.55" customHeight="1" ns3:dyDescent="0.4">
      <c r="A15" s="11"/>
      <c r="B15" s="12"/>
      <c r="C15" s="32" t="str" cm="1">
        <f t="array" ref="C15">IF(A15="","",_xlfn.LET(_xlpm.s,D15:M15,_xlpm.h,$D$5:$M$5,_xlpm.g,COUNTIF(_xlpm.s,"● Complete")+COUNTIF(_xlpm.s,"● Not required"),IF(COUNTIF(_xlpm.s,"● Blocked")&gt;0,"Blocked: "&amp;INDEX(_xlpm.h,1,MATCH("● Blocked",_xlpm.s,0)),IF(COUNTIF(_xlpm.s,"● In Progress")&gt;0,"In Progress: "&amp;INDEX(_xlpm.h,1,MATCH("● In Progress",_xlpm.s,0)),IF(_xlpm.g=COLUMNS(_xlpm.s),"All steps complete",_xlfn.LET(_xlpm.last,IFERROR(LOOKUP(2,1/((_xlpm.s="● Complete")+(_xlpm.s="● Not required")),COLUMN(_xlpm.s)-COLUMN(D15)+1),0),_xlpm.nxt,IFERROR(MATCH(1,(_xlpm.s="")*(_xlfn.SEQUENCE(1,COLUMNS(_xlpm.s))&gt;_xlpm.last),0),IFERROR(MATCH("",_xlpm.s,0),0)),IF(_xlpm.nxt=0,"No current step","Not Started: "&amp;INDEX(_xlpm.h,1,_xlpm.nxt))))))))</f>
      </c>
      <c r="D15" s="38"/>
      <c r="E15" s="39"/>
      <c r="F15" s="38"/>
      <c r="G15" s="39"/>
      <c r="H15" s="40"/>
      <c r="I15" s="38"/>
      <c r="J15" s="39"/>
      <c r="K15" s="38"/>
      <c r="L15" s="39"/>
      <c r="M15" s="40"/>
      <c r="N15" s="14" t="str">
        <f>IF(A15="","",COUNTIF(Actions!$E$91:$E$96,"Open")+COUNTIF(Actions!$E$91:$E$96,"In progress")+COUNTIF(Actions!$E$91:$E$96,"Blocked"))</f>
      </c>
      <c r="O15" s="14" t="str">
        <f>IF(A15="","",COUNTIF(Actions!$G$91:$G$96,"Overdue"))</f>
      </c>
      <c r="P15" s="11"/>
      <c r="Q15"/>
      <c r="R15" t="str">
        <f>IF(A15="","",Q15&amp;" · "&amp;A15)</f>
      </c>
    </row>
    <row r="16" spans="1:18" ht="21.55" customHeight="1" ns3:dyDescent="0.4">
      <c r="A16" s="11"/>
      <c r="B16" s="12"/>
      <c r="C16" s="32" t="str" cm="1">
        <f t="array" ref="C16">IF(A16="","",_xlfn.LET(_xlpm.s,D16:M16,_xlpm.h,$D$5:$M$5,_xlpm.g,COUNTIF(_xlpm.s,"● Complete")+COUNTIF(_xlpm.s,"● Not required"),IF(COUNTIF(_xlpm.s,"● Blocked")&gt;0,"Blocked: "&amp;INDEX(_xlpm.h,1,MATCH("● Blocked",_xlpm.s,0)),IF(COUNTIF(_xlpm.s,"● In Progress")&gt;0,"In Progress: "&amp;INDEX(_xlpm.h,1,MATCH("● In Progress",_xlpm.s,0)),IF(_xlpm.g=COLUMNS(_xlpm.s),"All steps complete",_xlfn.LET(_xlpm.last,IFERROR(LOOKUP(2,1/((_xlpm.s="● Complete")+(_xlpm.s="● Not required")),COLUMN(_xlpm.s)-COLUMN(D16)+1),0),_xlpm.nxt,IFERROR(MATCH(1,(_xlpm.s="")*(_xlfn.SEQUENCE(1,COLUMNS(_xlpm.s))&gt;_xlpm.last),0),IFERROR(MATCH("",_xlpm.s,0),0)),IF(_xlpm.nxt=0,"No current step","Not Started: "&amp;INDEX(_xlpm.h,1,_xlpm.nxt))))))))</f>
      </c>
      <c r="D16" s="38"/>
      <c r="E16" s="39"/>
      <c r="F16" s="38"/>
      <c r="G16" s="39"/>
      <c r="H16" s="40"/>
      <c r="I16" s="38"/>
      <c r="J16" s="39"/>
      <c r="K16" s="38"/>
      <c r="L16" s="39"/>
      <c r="M16" s="40"/>
      <c r="N16" s="14" t="str">
        <f>IF(A16="","",0)</f>
      </c>
      <c r="O16" s="14" t="str">
        <f>IF(A16="","",0)</f>
      </c>
      <c r="P16" s="11"/>
      <c r="Q16"/>
      <c r="R16" t="str">
        <f>IF(A16="","",Q16&amp;" · "&amp;A16)</f>
      </c>
    </row>
    <row r="17" spans="1:18" ht="24" customHeight="1" ns3:dyDescent="0.4">
      <c r="A17" s="5"/>
      <c r="B17" s="6"/>
      <c r="C17" s="31" t="str" cm="1">
        <f t="array" ref="C17">COUNTA(A18:A20)&amp;IF(COUNTA(A18:A20)=1," initiative"," initiatives")</f>
      </c>
      <c r="D17" s="50"/>
      <c r="E17" s="51"/>
      <c r="F17" s="51"/>
      <c r="G17" s="51"/>
      <c r="H17" s="51"/>
      <c r="I17" s="51"/>
      <c r="J17" s="51"/>
      <c r="K17" s="51"/>
      <c r="L17" s="51"/>
      <c r="M17" s="52"/>
      <c r="N17" s="22"/>
      <c r="O17" s="22"/>
      <c r="P17" s="23"/>
      <c r="Q17"/>
    </row>
    <row r="18" spans="1:18" ht="21.55" customHeight="1" ns3:dyDescent="0.4">
      <c r="A18" s="11"/>
      <c r="B18" s="12"/>
      <c r="C18" s="32" t="str" cm="1">
        <f t="array" ref="C18">IF(A18="","",_xlfn.LET(_xlpm.s,D18:M18,_xlpm.h,$D$5:$M$5,_xlpm.g,COUNTIF(_xlpm.s,"● Complete")+COUNTIF(_xlpm.s,"● Not required"),IF(COUNTIF(_xlpm.s,"● Blocked")&gt;0,"Blocked: "&amp;INDEX(_xlpm.h,1,MATCH("● Blocked",_xlpm.s,0)),IF(COUNTIF(_xlpm.s,"● In Progress")&gt;0,"In Progress: "&amp;INDEX(_xlpm.h,1,MATCH("● In Progress",_xlpm.s,0)),IF(_xlpm.g=COLUMNS(_xlpm.s),"All steps complete",_xlfn.LET(_xlpm.last,IFERROR(LOOKUP(2,1/((_xlpm.s="● Complete")+(_xlpm.s="● Not required")),COLUMN(_xlpm.s)-COLUMN(D18)+1),0),_xlpm.nxt,IFERROR(MATCH(1,(_xlpm.s="")*(_xlfn.SEQUENCE(1,COLUMNS(_xlpm.s))&gt;_xlpm.last),0),IFERROR(MATCH("",_xlpm.s,0),0)),IF(_xlpm.nxt=0,"No current step","Not Started: "&amp;INDEX(_xlpm.h,1,_xlpm.nxt))))))))</f>
      </c>
      <c r="D18" s="38"/>
      <c r="E18" s="39"/>
      <c r="F18" s="38"/>
      <c r="G18" s="39"/>
      <c r="H18" s="40"/>
      <c r="I18" s="38"/>
      <c r="J18" s="39"/>
      <c r="K18" s="38"/>
      <c r="L18" s="39"/>
      <c r="M18" s="40"/>
      <c r="N18" s="14">
        <f>IF(A18="","",COUNTIF(Actions!$E$100:$E$109,"Open")+COUNTIF(Actions!$E$100:$E$109,"In progress")+COUNTIF(Actions!$E$100:$E$109,"Blocked"))</f>
      </c>
      <c r="O18" s="14">
        <f ca="1">IF(A18="","",COUNTIF(Actions!$G$100:$G$109,"Overdue"))</f>
      </c>
      <c r="P18" s="11"/>
      <c r="Q18"/>
      <c r="R18" t="str">
        <f>IF(A18="","",Q18&amp;" · "&amp;A18)</f>
      </c>
    </row>
    <row r="19" spans="1:18" ht="21.55" customHeight="1" ns3:dyDescent="0.4">
      <c r="A19" s="11"/>
      <c r="B19" s="12"/>
      <c r="C19" s="32" t="str" cm="1">
        <f t="array" ref="C19">IF(A19="","",_xlfn.LET(_xlpm.s,D19:M19,_xlpm.h,$D$5:$M$5,_xlpm.g,COUNTIF(_xlpm.s,"● Complete")+COUNTIF(_xlpm.s,"● Not required"),IF(COUNTIF(_xlpm.s,"● Blocked")&gt;0,"Blocked: "&amp;INDEX(_xlpm.h,1,MATCH("● Blocked",_xlpm.s,0)),IF(COUNTIF(_xlpm.s,"● In Progress")&gt;0,"In Progress: "&amp;INDEX(_xlpm.h,1,MATCH("● In Progress",_xlpm.s,0)),IF(_xlpm.g=COLUMNS(_xlpm.s),"All steps complete",_xlfn.LET(_xlpm.last,IFERROR(LOOKUP(2,1/((_xlpm.s="● Complete")+(_xlpm.s="● Not required")),COLUMN(_xlpm.s)-COLUMN(D19)+1),0),_xlpm.nxt,IFERROR(MATCH(1,(_xlpm.s="")*(_xlfn.SEQUENCE(1,COLUMNS(_xlpm.s))&gt;_xlpm.last),0),IFERROR(MATCH("",_xlpm.s,0),0)),IF(_xlpm.nxt=0,"No current step","Not Started: "&amp;INDEX(_xlpm.h,1,_xlpm.nxt))))))))</f>
      </c>
      <c r="D19" s="38"/>
      <c r="E19" s="39"/>
      <c r="F19" s="38"/>
      <c r="G19" s="39"/>
      <c r="H19" s="40"/>
      <c r="I19" s="38"/>
      <c r="J19" s="39"/>
      <c r="K19" s="38"/>
      <c r="L19" s="39"/>
      <c r="M19" s="40"/>
      <c r="N19" s="14" t="str">
        <f>IF(A19="","",COUNTIF(Actions!$E$111:$E$116,"Open")+COUNTIF(Actions!$E$111:$E$116,"In progress")+COUNTIF(Actions!$E$111:$E$116,"Blocked"))</f>
      </c>
      <c r="O19" s="14" t="str">
        <f>IF(A19="","",COUNTIF(Actions!$G$111:$G$116,"Overdue"))</f>
      </c>
      <c r="P19" s="11"/>
      <c r="Q19"/>
      <c r="R19" t="str">
        <f>IF(A19="","",Q19&amp;" · "&amp;A19)</f>
      </c>
    </row>
    <row r="20" spans="1:18" ht="21.55" customHeight="1" ns3:dyDescent="0.4">
      <c r="A20" s="11"/>
      <c r="B20" s="12"/>
      <c r="C20" s="32" t="str" cm="1">
        <f t="array" ref="C20">IF(A20="","",_xlfn.LET(_xlpm.s,D20:M20,_xlpm.h,$D$5:$M$5,_xlpm.g,COUNTIF(_xlpm.s,"● Complete")+COUNTIF(_xlpm.s,"● Not required"),IF(COUNTIF(_xlpm.s,"● Blocked")&gt;0,"Blocked: "&amp;INDEX(_xlpm.h,1,MATCH("● Blocked",_xlpm.s,0)),IF(COUNTIF(_xlpm.s,"● In Progress")&gt;0,"In Progress: "&amp;INDEX(_xlpm.h,1,MATCH("● In Progress",_xlpm.s,0)),IF(_xlpm.g=COLUMNS(_xlpm.s),"All steps complete",_xlfn.LET(_xlpm.last,IFERROR(LOOKUP(2,1/((_xlpm.s="● Complete")+(_xlpm.s="● Not required")),COLUMN(_xlpm.s)-COLUMN(D20)+1),0),_xlpm.nxt,IFERROR(MATCH(1,(_xlpm.s="")*(_xlfn.SEQUENCE(1,COLUMNS(_xlpm.s))&gt;_xlpm.last),0),IFERROR(MATCH("",_xlpm.s,0),0)),IF(_xlpm.nxt=0,"No current step","Not Started: "&amp;INDEX(_xlpm.h,1,_xlpm.nxt))))))))</f>
      </c>
      <c r="D20" s="38"/>
      <c r="E20" s="39"/>
      <c r="F20" s="38"/>
      <c r="G20" s="39"/>
      <c r="H20" s="40"/>
      <c r="I20" s="38"/>
      <c r="J20" s="39"/>
      <c r="K20" s="38"/>
      <c r="L20" s="39"/>
      <c r="M20" s="40"/>
      <c r="N20" s="14" t="str">
        <f>IF(A20="","",0)</f>
      </c>
      <c r="O20" s="14" t="str">
        <f>IF(A20="","",0)</f>
      </c>
      <c r="P20" s="11"/>
      <c r="Q20"/>
      <c r="R20" t="str">
        <f>IF(A20="","",Q20&amp;" · "&amp;A20)</f>
      </c>
    </row>
    <row r="22" spans="1:18" ns3:dyDescent="0.4">
      <c r="A22" s="8"/>
    </row>
    <row r="23" spans="1:18" ns3:dyDescent="0.4">
      <c r="A23" s="7"/>
    </row>
  </sheetData>
  <mergeCells count="11">
    <mergeCell ref="H3:M3"/>
    <mergeCell ref="A4:A5"/>
    <mergeCell ref="C4:C5"/>
    <mergeCell ref="P4:P5"/>
    <mergeCell ref="B4:B5"/>
    <mergeCell ref="O4:O5"/>
    <mergeCell ref="N4:N5"/>
    <mergeCell ref="D4:E4"/>
    <mergeCell ref="F4:G4"/>
    <mergeCell ref="I4:J4"/>
    <mergeCell ref="K4:L4"/>
  </mergeCells>
  <conditionalFormatting sqref="N7:O11">
    <cfRule type="expression" dxfId="8" priority="6">
      <formula>OR(N7="Not recorded",N7="No current step")</formula>
    </cfRule>
  </conditionalFormatting>
  <conditionalFormatting sqref="N13:O16">
    <cfRule type="expression" dxfId="7" priority="2">
      <formula>OR(N13="Not recorded",N13="No current step")</formula>
    </cfRule>
  </conditionalFormatting>
  <conditionalFormatting sqref="N18:O20">
    <cfRule type="expression" dxfId="6" priority="1">
      <formula>OR(N18="Not recorded",N18="No current step")</formula>
    </cfRule>
  </conditionalFormatting>
  <pageMargins left="0.7" right="0.7" top="0.75" bottom="0.75" header="0.3" footer="0.3"/>
  <extLst>
    <ext uri="{CCE6A557-97BC-4b89-ADB6-D9C93CAAB3DF}">
      <ns4:dataValidations count="1">
        <ns4:dataValidation type="list" ns2:uid="{00000000-0002-0000-0100-000000000000}">
          <ns4:formula1>
            <ns5:f>Lists!$A$2:$A$6</ns5:f>
          </ns4:formula1>
          <ns5:sqref>D6:M20</ns5:sqref>
        </ns4:dataValidation>
      </ns4:dataValidations>
    </ext>
  </extLst>
</worksheet>
</file>

<file path=xl/worksheets/sheet3.xml><?xml version="1.0" encoding="utf-8"?>
<worksheet xmlns="http://schemas.openxmlformats.org/spreadsheetml/2006/main" xmlns:ns1="http://schemas.openxmlformats.org/markup-compatibility/2006" xmlns:ns2="http://schemas.microsoft.com/office/spreadsheetml/2014/revision" xmlns:ns3="http://schemas.microsoft.com/office/spreadsheetml/2009/9/ac" xmlns:ns4="http://schemas.microsoft.com/office/spreadsheetml/2009/9/main" xmlns:ns5="http://schemas.microsoft.com/office/excel/2006/main" ns1:Ignorable="x14ac xr xr2 xr3" ns2:uid="{00000000-0001-0000-0200-000000000000}">
  <sheetPr filterMode="1">
    <tabColor rgb="FF146C74"/>
  </sheetPr>
  <dimension ref="A1:H118"/>
  <sheetViews>
    <sheetView showGridLines="0" tabSelected="1" zoomScale="80" zoomScaleNormal="80" workbookViewId="0">
      <pane ySplit="3" topLeftCell="A80" activePane="bottomLeft" state="frozen"/>
      <selection pane="bottomLeft" activeCell="B112" sqref="B112"/>
    </sheetView>
  </sheetViews>
  <sheetFormatPr defaultRowHeight="14.6" outlineLevelRow="2" ns3:dyDescent="0.4"/>
  <cols>
    <col min="1" max="1" width="14.3046875" style="35" customWidth="1"/>
    <col min="2" max="2" width="77.4609375" style="35" customWidth="1"/>
    <col min="3" max="3" width="14.4609375" style="36" customWidth="1"/>
    <col min="4" max="4" width="11.53515625" style="36" customWidth="1"/>
    <col min="5" max="5" width="10.53515625" style="36" customWidth="1"/>
    <col min="6" max="6" width="61.15234375" style="37" customWidth="1"/>
    <col min="7" max="7" width="14.921875" style="35" bestFit="1" customWidth="1"/>
    <col min="8" max="8" width="0" style="35" hidden="1" customWidth="1"/>
    <col min="9" max="16384" width="9.23046875" style="35"/>
  </cols>
  <sheetData>
    <row r="1" spans="1:8" ht="20.149999999999999" customHeight="1" ns3:dyDescent="0.4">
      <c r="A1" s="34" t="s">
        <v>31</v>
      </c>
    </row>
    <row r="3" spans="1:8" ht="24" customHeight="1" ns3:dyDescent="0.4">
      <c r="A3" s="4" t="s">
        <v>32</v>
      </c>
      <c r="B3" s="4" t="s">
        <v>33</v>
      </c>
      <c r="C3" s="4" t="s">
        <v>34</v>
      </c>
      <c r="D3" s="4" t="s">
        <v>35</v>
      </c>
      <c r="E3" s="4" t="s">
        <v>36</v>
      </c>
      <c r="F3" s="49" t="s">
        <v>37</v>
      </c>
      <c r="G3" s="4" t="s">
        <v>38</v>
      </c>
      <c r="H3" s="35" t="s">
        <v>87</v>
      </c>
    </row>
    <row r="4" spans="1:8" ht="22" customHeight="1" ns3:dyDescent="0.4">
      <c r="A4" s="59" t="str">
        <f ca="1">"Programme Portfolio 1   —   "&amp;(COUNTIF($E$6:$E$59,"Open")+COUNTIF($E$6:$E$59,"In progress")+COUNTIF($E$6:$E$59,"Blocked"))&amp;" open · "&amp;COUNTIF($G$6:$G$59,"Overdue")&amp;" overdue"</f>
      </c>
      <c r="B4" s="60"/>
      <c r="C4" s="60"/>
      <c r="D4" s="60"/>
      <c r="E4" s="60"/>
      <c r="F4" s="60"/>
      <c r="G4" s="61"/>
      <c r="H4" s="35" t="str">
        <f>IF(OR($E4="Open",$E4="In progress",$E4="Blocked",$E4=""),"Show","Archive")</f>
      </c>
    </row>
    <row r="5" spans="1:8" ht="22" customHeight="1" outlineLevel="1" ns3:dyDescent="0.4">
      <c r="A5" s="56" t="str">
        <f ca="1">"Programme 1 · General Transition   —   "&amp;(COUNTIF($E$6:$E$11,"Open")+COUNTIF($E$6:$E$11,"In progress")+COUNTIF($E$6:$E$11,"Blocked"))&amp;" open · "&amp;COUNTIF($G$6:$G$11,"Overdue")&amp;" overdue"</f>
      </c>
      <c r="B5" s="57"/>
      <c r="C5" s="57"/>
      <c r="D5" s="57"/>
      <c r="E5" s="57"/>
      <c r="F5" s="57"/>
      <c r="G5" s="58"/>
      <c r="H5" s="35" t="str">
        <f t="shared" ref="H5:H68" si="0">IF(OR($E5="Open",$E5="In progress",$E5="Blocked",$E5=""),"Show","Archive")</f>
      </c>
    </row>
    <row r="6" spans="1:8" ht="20.05" customHeight="1" outlineLevel="2" ns3:dyDescent="0.4">
      <c r="A6" s="15"/>
      <c r="B6" s="15"/>
      <c r="C6" s="12"/>
      <c r="D6" s="33"/>
      <c r="E6" s="13"/>
      <c r="F6" s="11"/>
      <c r="G6" s="16" t="str">
        <f ca="1">IF(AND(B6&lt;&gt;"",ISNUMBER(D6),OR(E6="Open",E6="In progress",E6="Blocked")),IF(D6&lt;TODAY(),"Overdue",""),"")</f>
      </c>
      <c r="H6" s="35" t="str">
        <f t="shared" si="0"/>
      </c>
    </row>
    <row r="7" spans="1:8" ht="20.05" customHeight="1" outlineLevel="2" ns3:dyDescent="0.4">
      <c r="A7" s="15"/>
      <c r="B7" s="15"/>
      <c r="C7" s="12"/>
      <c r="D7" s="33"/>
      <c r="E7" s="13"/>
      <c r="F7" s="11"/>
      <c r="G7" s="16" t="str">
        <f t="shared" ref="G7:G11" ca="1" si="1">IF(AND(B7&lt;&gt;"",ISNUMBER(D7),OR(E7="Open",E7="In progress",E7="Blocked")),IF(D7&lt;TODAY(),"Overdue",""),"")</f>
      </c>
      <c r="H7" s="35" t="str">
        <f t="shared" si="0"/>
      </c>
    </row>
    <row r="8" spans="1:8" ht="20.05" customHeight="1" outlineLevel="2" ns3:dyDescent="0.4">
      <c r="A8" s="15"/>
      <c r="B8" s="15"/>
      <c r="C8" s="12"/>
      <c r="D8" s="33"/>
      <c r="E8" s="13"/>
      <c r="F8" s="11"/>
      <c r="G8" s="16" t="str">
        <f t="shared" ca="1" si="1"/>
      </c>
      <c r="H8" s="35" t="str">
        <f t="shared" si="0"/>
      </c>
    </row>
    <row r="9" spans="1:8" ht="20.05" customHeight="1" outlineLevel="2" ns3:dyDescent="0.4">
      <c r="A9" s="15"/>
      <c r="B9" s="15"/>
      <c r="C9" s="12"/>
      <c r="D9" s="33"/>
      <c r="E9" s="13"/>
      <c r="F9" s="11"/>
      <c r="G9" s="16" t="str">
        <f t="shared" ca="1" si="1"/>
      </c>
      <c r="H9" s="35" t="str">
        <f t="shared" si="0"/>
      </c>
    </row>
    <row r="10" spans="1:8" ht="20.05" customHeight="1" outlineLevel="2" ns3:dyDescent="0.4">
      <c r="A10" s="15"/>
      <c r="B10" s="15"/>
      <c r="C10" s="12"/>
      <c r="D10" s="33"/>
      <c r="E10" s="13"/>
      <c r="F10" s="11"/>
      <c r="G10" s="16" t="str">
        <f t="shared" ca="1" si="1"/>
      </c>
      <c r="H10" s="35" t="str">
        <f t="shared" si="0"/>
      </c>
    </row>
    <row r="11" spans="1:8" ht="20.05" customHeight="1" outlineLevel="2" ns3:dyDescent="0.4">
      <c r="A11" s="15"/>
      <c r="B11" s="15"/>
      <c r="C11" s="12"/>
      <c r="D11" s="33"/>
      <c r="E11" s="13"/>
      <c r="F11" s="11"/>
      <c r="G11" s="16" t="str">
        <f t="shared" ca="1" si="1"/>
      </c>
      <c r="H11" s="35" t="str">
        <f t="shared" si="0"/>
      </c>
    </row>
    <row r="12" spans="1:8" ht="22" customHeight="1" outlineLevel="1" ns3:dyDescent="0.4">
      <c r="A12" s="56" t="str">
        <f ca="1">"Programme 1 · Workstream 1   —   "&amp;(COUNTIF($E$13:$E$22,"Open")+COUNTIF($E$13:$E$22,"In progress")+COUNTIF($E$13:$E$22,"Blocked"))&amp;" open · "&amp;COUNTIF($G$13:$G$22,"Overdue")&amp;" overdue"</f>
      </c>
      <c r="B12" s="57"/>
      <c r="C12" s="57"/>
      <c r="D12" s="57"/>
      <c r="E12" s="57"/>
      <c r="F12" s="57"/>
      <c r="G12" s="58"/>
      <c r="H12" s="35" t="str">
        <f t="shared" si="0"/>
      </c>
    </row>
    <row r="13" spans="1:8" ht="20.05" customHeight="1" outlineLevel="2" ns3:dyDescent="0.4">
      <c r="A13" s="15"/>
      <c r="B13" s="45"/>
      <c r="C13" s="47"/>
      <c r="D13" s="33"/>
      <c r="E13" s="48"/>
      <c r="F13" s="46"/>
      <c r="G13" s="16" t="str">
        <f ca="1">IF(AND(B13&lt;&gt;"",ISNUMBER(D13),OR(E13="Open",E13="In progress",E13="Blocked")),IF(D13&lt;TODAY(),"Overdue",""),"")</f>
      </c>
      <c r="H13" s="35" t="str">
        <f t="shared" si="0"/>
      </c>
    </row>
    <row r="14" spans="1:8" ht="20.05" customHeight="1" outlineLevel="2" ns3:dyDescent="0.4">
      <c r="A14" s="15"/>
      <c r="B14" s="15"/>
      <c r="C14" s="12"/>
      <c r="D14" s="33"/>
      <c r="E14" s="13"/>
      <c r="F14" s="11"/>
      <c r="G14" s="16" t="str">
        <f t="shared" ref="G14:G22" ca="1" si="2">IF(AND(B14&lt;&gt;"",ISNUMBER(D14),OR(E14="Open",E14="In progress",E14="Blocked")),IF(D14&lt;TODAY(),"Overdue",""),"")</f>
      </c>
      <c r="H14" s="35" t="str">
        <f t="shared" si="0"/>
      </c>
    </row>
    <row r="15" spans="1:8" ht="20.05" customHeight="1" outlineLevel="2" ns3:dyDescent="0.4">
      <c r="A15" s="15"/>
      <c r="B15" s="15"/>
      <c r="C15" s="12"/>
      <c r="D15" s="33"/>
      <c r="E15" s="13"/>
      <c r="F15" s="11"/>
      <c r="G15" s="16" t="str">
        <f t="shared" ca="1" si="2"/>
      </c>
      <c r="H15" s="35" t="str">
        <f t="shared" si="0"/>
      </c>
    </row>
    <row r="16" spans="1:8" ht="20.05" customHeight="1" outlineLevel="2" ns3:dyDescent="0.4">
      <c r="A16" s="15"/>
      <c r="B16" s="15"/>
      <c r="C16" s="12"/>
      <c r="D16" s="33"/>
      <c r="E16" s="13"/>
      <c r="F16" s="11"/>
      <c r="G16" s="16" t="str">
        <f t="shared" ca="1" si="2"/>
      </c>
      <c r="H16" s="35" t="str">
        <f t="shared" si="0"/>
      </c>
    </row>
    <row r="17" spans="1:8" ht="20.05" customHeight="1" outlineLevel="2" ns3:dyDescent="0.4">
      <c r="A17" s="15"/>
      <c r="B17" s="15"/>
      <c r="C17" s="12"/>
      <c r="D17" s="33"/>
      <c r="E17" s="13"/>
      <c r="F17" s="11"/>
      <c r="G17" s="16" t="str">
        <f t="shared" ca="1" si="2"/>
      </c>
      <c r="H17" s="35" t="str">
        <f t="shared" si="0"/>
      </c>
    </row>
    <row r="18" spans="1:8" ht="20.05" customHeight="1" outlineLevel="2" ns3:dyDescent="0.4">
      <c r="A18" s="15"/>
      <c r="B18" s="15"/>
      <c r="C18" s="12"/>
      <c r="D18" s="33"/>
      <c r="E18" s="13"/>
      <c r="F18" s="11"/>
      <c r="G18" s="16" t="str">
        <f t="shared" ca="1" si="2"/>
      </c>
      <c r="H18" s="35" t="str">
        <f t="shared" si="0"/>
      </c>
    </row>
    <row r="19" spans="1:8" ht="20.05" customHeight="1" outlineLevel="2" ns3:dyDescent="0.4">
      <c r="A19" s="15"/>
      <c r="B19" s="15"/>
      <c r="C19" s="12"/>
      <c r="D19" s="33"/>
      <c r="E19" s="13"/>
      <c r="F19" s="11"/>
      <c r="G19" s="16" t="str">
        <f t="shared" ca="1" si="2"/>
      </c>
      <c r="H19" s="35" t="str">
        <f t="shared" si="0"/>
      </c>
    </row>
    <row r="20" spans="1:8" ht="20.05" customHeight="1" outlineLevel="2" ns3:dyDescent="0.4">
      <c r="A20" s="15"/>
      <c r="B20" s="15"/>
      <c r="C20" s="12"/>
      <c r="D20" s="33"/>
      <c r="E20" s="13"/>
      <c r="F20" s="11"/>
      <c r="G20" s="16" t="str">
        <f t="shared" ca="1" si="2"/>
      </c>
      <c r="H20" s="35" t="str">
        <f t="shared" si="0"/>
      </c>
    </row>
    <row r="21" spans="1:8" ht="20.05" customHeight="1" outlineLevel="2" ns3:dyDescent="0.4">
      <c r="A21" s="15"/>
      <c r="B21" s="15"/>
      <c r="C21" s="12"/>
      <c r="D21" s="33"/>
      <c r="E21" s="13"/>
      <c r="F21" s="11"/>
      <c r="G21" s="16" t="str">
        <f t="shared" ca="1" si="2"/>
      </c>
      <c r="H21" s="35" t="str">
        <f t="shared" si="0"/>
      </c>
    </row>
    <row r="22" spans="1:8" ht="20.05" customHeight="1" outlineLevel="2" ns3:dyDescent="0.4">
      <c r="A22" s="15"/>
      <c r="B22" s="15"/>
      <c r="C22" s="12"/>
      <c r="D22" s="33"/>
      <c r="E22" s="13"/>
      <c r="F22" s="11"/>
      <c r="G22" s="16" t="str">
        <f t="shared" ca="1" si="2"/>
      </c>
      <c r="H22" s="35" t="str">
        <f t="shared" si="0"/>
      </c>
    </row>
    <row r="23" spans="1:8" ht="22" customHeight="1" outlineLevel="1" ns3:dyDescent="0.4">
      <c r="A23" s="56" t="str">
        <f ca="1">"Programme 1 · Workstream 2   —   "&amp;(COUNTIF($E$24:$E$33,"Open")+COUNTIF($E$24:$E$33,"In progress")+COUNTIF($E$24:$E$33,"Blocked"))&amp;" open · "&amp;COUNTIF($G$24:$G$33,"Overdue")&amp;" overdue"</f>
      </c>
      <c r="B23" s="57"/>
      <c r="C23" s="57"/>
      <c r="D23" s="57"/>
      <c r="E23" s="57"/>
      <c r="F23" s="57"/>
      <c r="G23" s="58"/>
      <c r="H23" s="35" t="str">
        <f t="shared" si="0"/>
      </c>
    </row>
    <row r="24" spans="1:8" ht="20.05" customHeight="1" outlineLevel="2" ns3:dyDescent="0.4">
      <c r="A24" s="15"/>
      <c r="B24" s="45"/>
      <c r="C24" s="47"/>
      <c r="D24" s="33"/>
      <c r="E24" s="13"/>
      <c r="F24" s="11"/>
      <c r="G24" s="16" t="str">
        <f ca="1">IF(AND(B24&lt;&gt;"",ISNUMBER(D24),OR(E24="Open",E24="In progress",E24="Blocked")),IF(D24&lt;TODAY(),"Overdue",""),"")</f>
      </c>
      <c r="H24" s="35" t="str">
        <f t="shared" si="0"/>
      </c>
    </row>
    <row r="25" spans="1:8" ht="20.05" customHeight="1" outlineLevel="2" ns3:dyDescent="0.4">
      <c r="A25" s="15"/>
      <c r="B25" s="15"/>
      <c r="C25" s="12"/>
      <c r="D25" s="33"/>
      <c r="E25" s="13"/>
      <c r="F25" s="11"/>
      <c r="G25" s="16" t="str">
        <f t="shared" ref="G25:G33" ca="1" si="3">IF(AND(B25&lt;&gt;"",ISNUMBER(D25),OR(E25="Open",E25="In progress",E25="Blocked")),IF(D25&lt;TODAY(),"Overdue",""),"")</f>
      </c>
      <c r="H25" s="35" t="str">
        <f t="shared" si="0"/>
      </c>
    </row>
    <row r="26" spans="1:8" ht="20.05" customHeight="1" outlineLevel="2" ns3:dyDescent="0.4">
      <c r="A26" s="15"/>
      <c r="B26" s="15"/>
      <c r="C26" s="12"/>
      <c r="D26" s="33"/>
      <c r="E26" s="13"/>
      <c r="F26" s="11"/>
      <c r="G26" s="16" t="str">
        <f t="shared" ca="1" si="3"/>
      </c>
      <c r="H26" s="35" t="str">
        <f t="shared" si="0"/>
      </c>
    </row>
    <row r="27" spans="1:8" ht="20.05" customHeight="1" outlineLevel="2" ns3:dyDescent="0.4">
      <c r="A27" s="15"/>
      <c r="B27" s="15"/>
      <c r="C27" s="12"/>
      <c r="D27" s="33"/>
      <c r="E27" s="13"/>
      <c r="F27" s="11"/>
      <c r="G27" s="16" t="str">
        <f t="shared" ca="1" si="3"/>
      </c>
      <c r="H27" s="35" t="str">
        <f t="shared" si="0"/>
      </c>
    </row>
    <row r="28" spans="1:8" ht="20.05" customHeight="1" outlineLevel="2" ns3:dyDescent="0.4">
      <c r="A28" s="15"/>
      <c r="B28" s="15"/>
      <c r="C28" s="12"/>
      <c r="D28" s="33"/>
      <c r="E28" s="13"/>
      <c r="F28" s="11"/>
      <c r="G28" s="16" t="str">
        <f t="shared" ca="1" si="3"/>
      </c>
      <c r="H28" s="35" t="str">
        <f t="shared" si="0"/>
      </c>
    </row>
    <row r="29" spans="1:8" ht="20.05" customHeight="1" outlineLevel="2" ns3:dyDescent="0.4">
      <c r="A29" s="15"/>
      <c r="B29" s="15"/>
      <c r="C29" s="12"/>
      <c r="D29" s="33"/>
      <c r="E29" s="13"/>
      <c r="F29" s="11"/>
      <c r="G29" s="16" t="str">
        <f t="shared" ca="1" si="3"/>
      </c>
      <c r="H29" s="35" t="str">
        <f t="shared" si="0"/>
      </c>
    </row>
    <row r="30" spans="1:8" ht="20.05" customHeight="1" outlineLevel="2" ns3:dyDescent="0.4">
      <c r="A30" s="15"/>
      <c r="B30" s="15"/>
      <c r="C30" s="12"/>
      <c r="D30" s="33"/>
      <c r="E30" s="13"/>
      <c r="F30" s="11"/>
      <c r="G30" s="16" t="str">
        <f t="shared" ca="1" si="3"/>
      </c>
      <c r="H30" s="35" t="str">
        <f t="shared" si="0"/>
      </c>
    </row>
    <row r="31" spans="1:8" ht="20.05" customHeight="1" outlineLevel="2" ns3:dyDescent="0.4">
      <c r="A31" s="15"/>
      <c r="B31" s="15"/>
      <c r="C31" s="12"/>
      <c r="D31" s="33"/>
      <c r="E31" s="13"/>
      <c r="F31" s="11"/>
      <c r="G31" s="16" t="str">
        <f t="shared" ca="1" si="3"/>
      </c>
      <c r="H31" s="35" t="str">
        <f t="shared" si="0"/>
      </c>
    </row>
    <row r="32" spans="1:8" ht="20.05" customHeight="1" outlineLevel="2" ns3:dyDescent="0.4">
      <c r="A32" s="15"/>
      <c r="B32" s="15"/>
      <c r="C32" s="12"/>
      <c r="D32" s="33"/>
      <c r="E32" s="13"/>
      <c r="F32" s="11"/>
      <c r="G32" s="16" t="str">
        <f t="shared" ca="1" si="3"/>
      </c>
      <c r="H32" s="35" t="str">
        <f t="shared" si="0"/>
      </c>
    </row>
    <row r="33" spans="1:8" ht="20.05" customHeight="1" outlineLevel="2" ns3:dyDescent="0.4">
      <c r="A33" s="15"/>
      <c r="B33" s="15"/>
      <c r="C33" s="12"/>
      <c r="D33" s="33"/>
      <c r="E33" s="13"/>
      <c r="F33" s="11"/>
      <c r="G33" s="16" t="str">
        <f t="shared" ca="1" si="3"/>
      </c>
      <c r="H33" s="35" t="str">
        <f t="shared" si="0"/>
      </c>
    </row>
    <row r="34" spans="1:8" ht="22" customHeight="1" outlineLevel="1" ns3:dyDescent="0.4">
      <c r="A34" s="56" t="str">
        <f ca="1">"Programme 1 · Workstream 3   —   "&amp;(COUNTIF($E$35:$E$44,"Open")+COUNTIF($E$35:$E$44,"In progress")+COUNTIF($E$35:$E$44,"Blocked"))&amp;" open · "&amp;COUNTIF($G$35:$G$44,"Overdue")&amp;" overdue"</f>
      </c>
      <c r="B34" s="57"/>
      <c r="C34" s="57"/>
      <c r="D34" s="57"/>
      <c r="E34" s="57"/>
      <c r="F34" s="57"/>
      <c r="G34" s="58"/>
      <c r="H34" s="35" t="str">
        <f t="shared" si="0"/>
      </c>
    </row>
    <row r="35" spans="1:8" ht="20.05" customHeight="1" outlineLevel="2" ns3:dyDescent="0.4">
      <c r="A35" s="15"/>
      <c r="B35" s="45"/>
      <c r="C35" s="47"/>
      <c r="D35" s="33"/>
      <c r="E35" s="13"/>
      <c r="F35" s="11"/>
      <c r="G35" s="16" t="str">
        <f ca="1">IF(AND(B35&lt;&gt;"",ISNUMBER(D35),OR(E35="Open",E35="In progress",E35="Blocked")),IF(D35&lt;TODAY(),"Overdue",""),"")</f>
      </c>
      <c r="H35" s="35" t="str">
        <f t="shared" si="0"/>
      </c>
    </row>
    <row r="36" spans="1:8" ht="20.05" customHeight="1" outlineLevel="2" ns3:dyDescent="0.4">
      <c r="A36" s="15"/>
      <c r="B36" s="15"/>
      <c r="C36" s="12"/>
      <c r="D36" s="33"/>
      <c r="E36" s="13"/>
      <c r="F36" s="11"/>
      <c r="G36" s="16" t="str">
        <f t="shared" ref="G36:G44" ca="1" si="4">IF(AND(B36&lt;&gt;"",ISNUMBER(D36),OR(E36="Open",E36="In progress",E36="Blocked")),IF(D36&lt;TODAY(),"Overdue",""),"")</f>
      </c>
      <c r="H36" s="35" t="str">
        <f t="shared" si="0"/>
      </c>
    </row>
    <row r="37" spans="1:8" ht="20.05" customHeight="1" outlineLevel="2" ns3:dyDescent="0.4">
      <c r="A37" s="15"/>
      <c r="B37" s="15"/>
      <c r="C37" s="12"/>
      <c r="D37" s="33"/>
      <c r="E37" s="13"/>
      <c r="F37" s="11"/>
      <c r="G37" s="16" t="str">
        <f t="shared" ca="1" si="4"/>
      </c>
      <c r="H37" s="35" t="str">
        <f t="shared" si="0"/>
      </c>
    </row>
    <row r="38" spans="1:8" ht="20.05" customHeight="1" outlineLevel="2" ns3:dyDescent="0.4">
      <c r="A38" s="15"/>
      <c r="B38" s="15"/>
      <c r="C38" s="12"/>
      <c r="D38" s="33"/>
      <c r="E38" s="13"/>
      <c r="F38" s="11"/>
      <c r="G38" s="16" t="str">
        <f t="shared" ca="1" si="4"/>
      </c>
      <c r="H38" s="35" t="str">
        <f t="shared" si="0"/>
      </c>
    </row>
    <row r="39" spans="1:8" ht="20.05" customHeight="1" outlineLevel="2" ns3:dyDescent="0.4">
      <c r="A39" s="15"/>
      <c r="B39" s="15"/>
      <c r="C39" s="12"/>
      <c r="D39" s="33"/>
      <c r="E39" s="13"/>
      <c r="F39" s="11"/>
      <c r="G39" s="16" t="str">
        <f t="shared" ca="1" si="4"/>
      </c>
      <c r="H39" s="35" t="str">
        <f t="shared" si="0"/>
      </c>
    </row>
    <row r="40" spans="1:8" ht="20.05" customHeight="1" outlineLevel="2" ns3:dyDescent="0.4">
      <c r="A40" s="15"/>
      <c r="B40" s="15"/>
      <c r="C40" s="12"/>
      <c r="D40" s="33"/>
      <c r="E40" s="13"/>
      <c r="F40" s="11"/>
      <c r="G40" s="16" t="str">
        <f t="shared" ca="1" si="4"/>
      </c>
      <c r="H40" s="35" t="str">
        <f t="shared" si="0"/>
      </c>
    </row>
    <row r="41" spans="1:8" ht="20.05" customHeight="1" outlineLevel="2" ns3:dyDescent="0.4">
      <c r="A41" s="15"/>
      <c r="B41" s="15"/>
      <c r="C41" s="12"/>
      <c r="D41" s="33"/>
      <c r="E41" s="13"/>
      <c r="F41" s="11"/>
      <c r="G41" s="16" t="str">
        <f t="shared" ca="1" si="4"/>
      </c>
      <c r="H41" s="35" t="str">
        <f t="shared" si="0"/>
      </c>
    </row>
    <row r="42" spans="1:8" ht="20.05" customHeight="1" outlineLevel="2" ns3:dyDescent="0.4">
      <c r="A42" s="15"/>
      <c r="B42" s="15"/>
      <c r="C42" s="12"/>
      <c r="D42" s="33"/>
      <c r="E42" s="13"/>
      <c r="F42" s="11"/>
      <c r="G42" s="16" t="str">
        <f t="shared" ca="1" si="4"/>
      </c>
      <c r="H42" s="35" t="str">
        <f t="shared" si="0"/>
      </c>
    </row>
    <row r="43" spans="1:8" ht="20.05" customHeight="1" outlineLevel="2" ns3:dyDescent="0.4">
      <c r="A43" s="15"/>
      <c r="B43" s="15"/>
      <c r="C43" s="12"/>
      <c r="D43" s="33"/>
      <c r="E43" s="13"/>
      <c r="F43" s="11"/>
      <c r="G43" s="16" t="str">
        <f t="shared" ca="1" si="4"/>
      </c>
      <c r="H43" s="35" t="str">
        <f t="shared" si="0"/>
      </c>
    </row>
    <row r="44" spans="1:8" ht="20.05" customHeight="1" outlineLevel="2" ns3:dyDescent="0.4">
      <c r="A44" s="15"/>
      <c r="B44" s="15"/>
      <c r="C44" s="12"/>
      <c r="D44" s="33"/>
      <c r="E44" s="13"/>
      <c r="F44" s="11"/>
      <c r="G44" s="16" t="str">
        <f t="shared" ca="1" si="4"/>
      </c>
      <c r="H44" s="35" t="str">
        <f t="shared" si="0"/>
      </c>
    </row>
    <row r="45" spans="1:8" ht="22" customHeight="1" outlineLevel="1" ns3:dyDescent="0.4">
      <c r="A45" s="56" t="str">
        <f ca="1">"Programme 1 · Smaller initiatives   —   "&amp;(COUNTIF($E$46:$E$51,"Open")+COUNTIF($E$46:$E$51,"In progress")+COUNTIF($E$46:$E$51,"Blocked"))&amp;" open · "&amp;COUNTIF($G$46:$G$51,"Overdue")&amp;" overdue"</f>
      </c>
      <c r="B45" s="57"/>
      <c r="C45" s="57"/>
      <c r="D45" s="57"/>
      <c r="E45" s="57"/>
      <c r="F45" s="57"/>
      <c r="G45" s="58"/>
      <c r="H45" s="35" t="str">
        <f t="shared" si="0"/>
      </c>
    </row>
    <row r="46" spans="1:8" ht="20.05" customHeight="1" outlineLevel="2" ns3:dyDescent="0.4">
      <c r="A46" s="15"/>
      <c r="B46" s="15"/>
      <c r="C46" s="12"/>
      <c r="D46" s="33"/>
      <c r="E46" s="13"/>
      <c r="F46" s="11"/>
      <c r="G46" s="16" t="str">
        <f ca="1">IF(AND(B46&lt;&gt;"",ISNUMBER(D46),OR(E46="Open",E46="In progress",E46="Blocked")),IF(D46&lt;TODAY(),"Overdue",""),"")</f>
      </c>
      <c r="H46" s="35" t="str">
        <f t="shared" si="0"/>
      </c>
    </row>
    <row r="47" spans="1:8" ht="20.05" customHeight="1" outlineLevel="2" ns3:dyDescent="0.4">
      <c r="A47" s="15"/>
      <c r="B47" s="15"/>
      <c r="C47" s="12"/>
      <c r="D47" s="33"/>
      <c r="E47" s="13"/>
      <c r="F47" s="11"/>
      <c r="G47" s="16" t="str">
        <f t="shared" ref="G47:G51" ca="1" si="5">IF(AND(B47&lt;&gt;"",ISNUMBER(D47),OR(E47="Open",E47="In progress",E47="Blocked")),IF(D47&lt;TODAY(),"Overdue",""),"")</f>
      </c>
      <c r="H47" s="35" t="str">
        <f t="shared" si="0"/>
      </c>
    </row>
    <row r="48" spans="1:8" ht="20.05" customHeight="1" outlineLevel="2" ns3:dyDescent="0.4">
      <c r="A48" s="15"/>
      <c r="B48" s="15"/>
      <c r="C48" s="12"/>
      <c r="D48" s="33"/>
      <c r="E48" s="13"/>
      <c r="F48" s="11"/>
      <c r="G48" s="16" t="str">
        <f t="shared" ca="1" si="5"/>
      </c>
      <c r="H48" s="35" t="str">
        <f t="shared" si="0"/>
      </c>
    </row>
    <row r="49" spans="1:8" ht="20.05" customHeight="1" outlineLevel="2" ns3:dyDescent="0.4">
      <c r="A49" s="15"/>
      <c r="B49" s="15"/>
      <c r="C49" s="12"/>
      <c r="D49" s="33"/>
      <c r="E49" s="13"/>
      <c r="F49" s="11"/>
      <c r="G49" s="16" t="str">
        <f t="shared" ca="1" si="5"/>
      </c>
      <c r="H49" s="35" t="str">
        <f t="shared" si="0"/>
      </c>
    </row>
    <row r="50" spans="1:8" ht="20.05" customHeight="1" outlineLevel="2" ns3:dyDescent="0.4">
      <c r="A50" s="15"/>
      <c r="B50" s="15"/>
      <c r="C50" s="12"/>
      <c r="D50" s="33"/>
      <c r="E50" s="13"/>
      <c r="F50" s="11"/>
      <c r="G50" s="16" t="str">
        <f t="shared" ca="1" si="5"/>
      </c>
      <c r="H50" s="35" t="str">
        <f t="shared" si="0"/>
      </c>
    </row>
    <row r="51" spans="1:8" ht="20.05" customHeight="1" outlineLevel="2" ns3:dyDescent="0.4">
      <c r="A51" s="15"/>
      <c r="B51" s="15"/>
      <c r="C51" s="12"/>
      <c r="D51" s="33"/>
      <c r="E51" s="13"/>
      <c r="F51" s="11"/>
      <c r="G51" s="16" t="str">
        <f t="shared" ca="1" si="5"/>
      </c>
      <c r="H51" s="35" t="str">
        <f t="shared" si="0"/>
      </c>
    </row>
    <row r="52" spans="1:8" ht="22" customHeight="1" outlineLevel="1" ns3:dyDescent="0.4">
      <c r="A52" s="53" t="str">
        <f ca="1">"Programme 1 · Other / new initiative   —   "&amp;(COUNTIF($E$53:$E$59,"Open")+COUNTIF($E$53:$E$59,"In progress")+COUNTIF($E$53:$E$59,"Blocked"))&amp;" open · "&amp;COUNTIF($G$53:$G$59,"Overdue")&amp;" overdue"</f>
      </c>
      <c r="B52" s="54"/>
      <c r="C52" s="54"/>
      <c r="D52" s="54"/>
      <c r="E52" s="54"/>
      <c r="F52" s="54"/>
      <c r="G52" s="55"/>
      <c r="H52" s="35" t="str">
        <f t="shared" si="0"/>
      </c>
    </row>
    <row r="53" spans="1:8" ht="20.05" customHeight="1" outlineLevel="2" ns3:dyDescent="0.4">
      <c r="A53" s="15"/>
      <c r="B53" s="15"/>
      <c r="C53" s="12"/>
      <c r="D53" s="33"/>
      <c r="E53" s="13"/>
      <c r="F53" s="11"/>
      <c r="G53" s="16" t="str">
        <f ca="1">IF(AND(B53&lt;&gt;"",ISNUMBER(D53),OR(E53="Open",E53="In progress",E53="Blocked")),IF(D53&lt;TODAY(),"Overdue",""),"")</f>
      </c>
      <c r="H53" s="35" t="str">
        <f t="shared" si="0"/>
      </c>
    </row>
    <row r="54" spans="1:8" ht="20.05" customHeight="1" outlineLevel="2" ns3:dyDescent="0.4">
      <c r="A54" s="15"/>
      <c r="B54" s="15"/>
      <c r="C54" s="12"/>
      <c r="D54" s="33"/>
      <c r="E54" s="13"/>
      <c r="F54" s="11"/>
      <c r="G54" s="16" t="str">
        <f t="shared" ref="G54:G58" ca="1" si="6">IF(AND(B54&lt;&gt;"",ISNUMBER(D54),OR(E54="Open",E54="In progress",E54="Blocked")),IF(D54&lt;TODAY(),"Overdue",""),"")</f>
      </c>
      <c r="H54" s="35" t="str">
        <f t="shared" si="0"/>
      </c>
    </row>
    <row r="55" spans="1:8" ht="20.05" customHeight="1" outlineLevel="2" ns3:dyDescent="0.4">
      <c r="A55" s="15"/>
      <c r="B55" s="15"/>
      <c r="C55" s="12"/>
      <c r="D55" s="33"/>
      <c r="E55" s="13"/>
      <c r="F55" s="11"/>
      <c r="G55" s="16" t="str">
        <f t="shared" ca="1" si="6"/>
      </c>
      <c r="H55" s="35" t="str">
        <f t="shared" si="0"/>
      </c>
    </row>
    <row r="56" spans="1:8" ht="20.05" customHeight="1" outlineLevel="2" ns3:dyDescent="0.4">
      <c r="A56" s="15"/>
      <c r="B56" s="15"/>
      <c r="C56" s="12"/>
      <c r="D56" s="33"/>
      <c r="E56" s="13"/>
      <c r="F56" s="11"/>
      <c r="G56" s="16" t="str">
        <f t="shared" ca="1" si="6"/>
      </c>
      <c r="H56" s="35" t="str">
        <f t="shared" si="0"/>
      </c>
    </row>
    <row r="57" spans="1:8" ht="20.05" customHeight="1" outlineLevel="2" ns3:dyDescent="0.4">
      <c r="A57" s="15"/>
      <c r="B57" s="15"/>
      <c r="C57" s="12"/>
      <c r="D57" s="33"/>
      <c r="E57" s="13"/>
      <c r="F57" s="11"/>
      <c r="G57" s="16" t="str">
        <f t="shared" ca="1" si="6"/>
      </c>
      <c r="H57" s="35" t="str">
        <f t="shared" si="0"/>
      </c>
    </row>
    <row r="58" spans="1:8" ht="20.05" customHeight="1" outlineLevel="2" ns3:dyDescent="0.4">
      <c r="A58" s="15"/>
      <c r="B58" s="15"/>
      <c r="C58" s="12"/>
      <c r="D58" s="33"/>
      <c r="E58" s="13"/>
      <c r="F58" s="11"/>
      <c r="G58" s="16" t="str">
        <f t="shared" ca="1" si="6"/>
      </c>
      <c r="H58" s="35" t="str">
        <f t="shared" si="0"/>
      </c>
    </row>
    <row r="59" spans="1:8" outlineLevel="2" ns3:dyDescent="0.4">
      <c r="G59" t="str">
        <f ca="1">IF(AND(B59&lt;&gt;"",ISNUMBER(D59),OR(E59="Open",E59="In progress",E59="Blocked")),IF(D59&lt;TODAY(),"Overdue",""),"")</f>
      </c>
      <c r="H59" s="35" t="str">
        <f t="shared" si="0"/>
      </c>
    </row>
    <row r="60" spans="1:8" ht="22" customHeight="1" ns3:dyDescent="0.4">
      <c r="A60" s="59" t="str">
        <f ca="1">"Programme Portfolio 2   —   "&amp;(COUNTIF($E$62:$E$97,"Open")+COUNTIF($E$62:$E$97,"In progress")+COUNTIF($E$62:$E$97,"Blocked"))&amp;" open · "&amp;COUNTIF($G$62:$G$97,"Overdue")&amp;" overdue"</f>
      </c>
      <c r="B60" s="60"/>
      <c r="C60" s="60"/>
      <c r="D60" s="60"/>
      <c r="E60" s="60"/>
      <c r="F60" s="60"/>
      <c r="G60" s="61"/>
      <c r="H60" s="35" t="str">
        <f t="shared" si="0"/>
      </c>
    </row>
    <row r="61" spans="1:8" ht="22" customHeight="1" outlineLevel="1" ns3:dyDescent="0.4">
      <c r="A61" s="56" t="str">
        <f ca="1">"Programme 2 · Contract-level   —   "&amp;(COUNTIF($E$62:$E$67,"Open")+COUNTIF($E$62:$E$67,"In progress")+COUNTIF($E$62:$E$67,"Blocked"))&amp;" open · "&amp;COUNTIF($G$62:$G$67,"Overdue")&amp;" overdue"</f>
      </c>
      <c r="B61" s="57"/>
      <c r="C61" s="57"/>
      <c r="D61" s="57"/>
      <c r="E61" s="57"/>
      <c r="F61" s="57"/>
      <c r="G61" s="58"/>
      <c r="H61" s="35" t="str">
        <f t="shared" si="0"/>
      </c>
    </row>
    <row r="62" spans="1:8" ht="20.05" customHeight="1" outlineLevel="2" ns3:dyDescent="0.4">
      <c r="A62" s="15"/>
      <c r="B62" s="15"/>
      <c r="C62" s="12"/>
      <c r="D62" s="33"/>
      <c r="E62" s="13"/>
      <c r="F62" s="11"/>
      <c r="G62" s="16" t="str">
        <f ca="1">IF(AND(B62&lt;&gt;"",ISNUMBER(D62),OR(E62="Open",E62="In progress",E62="Blocked")),IF(D62&lt;TODAY(),"Overdue",""),"")</f>
      </c>
      <c r="H62" s="35" t="str">
        <f t="shared" si="0"/>
      </c>
    </row>
    <row r="63" spans="1:8" ht="20.05" customHeight="1" outlineLevel="2" ns3:dyDescent="0.4">
      <c r="A63" s="15"/>
      <c r="B63" s="15"/>
      <c r="C63" s="12"/>
      <c r="D63" s="33"/>
      <c r="E63" s="13"/>
      <c r="F63" s="11"/>
      <c r="G63" s="16" t="str">
        <f t="shared" ref="G63:G67" ca="1" si="7">IF(AND(B63&lt;&gt;"",ISNUMBER(D63),OR(E63="Open",E63="In progress",E63="Blocked")),IF(D63&lt;TODAY(),"Overdue",""),"")</f>
      </c>
      <c r="H63" s="35" t="str">
        <f t="shared" si="0"/>
      </c>
    </row>
    <row r="64" spans="1:8" ht="20.05" customHeight="1" outlineLevel="2" ns3:dyDescent="0.4">
      <c r="A64" s="15"/>
      <c r="B64" s="15"/>
      <c r="C64" s="12"/>
      <c r="D64" s="33"/>
      <c r="E64" s="13"/>
      <c r="F64" s="11"/>
      <c r="G64" s="16" t="str">
        <f t="shared" ca="1" si="7"/>
      </c>
      <c r="H64" s="35" t="str">
        <f t="shared" si="0"/>
      </c>
    </row>
    <row r="65" spans="1:8" ht="20.05" customHeight="1" outlineLevel="2" ns3:dyDescent="0.4">
      <c r="A65" s="15"/>
      <c r="B65" s="15"/>
      <c r="C65" s="12"/>
      <c r="D65" s="33"/>
      <c r="E65" s="13"/>
      <c r="F65" s="11"/>
      <c r="G65" s="16" t="str">
        <f t="shared" ca="1" si="7"/>
      </c>
      <c r="H65" s="35" t="str">
        <f t="shared" si="0"/>
      </c>
    </row>
    <row r="66" spans="1:8" ht="20.05" customHeight="1" outlineLevel="2" ns3:dyDescent="0.4">
      <c r="A66" s="15"/>
      <c r="B66" s="15"/>
      <c r="C66" s="12"/>
      <c r="D66" s="33"/>
      <c r="E66" s="13"/>
      <c r="F66" s="11"/>
      <c r="G66" s="16" t="str">
        <f t="shared" ca="1" si="7"/>
      </c>
      <c r="H66" s="35" t="str">
        <f t="shared" si="0"/>
      </c>
    </row>
    <row r="67" spans="1:8" ht="20.05" customHeight="1" outlineLevel="2" ns3:dyDescent="0.4">
      <c r="A67" s="15"/>
      <c r="B67" s="15"/>
      <c r="C67" s="12"/>
      <c r="D67" s="33"/>
      <c r="E67" s="13"/>
      <c r="F67" s="11"/>
      <c r="G67" s="16" t="str">
        <f t="shared" ca="1" si="7"/>
      </c>
      <c r="H67" s="35" t="str">
        <f t="shared" si="0"/>
      </c>
    </row>
    <row r="68" spans="1:8" ht="22" customHeight="1" outlineLevel="1" ns3:dyDescent="0.4">
      <c r="A68" s="56" t="str">
        <f ca="1">"Programme 2 · Workstream 1   —   "&amp;(COUNTIF($E$69:$E$78,"Open")+COUNTIF($E$69:$E$78,"In progress")+COUNTIF($E$69:$E$78,"Blocked"))&amp;" open · "&amp;COUNTIF($G$69:$G$78,"Overdue")&amp;" overdue"</f>
      </c>
      <c r="B68" s="57"/>
      <c r="C68" s="57"/>
      <c r="D68" s="57"/>
      <c r="E68" s="57"/>
      <c r="F68" s="57"/>
      <c r="G68" s="58"/>
      <c r="H68" s="35" t="str">
        <f t="shared" si="0"/>
      </c>
    </row>
    <row r="69" spans="1:8" ht="20.05" customHeight="1" outlineLevel="2" ns3:dyDescent="0.4">
      <c r="A69" s="15"/>
      <c r="B69" s="45"/>
      <c r="C69" s="12"/>
      <c r="D69" s="33"/>
      <c r="E69" s="13"/>
      <c r="F69" s="11"/>
      <c r="G69" s="16" t="str">
        <f ca="1">IF(AND(B69&lt;&gt;"",ISNUMBER(D69),OR(E69="Open",E69="In progress",E69="Blocked")),IF(D69&lt;TODAY(),"Overdue",""),"")</f>
      </c>
      <c r="H69" s="35" t="str">
        <f t="shared" ref="H69:H118" si="8">IF(OR($E69="Open",$E69="In progress",$E69="Blocked",$E69=""),"Show","Archive")</f>
      </c>
    </row>
    <row r="70" spans="1:8" ht="20.05" customHeight="1" outlineLevel="2" ns3:dyDescent="0.4">
      <c r="A70" s="15"/>
      <c r="B70" s="15"/>
      <c r="C70" s="12"/>
      <c r="D70" s="33"/>
      <c r="E70" s="13"/>
      <c r="F70" s="11"/>
      <c r="G70" s="16" t="str">
        <f t="shared" ref="G70:G78" ca="1" si="9">IF(AND(B70&lt;&gt;"",ISNUMBER(D70),OR(E70="Open",E70="In progress",E70="Blocked")),IF(D70&lt;TODAY(),"Overdue",""),"")</f>
      </c>
      <c r="H70" s="35" t="str">
        <f t="shared" si="8"/>
      </c>
    </row>
    <row r="71" spans="1:8" ht="20.05" customHeight="1" outlineLevel="2" ns3:dyDescent="0.4">
      <c r="A71" s="15"/>
      <c r="B71" s="15"/>
      <c r="C71" s="12"/>
      <c r="D71" s="33"/>
      <c r="E71" s="13"/>
      <c r="F71" s="11"/>
      <c r="G71" s="16" t="str">
        <f t="shared" ca="1" si="9"/>
      </c>
      <c r="H71" s="35" t="str">
        <f t="shared" si="8"/>
      </c>
    </row>
    <row r="72" spans="1:8" ht="20.05" customHeight="1" outlineLevel="2" ns3:dyDescent="0.4">
      <c r="A72" s="15"/>
      <c r="B72" s="15"/>
      <c r="C72" s="12"/>
      <c r="D72" s="33"/>
      <c r="E72" s="13"/>
      <c r="F72" s="11"/>
      <c r="G72" s="16" t="str">
        <f t="shared" ca="1" si="9"/>
      </c>
      <c r="H72" s="35" t="str">
        <f t="shared" si="8"/>
      </c>
    </row>
    <row r="73" spans="1:8" ht="20.05" customHeight="1" outlineLevel="2" ns3:dyDescent="0.4">
      <c r="A73" s="15"/>
      <c r="B73" s="15"/>
      <c r="C73" s="12"/>
      <c r="D73" s="33"/>
      <c r="E73" s="13"/>
      <c r="F73" s="11"/>
      <c r="G73" s="16" t="str">
        <f t="shared" ca="1" si="9"/>
      </c>
      <c r="H73" s="35" t="str">
        <f t="shared" si="8"/>
      </c>
    </row>
    <row r="74" spans="1:8" ht="20.05" customHeight="1" outlineLevel="2" ns3:dyDescent="0.4">
      <c r="A74" s="15"/>
      <c r="B74" s="15"/>
      <c r="C74" s="12"/>
      <c r="D74" s="33"/>
      <c r="E74" s="13"/>
      <c r="F74" s="11"/>
      <c r="G74" s="16" t="str">
        <f t="shared" ca="1" si="9"/>
      </c>
      <c r="H74" s="35" t="str">
        <f t="shared" si="8"/>
      </c>
    </row>
    <row r="75" spans="1:8" ht="20.05" customHeight="1" outlineLevel="2" ns3:dyDescent="0.4">
      <c r="A75" s="15"/>
      <c r="B75" s="15"/>
      <c r="C75" s="12"/>
      <c r="D75" s="33"/>
      <c r="E75" s="13"/>
      <c r="F75" s="11"/>
      <c r="G75" s="16" t="str">
        <f t="shared" ca="1" si="9"/>
      </c>
      <c r="H75" s="35" t="str">
        <f t="shared" si="8"/>
      </c>
    </row>
    <row r="76" spans="1:8" ht="20.05" customHeight="1" outlineLevel="2" ns3:dyDescent="0.4">
      <c r="A76" s="15"/>
      <c r="B76" s="15"/>
      <c r="C76" s="12"/>
      <c r="D76" s="33"/>
      <c r="E76" s="13"/>
      <c r="F76" s="11"/>
      <c r="G76" s="16" t="str">
        <f t="shared" ca="1" si="9"/>
      </c>
      <c r="H76" s="35" t="str">
        <f t="shared" si="8"/>
      </c>
    </row>
    <row r="77" spans="1:8" ht="20.05" customHeight="1" outlineLevel="2" ns3:dyDescent="0.4">
      <c r="A77" s="15"/>
      <c r="B77" s="15"/>
      <c r="C77" s="12"/>
      <c r="D77" s="33"/>
      <c r="E77" s="13"/>
      <c r="F77" s="11"/>
      <c r="G77" s="16" t="str">
        <f t="shared" ca="1" si="9"/>
      </c>
      <c r="H77" s="35" t="str">
        <f t="shared" si="8"/>
      </c>
    </row>
    <row r="78" spans="1:8" ht="20.05" customHeight="1" outlineLevel="2" ns3:dyDescent="0.4">
      <c r="A78" s="15"/>
      <c r="B78" s="15"/>
      <c r="C78" s="12"/>
      <c r="D78" s="33"/>
      <c r="E78" s="13"/>
      <c r="F78" s="11"/>
      <c r="G78" s="16" t="str">
        <f t="shared" ca="1" si="9"/>
      </c>
      <c r="H78" s="35" t="str">
        <f t="shared" si="8"/>
      </c>
    </row>
    <row r="79" spans="1:8" ht="22" customHeight="1" outlineLevel="1" ns3:dyDescent="0.4">
      <c r="A79" s="56" t="str">
        <f ca="1">"Programme 2 · Workstream 2   —   "&amp;(COUNTIF($E$80:$E$89,"Open")+COUNTIF($E$80:$E$89,"In progress")+COUNTIF($E$80:$E$89,"Blocked"))&amp;" open · "&amp;COUNTIF($G$80:$G$89,"Overdue")&amp;" overdue"</f>
      </c>
      <c r="B79" s="57"/>
      <c r="C79" s="57"/>
      <c r="D79" s="57"/>
      <c r="E79" s="57"/>
      <c r="F79" s="57"/>
      <c r="G79" s="58"/>
      <c r="H79" s="35" t="str">
        <f t="shared" si="8"/>
      </c>
    </row>
    <row r="80" spans="1:8" ht="20.05" customHeight="1" outlineLevel="2" ns3:dyDescent="0.4">
      <c r="A80" s="15"/>
      <c r="B80" s="45"/>
      <c r="C80" s="12"/>
      <c r="D80" s="33"/>
      <c r="E80" s="13"/>
      <c r="F80" s="11"/>
      <c r="G80" s="16" t="str">
        <f ca="1">IF(AND(B80&lt;&gt;"",ISNUMBER(D80),OR(E80="Open",E80="In progress",E80="Blocked")),IF(D80&lt;TODAY(),"Overdue",""),"")</f>
      </c>
      <c r="H80" s="35" t="str">
        <f t="shared" si="8"/>
      </c>
    </row>
    <row r="81" spans="1:8" ht="20.05" customHeight="1" outlineLevel="2" ns3:dyDescent="0.4">
      <c r="A81" s="15"/>
      <c r="B81" s="15"/>
      <c r="C81" s="12"/>
      <c r="D81" s="33"/>
      <c r="E81" s="13"/>
      <c r="F81" s="11"/>
      <c r="G81" s="16" t="str">
        <f t="shared" ref="G81:G89" ca="1" si="10">IF(AND(B81&lt;&gt;"",ISNUMBER(D81),OR(E81="Open",E81="In progress",E81="Blocked")),IF(D81&lt;TODAY(),"Overdue",""),"")</f>
      </c>
      <c r="H81" s="35" t="str">
        <f t="shared" si="8"/>
      </c>
    </row>
    <row r="82" spans="1:8" ht="20.05" customHeight="1" outlineLevel="2" ns3:dyDescent="0.4">
      <c r="A82" s="15"/>
      <c r="B82" s="15"/>
      <c r="C82" s="12"/>
      <c r="D82" s="33"/>
      <c r="E82" s="13"/>
      <c r="F82" s="11"/>
      <c r="G82" s="16" t="str">
        <f t="shared" ca="1" si="10"/>
      </c>
      <c r="H82" s="35" t="str">
        <f t="shared" si="8"/>
      </c>
    </row>
    <row r="83" spans="1:8" ht="20.05" customHeight="1" outlineLevel="2" ns3:dyDescent="0.4">
      <c r="A83" s="15"/>
      <c r="B83" s="15"/>
      <c r="C83" s="12"/>
      <c r="D83" s="33"/>
      <c r="E83" s="13"/>
      <c r="F83" s="11"/>
      <c r="G83" s="16" t="str">
        <f t="shared" ca="1" si="10"/>
      </c>
      <c r="H83" s="35" t="str">
        <f t="shared" si="8"/>
      </c>
    </row>
    <row r="84" spans="1:8" ht="20.05" customHeight="1" outlineLevel="2" ns3:dyDescent="0.4">
      <c r="A84" s="15"/>
      <c r="B84" s="15"/>
      <c r="C84" s="12"/>
      <c r="D84" s="33"/>
      <c r="E84" s="13"/>
      <c r="F84" s="11"/>
      <c r="G84" s="16" t="str">
        <f t="shared" ca="1" si="10"/>
      </c>
      <c r="H84" s="35" t="str">
        <f t="shared" si="8"/>
      </c>
    </row>
    <row r="85" spans="1:8" ht="20.05" customHeight="1" outlineLevel="2" ns3:dyDescent="0.4">
      <c r="A85" s="15"/>
      <c r="B85" s="15"/>
      <c r="C85" s="12"/>
      <c r="D85" s="33"/>
      <c r="E85" s="13"/>
      <c r="F85" s="11"/>
      <c r="G85" s="16" t="str">
        <f t="shared" ca="1" si="10"/>
      </c>
      <c r="H85" s="35" t="str">
        <f t="shared" si="8"/>
      </c>
    </row>
    <row r="86" spans="1:8" ht="20.05" customHeight="1" outlineLevel="2" ns3:dyDescent="0.4">
      <c r="A86" s="15"/>
      <c r="B86" s="15"/>
      <c r="C86" s="12"/>
      <c r="D86" s="33"/>
      <c r="E86" s="13"/>
      <c r="F86" s="11"/>
      <c r="G86" s="16" t="str">
        <f t="shared" ca="1" si="10"/>
      </c>
      <c r="H86" s="35" t="str">
        <f t="shared" si="8"/>
      </c>
    </row>
    <row r="87" spans="1:8" ht="20.05" customHeight="1" outlineLevel="2" ns3:dyDescent="0.4">
      <c r="A87" s="15"/>
      <c r="B87" s="15"/>
      <c r="C87" s="12"/>
      <c r="D87" s="33"/>
      <c r="E87" s="13"/>
      <c r="F87" s="11"/>
      <c r="G87" s="16" t="str">
        <f t="shared" ca="1" si="10"/>
      </c>
      <c r="H87" s="35" t="str">
        <f t="shared" si="8"/>
      </c>
    </row>
    <row r="88" spans="1:8" ht="20.05" customHeight="1" outlineLevel="2" ns3:dyDescent="0.4">
      <c r="A88" s="15"/>
      <c r="B88" s="15"/>
      <c r="C88" s="12"/>
      <c r="D88" s="33"/>
      <c r="E88" s="13"/>
      <c r="F88" s="11"/>
      <c r="G88" s="16" t="str">
        <f t="shared" ca="1" si="10"/>
      </c>
      <c r="H88" s="35" t="str">
        <f t="shared" si="8"/>
      </c>
    </row>
    <row r="89" spans="1:8" ht="20.05" customHeight="1" outlineLevel="2" ns3:dyDescent="0.4">
      <c r="A89" s="15"/>
      <c r="B89" s="15"/>
      <c r="C89" s="12"/>
      <c r="D89" s="33"/>
      <c r="E89" s="13"/>
      <c r="F89" s="11"/>
      <c r="G89" s="16" t="str">
        <f t="shared" ca="1" si="10"/>
      </c>
      <c r="H89" s="35" t="str">
        <f t="shared" si="8"/>
      </c>
    </row>
    <row r="90" spans="1:8" ht="22" customHeight="1" outlineLevel="1" ns3:dyDescent="0.4">
      <c r="A90" s="53" t="str">
        <f ca="1">"Programme 2 · Other / new initiative   —   "&amp;(COUNTIF($E$91:$E$97,"Open")+COUNTIF($E$91:$E$97,"In progress")+COUNTIF($E$91:$E$97,"Blocked"))&amp;" open · "&amp;COUNTIF($G$91:$G$97,"Overdue")&amp;" overdue"</f>
      </c>
      <c r="B90" s="54"/>
      <c r="C90" s="54"/>
      <c r="D90" s="54"/>
      <c r="E90" s="54"/>
      <c r="F90" s="54"/>
      <c r="G90" s="55"/>
      <c r="H90" s="35" t="str">
        <f t="shared" si="8"/>
      </c>
    </row>
    <row r="91" spans="1:8" ht="20.05" customHeight="1" outlineLevel="2" ns3:dyDescent="0.4">
      <c r="A91" s="15"/>
      <c r="B91" s="15"/>
      <c r="C91" s="12"/>
      <c r="D91" s="33"/>
      <c r="E91" s="13"/>
      <c r="F91" s="11"/>
      <c r="G91" s="16" t="str">
        <f ca="1">IF(AND(B91&lt;&gt;"",ISNUMBER(D91),OR(E91="Open",E91="In progress",E91="Blocked")),IF(D91&lt;TODAY(),"Overdue",""),"")</f>
      </c>
      <c r="H91" s="35" t="str">
        <f t="shared" si="8"/>
      </c>
    </row>
    <row r="92" spans="1:8" ht="20.05" customHeight="1" outlineLevel="2" ns3:dyDescent="0.4">
      <c r="A92" s="15"/>
      <c r="B92" s="15"/>
      <c r="C92" s="12"/>
      <c r="D92" s="33"/>
      <c r="E92" s="13"/>
      <c r="F92" s="11"/>
      <c r="G92" s="16" t="str">
        <f t="shared" ref="G92:G96" ca="1" si="11">IF(AND(B92&lt;&gt;"",ISNUMBER(D92),OR(E92="Open",E92="In progress",E92="Blocked")),IF(D92&lt;TODAY(),"Overdue",""),"")</f>
      </c>
      <c r="H92" s="35" t="str">
        <f t="shared" si="8"/>
      </c>
    </row>
    <row r="93" spans="1:8" ht="20.05" customHeight="1" outlineLevel="2" ns3:dyDescent="0.4">
      <c r="A93" s="15"/>
      <c r="B93" s="15"/>
      <c r="C93" s="12"/>
      <c r="D93" s="33"/>
      <c r="E93" s="13"/>
      <c r="F93" s="11"/>
      <c r="G93" s="16" t="str">
        <f t="shared" ca="1" si="11"/>
      </c>
      <c r="H93" s="35" t="str">
        <f t="shared" si="8"/>
      </c>
    </row>
    <row r="94" spans="1:8" ht="20.05" customHeight="1" outlineLevel="2" ns3:dyDescent="0.4">
      <c r="A94" s="15"/>
      <c r="B94" s="15"/>
      <c r="C94" s="12"/>
      <c r="D94" s="33"/>
      <c r="E94" s="13"/>
      <c r="F94" s="11"/>
      <c r="G94" s="16" t="str">
        <f t="shared" ca="1" si="11"/>
      </c>
      <c r="H94" s="35" t="str">
        <f t="shared" si="8"/>
      </c>
    </row>
    <row r="95" spans="1:8" ht="20.05" customHeight="1" outlineLevel="2" ns3:dyDescent="0.4">
      <c r="A95" s="15"/>
      <c r="B95" s="15"/>
      <c r="C95" s="12"/>
      <c r="D95" s="33"/>
      <c r="E95" s="13"/>
      <c r="F95" s="11"/>
      <c r="G95" s="16" t="str">
        <f t="shared" ca="1" si="11"/>
      </c>
      <c r="H95" s="35" t="str">
        <f t="shared" si="8"/>
      </c>
    </row>
    <row r="96" spans="1:8" ht="20.05" customHeight="1" outlineLevel="2" ns3:dyDescent="0.4">
      <c r="A96" s="15"/>
      <c r="B96" s="15"/>
      <c r="C96" s="12"/>
      <c r="D96" s="33"/>
      <c r="E96" s="13"/>
      <c r="F96" s="11"/>
      <c r="G96" s="16" t="str">
        <f t="shared" ca="1" si="11"/>
      </c>
      <c r="H96" s="35" t="str">
        <f t="shared" si="8"/>
      </c>
    </row>
    <row r="97" spans="1:8" outlineLevel="2" ns3:dyDescent="0.4">
      <c r="G97" t="str">
        <f ca="1">IF(AND(B97&lt;&gt;"",ISNUMBER(D97),OR(E97="Open",E97="In progress",E97="Blocked")),IF(D97&lt;TODAY(),"Overdue",""),"")</f>
      </c>
      <c r="H97" s="35" t="str">
        <f t="shared" si="8"/>
      </c>
    </row>
    <row r="98" spans="1:8" ht="22" customHeight="1" ns3:dyDescent="0.4">
      <c r="A98" s="59" t="str">
        <f ca="1">"Programme Portfolio 3   —   "&amp;(COUNTIF($E$99:$E$118,"Open")+COUNTIF($E$99:$E$118,"In progress")+COUNTIF($E$99:$E$118,"Blocked"))&amp;" open · "&amp;COUNTIF($G$99:$G$118,"Overdue")&amp;" overdue"</f>
      </c>
      <c r="B98" s="60"/>
      <c r="C98" s="60"/>
      <c r="D98" s="60"/>
      <c r="E98" s="60"/>
      <c r="F98" s="60"/>
      <c r="G98" s="61"/>
      <c r="H98" s="35" t="str">
        <f t="shared" si="8"/>
      </c>
    </row>
    <row r="99" spans="1:8" ht="22" customHeight="1" outlineLevel="1" ns3:dyDescent="0.4">
      <c r="A99" s="56" t="str">
        <f ca="1">"Programme 3 · Training &amp; Competence   —   "&amp;(COUNTIF($E$100:$E$109,"Open")+COUNTIF($E$100:$E$109,"In progress")+COUNTIF($E$100:$E$109,"Blocked"))&amp;" open · "&amp;COUNTIF($G$100:$G$109,"Overdue")&amp;" overdue"</f>
      </c>
      <c r="B99" s="57"/>
      <c r="C99" s="57"/>
      <c r="D99" s="57"/>
      <c r="E99" s="57"/>
      <c r="F99" s="57"/>
      <c r="G99" s="58"/>
      <c r="H99" s="35" t="str">
        <f t="shared" si="8"/>
      </c>
    </row>
    <row r="100" spans="1:8" ht="20.05" hidden="1" customHeight="1" outlineLevel="2" ns3:dyDescent="0.4">
      <c r="A100" s="15"/>
      <c r="B100" s="15"/>
      <c r="C100" s="47"/>
      <c r="D100" s="33"/>
      <c r="E100" s="13"/>
      <c r="F100" s="11"/>
      <c r="G100" s="16" t="str">
        <f ca="1">IF(AND(B100&lt;&gt;"",ISNUMBER(D100),OR(E100="Open",E100="In progress",E100="Blocked")),IF(D100&lt;TODAY(),"Overdue",""),"")</f>
      </c>
      <c r="H100" s="35" t="str">
        <f t="shared" si="8"/>
      </c>
    </row>
    <row r="101" spans="1:8" ht="20.05" hidden="1" customHeight="1" outlineLevel="2" ns3:dyDescent="0.4">
      <c r="A101" s="15"/>
      <c r="B101" s="15"/>
      <c r="C101" s="47"/>
      <c r="D101" s="33"/>
      <c r="E101" s="13"/>
      <c r="F101" s="11"/>
      <c r="G101" s="16" t="str">
        <f t="shared" ref="G101:G109" ca="1" si="12">IF(AND(B101&lt;&gt;"",ISNUMBER(D101),OR(E101="Open",E101="In progress",E101="Blocked")),IF(D101&lt;TODAY(),"Overdue",""),"")</f>
      </c>
      <c r="H101" s="35" t="str">
        <f t="shared" si="8"/>
      </c>
    </row>
    <row r="102" spans="1:8" ht="20.05" customHeight="1" outlineLevel="2" ns3:dyDescent="0.4">
      <c r="A102" s="15"/>
      <c r="B102" s="15"/>
      <c r="C102" s="12"/>
      <c r="D102" s="33"/>
      <c r="E102" s="13"/>
      <c r="F102" s="11"/>
      <c r="G102" s="16" t="str">
        <f t="shared" ca="1" si="12"/>
      </c>
      <c r="H102" s="35" t="str">
        <f t="shared" si="8"/>
      </c>
    </row>
    <row r="103" spans="1:8" ht="20.05" customHeight="1" outlineLevel="2" ns3:dyDescent="0.4">
      <c r="A103" s="15"/>
      <c r="B103" s="15"/>
      <c r="C103" s="12"/>
      <c r="D103" s="33"/>
      <c r="E103" s="13"/>
      <c r="F103" s="11"/>
      <c r="G103" s="16" t="str">
        <f t="shared" ca="1" si="12"/>
      </c>
      <c r="H103" s="35" t="str">
        <f t="shared" si="8"/>
      </c>
    </row>
    <row r="104" spans="1:8" ht="20.05" customHeight="1" outlineLevel="2" ns3:dyDescent="0.4">
      <c r="A104" s="15"/>
      <c r="B104" s="15"/>
      <c r="C104" s="12"/>
      <c r="D104" s="33"/>
      <c r="E104" s="13"/>
      <c r="F104" s="11"/>
      <c r="G104" s="16" t="str">
        <f t="shared" ca="1" si="12"/>
      </c>
      <c r="H104" s="35" t="str">
        <f t="shared" si="8"/>
      </c>
    </row>
    <row r="105" spans="1:8" ht="20.05" customHeight="1" outlineLevel="2" ns3:dyDescent="0.4">
      <c r="A105" s="15"/>
      <c r="B105" s="15"/>
      <c r="C105" s="12"/>
      <c r="D105" s="33"/>
      <c r="E105" s="13"/>
      <c r="F105" s="11"/>
      <c r="G105" s="16" t="str">
        <f t="shared" ca="1" si="12"/>
      </c>
      <c r="H105" s="35" t="str">
        <f t="shared" si="8"/>
      </c>
    </row>
    <row r="106" spans="1:8" ht="20.05" customHeight="1" outlineLevel="2" ns3:dyDescent="0.4">
      <c r="A106" s="15"/>
      <c r="B106" s="15"/>
      <c r="C106" s="12"/>
      <c r="D106" s="33"/>
      <c r="E106" s="13"/>
      <c r="F106" s="11"/>
      <c r="G106" s="16" t="str">
        <f t="shared" ca="1" si="12"/>
      </c>
      <c r="H106" s="35" t="str">
        <f t="shared" si="8"/>
      </c>
    </row>
    <row r="107" spans="1:8" ht="20.05" customHeight="1" outlineLevel="2" ns3:dyDescent="0.4">
      <c r="A107" s="15"/>
      <c r="B107" s="15"/>
      <c r="C107" s="12"/>
      <c r="D107" s="33"/>
      <c r="E107" s="13"/>
      <c r="F107" s="11"/>
      <c r="G107" s="16" t="str">
        <f t="shared" ca="1" si="12"/>
      </c>
      <c r="H107" s="35" t="str">
        <f t="shared" si="8"/>
      </c>
    </row>
    <row r="108" spans="1:8" ht="20.05" customHeight="1" outlineLevel="2" ns3:dyDescent="0.4">
      <c r="A108" s="15"/>
      <c r="B108" s="15"/>
      <c r="C108" s="12"/>
      <c r="D108" s="33"/>
      <c r="E108" s="13"/>
      <c r="F108" s="11"/>
      <c r="G108" s="16" t="str">
        <f t="shared" ca="1" si="12"/>
      </c>
      <c r="H108" s="35" t="str">
        <f t="shared" si="8"/>
      </c>
    </row>
    <row r="109" spans="1:8" ht="20.05" customHeight="1" outlineLevel="2" ns3:dyDescent="0.4">
      <c r="A109" s="15"/>
      <c r="B109" s="15"/>
      <c r="C109" s="12"/>
      <c r="D109" s="33"/>
      <c r="E109" s="13"/>
      <c r="F109" s="11"/>
      <c r="G109" s="16" t="str">
        <f t="shared" ca="1" si="12"/>
      </c>
      <c r="H109" s="35" t="str">
        <f t="shared" si="8"/>
      </c>
    </row>
    <row r="110" spans="1:8" ht="22" customHeight="1" outlineLevel="1" ns3:dyDescent="0.4">
      <c r="A110" s="53" t="str">
        <f ca="1">"Programme 3 · Other / new initiative   —   "&amp;(COUNTIF($E$111:$E$118,"Open")+COUNTIF($E$111:$E$118,"In progress")+COUNTIF($E$111:$E$118,"Blocked"))&amp;" open · "&amp;COUNTIF($G$111:$G$118,"Overdue")&amp;" overdue"</f>
      </c>
      <c r="B110" s="54"/>
      <c r="C110" s="54"/>
      <c r="D110" s="54"/>
      <c r="E110" s="54"/>
      <c r="F110" s="54"/>
      <c r="G110" s="55"/>
      <c r="H110" s="35" t="str">
        <f t="shared" si="8"/>
      </c>
    </row>
    <row r="111" spans="1:8" ht="20.05" customHeight="1" outlineLevel="2" ns3:dyDescent="0.4">
      <c r="A111" s="15"/>
      <c r="B111" s="15"/>
      <c r="C111" s="12"/>
      <c r="D111" s="33"/>
      <c r="E111" s="13"/>
      <c r="F111" s="11"/>
      <c r="G111" s="16" t="str">
        <f ca="1">IF(AND(B111&lt;&gt;"",ISNUMBER(D111),OR(E111="Open",E111="In progress",E111="Blocked")),IF(D111&lt;TODAY(),"Overdue",""),"")</f>
      </c>
      <c r="H111" s="35" t="str">
        <f t="shared" si="8"/>
      </c>
    </row>
    <row r="112" spans="1:8" ht="20.05" customHeight="1" outlineLevel="2" ns3:dyDescent="0.4">
      <c r="A112" s="15"/>
      <c r="B112" s="15"/>
      <c r="C112" s="12"/>
      <c r="D112" s="33"/>
      <c r="E112" s="13"/>
      <c r="F112" s="11"/>
      <c r="G112" s="16" t="str">
        <f t="shared" ref="G112:G116" ca="1" si="13">IF(AND(B112&lt;&gt;"",ISNUMBER(D112),OR(E112="Open",E112="In progress",E112="Blocked")),IF(D112&lt;TODAY(),"Overdue",""),"")</f>
      </c>
      <c r="H112" s="35" t="str">
        <f t="shared" si="8"/>
      </c>
    </row>
    <row r="113" spans="1:8" ht="20.05" customHeight="1" outlineLevel="2" ns3:dyDescent="0.4">
      <c r="A113" s="15"/>
      <c r="B113" s="15"/>
      <c r="C113" s="12"/>
      <c r="D113" s="33"/>
      <c r="E113" s="13"/>
      <c r="F113" s="11"/>
      <c r="G113" s="16" t="str">
        <f t="shared" ca="1" si="13"/>
      </c>
      <c r="H113" s="35" t="str">
        <f t="shared" si="8"/>
      </c>
    </row>
    <row r="114" spans="1:8" ht="20.05" customHeight="1" outlineLevel="2" ns3:dyDescent="0.4">
      <c r="A114" s="15"/>
      <c r="B114" s="15"/>
      <c r="C114" s="12"/>
      <c r="D114" s="33"/>
      <c r="E114" s="13"/>
      <c r="F114" s="11"/>
      <c r="G114" s="16" t="str">
        <f t="shared" ca="1" si="13"/>
      </c>
      <c r="H114" s="35" t="str">
        <f t="shared" si="8"/>
      </c>
    </row>
    <row r="115" spans="1:8" ht="20.05" customHeight="1" outlineLevel="2" ns3:dyDescent="0.4">
      <c r="A115" s="15"/>
      <c r="B115" s="15"/>
      <c r="C115" s="12"/>
      <c r="D115" s="33"/>
      <c r="E115" s="13"/>
      <c r="F115" s="11"/>
      <c r="G115" s="16" t="str">
        <f t="shared" ca="1" si="13"/>
      </c>
      <c r="H115" s="35" t="str">
        <f t="shared" si="8"/>
      </c>
    </row>
    <row r="116" spans="1:8" ht="20.05" customHeight="1" outlineLevel="2" ns3:dyDescent="0.4">
      <c r="A116" s="15"/>
      <c r="B116" s="15"/>
      <c r="C116" s="12"/>
      <c r="D116" s="33"/>
      <c r="E116" s="13"/>
      <c r="F116" s="11"/>
      <c r="G116" s="16" t="str">
        <f t="shared" ca="1" si="13"/>
      </c>
      <c r="H116" s="35" t="str">
        <f t="shared" si="8"/>
      </c>
    </row>
    <row r="117" spans="1:8" outlineLevel="2" ns3:dyDescent="0.4">
      <c r="G117" t="str">
        <f ca="1">IF(AND(B117&lt;&gt;"",ISNUMBER(D117),OR(E117="Open",E117="In progress",E117="Blocked")),IF(D117&lt;TODAY(),"Overdue",""),"")</f>
      </c>
      <c r="H117" s="35" t="str">
        <f t="shared" si="8"/>
      </c>
    </row>
    <row r="118" spans="1:8" outlineLevel="2" ns3:dyDescent="0.4">
      <c r="G118" t="str">
        <f ca="1">IF(AND(B118&lt;&gt;"",ISNUMBER(D118),OR(E118="Open",E118="In progress",E118="Blocked")),IF(D118&lt;TODAY(),"Overdue",""),"")</f>
      </c>
      <c r="H118" s="35" t="str">
        <f t="shared" si="8"/>
      </c>
    </row>
  </sheetData>
  <autoFilter ref="A3:H118" ns2:uid="{00000000-0001-0000-0200-000000000000}">
    <filterColumn colId="7">
      <filters>
        <filter val="Show"/>
      </filters>
    </filterColumn>
  </autoFilter>
  <mergeCells count="15">
    <mergeCell ref="A99:G99"/>
    <mergeCell ref="A110:G110"/>
    <mergeCell ref="A60:G60"/>
    <mergeCell ref="A61:G61"/>
    <mergeCell ref="A68:G68"/>
    <mergeCell ref="A79:G79"/>
    <mergeCell ref="A90:G90"/>
    <mergeCell ref="A98:G98"/>
    <mergeCell ref="A52:G52"/>
    <mergeCell ref="A45:G45"/>
    <mergeCell ref="A4:G4"/>
    <mergeCell ref="A5:G5"/>
    <mergeCell ref="A12:G12"/>
    <mergeCell ref="A23:G23"/>
    <mergeCell ref="A34:G34"/>
  </mergeCells>
  <conditionalFormatting sqref="A6:F11 A13:F22 A24:F33 A35:F44 A46:F51 A53:F59 A62:F67 A69:F78 A80:F89 A91:F97 A100:F109 A111:F118 A4:A5 A12 A23 A34 A45 A52 A60:A61 A68 A79 A90 A98:A99 A110">
    <cfRule type="expression" dxfId="5" priority="81">
      <formula>OR($E4="Done",$E4="Cancelled")</formula>
    </cfRule>
  </conditionalFormatting>
  <conditionalFormatting sqref="E6:E11 E13:E22 E24:E33 E35:E44 E46:E51 E53:E59 E62:E67 E69:E78 E80:E89 E91:E97 E100:E109 E111:E118">
    <cfRule type="cellIs" dxfId="4" priority="2" operator="equal">
      <formula>"Blocked"</formula>
    </cfRule>
  </conditionalFormatting>
  <conditionalFormatting sqref="G6:G11 G13:G22 G24:G33 G35:G44 G46:G51 G53:G59 G62:G67 G69:G78 G80:G89 G91:G97 G100:G109 G111:G118">
    <cfRule type="cellIs" dxfId="3" priority="1" operator="equal">
      <formula>"Overdue"</formula>
    </cfRule>
  </conditionalFormatting>
  <dataValidations count="1">
    <dataValidation type="date" operator="greaterThan" allowBlank="1" showErrorMessage="1" error="Enter a date." sqref="D6:D11 D13:D22 D24:D33 D35:D44 D111:D118 D62:D67 D69:D78 D80:D89 D91:D97 D53:D59 D46:D51 D100:D109" ns2:uid="{00000000-0002-0000-0200-000000000000}">
      <formula1>36526</formula1>
    </dataValidation>
  </dataValidations>
  <pageMargins left="0.7" right="0.7" top="0.75" bottom="0.75" header="0.3" footer="0.3"/>
  <extLst>
    <ext uri="{CCE6A557-97BC-4b89-ADB6-D9C93CAAB3DF}">
      <ns4:dataValidations count="1">
        <ns4:dataValidation type="list" ns2:uid="{00000000-0002-0000-0200-000001000000}">
          <ns4:formula1>
            <ns5:f>Lists!$D$2:$D$6</ns5:f>
          </ns4:formula1>
          <ns5:sqref>E6:E11 E111:E118 E13:E22 E91:E97 E80:E89 E69:E78 E62:E67 E53:E59 E46:E51 E35:E44 E24:E33 E100:E109</ns5:sqref>
        </ns4:dataValidation>
      </ns4:dataValidations>
    </ext>
  </extLst>
</worksheet>
</file>

<file path=xl/worksheets/sheet4.xml><?xml version="1.0" encoding="utf-8"?>
<worksheet xmlns="http://schemas.openxmlformats.org/spreadsheetml/2006/main" xmlns:ns1="http://schemas.openxmlformats.org/markup-compatibility/2006" xmlns:ns2="http://schemas.microsoft.com/office/spreadsheetml/2014/revision" xmlns:ns3="http://schemas.microsoft.com/office/spreadsheetml/2009/9/ac" ns1:Ignorable="x14ac xr xr2 xr3" ns2:uid="{2C347B75-DC86-4ADE-A37F-D18B7241A5F8}">
  <dimension ref="A1:G1000"/>
  <sheetViews>
    <sheetView workbookViewId="0">
      <selection activeCell="F104" sqref="F104"/>
    </sheetView>
  </sheetViews>
  <sheetFormatPr defaultRowHeight="14.6" ns3:dyDescent="0.4"/>
  <cols>
    <col min="1" max="1" width="14.3828125" style="76" customWidth="1"/>
    <col min="2" max="2" width="53.84375" style="76" customWidth="1"/>
    <col min="3" max="3" width="23.3046875" style="76" customWidth="1"/>
    <col min="4" max="5" width="15.23046875" style="76" customWidth="1"/>
    <col min="6" max="6" width="46.69140625" style="76" customWidth="1"/>
    <col min="7" max="7" width="12.53515625" style="76" customWidth="1"/>
  </cols>
  <sheetData>
    <row r="1" spans="1:7" ht="30" customHeight="1" ns3:dyDescent="0.4">
      <c r="A1" s="73" t="s">
        <v>85</v>
      </c>
      <c r="B1" s="73"/>
      <c r="C1" s="73"/>
      <c r="D1" s="73"/>
      <c r="E1" s="73"/>
      <c r="F1" s="73"/>
      <c r="G1" s="73"/>
    </row>
    <row r="2" spans="1:7" ht="24" customHeight="1" ns3:dyDescent="0.4">
      <c r="A2" s="74" t="s">
        <v>86</v>
      </c>
      <c r="B2" s="74"/>
      <c r="C2" s="74"/>
      <c r="D2" s="74"/>
      <c r="E2" s="74"/>
      <c r="F2" s="74"/>
      <c r="G2" s="74"/>
    </row>
    <row r="3" spans="1:7" ns3:dyDescent="0.4">
      <c r="A3" s="75" t="s">
        <v>32</v>
      </c>
      <c r="B3" s="75" t="s">
        <v>33</v>
      </c>
      <c r="C3" s="75" t="s">
        <v>34</v>
      </c>
      <c r="D3" s="75" t="s">
        <v>35</v>
      </c>
      <c r="E3" s="75" t="s">
        <v>36</v>
      </c>
      <c r="F3" s="75" t="s">
        <v>37</v>
      </c>
      <c r="G3" s="75" t="s">
        <v>38</v>
      </c>
    </row>
    <row r="4" spans="1:7" ht="29.15" ns3:dyDescent="0.4">
      <c r="A4" s="76" t="str" cm="1">
        <f t="array" aca="1" ref="A4:G5" ca="1">_xlfn.LET(_xlpm.a,Actions!A4:A1000,_xlpm.b,Actions!B4:B1000,_xlpm.c,Actions!C4:C1000,_xlpm.d,Actions!D4:D1000,_xlpm.s,Actions!E4:E1000,_xlpm.f,Actions!F4:F1000,_xlpm.g,Actions!G4:G1000,_xlfn._xlws.FILTER(_xlfn.HSTACK(_xlpm.a,_xlpm.b,_xlpm.c,IF(_xlpm.d="","",_xlpm.d),_xlpm.s,_xlpm.f,_xlpm.g),(_xlpm.s="Closed")+(_xlpm.s="Done")+(_xlpm.s="Cancelled"),"No closed actions"))</f>
      </c>
      <c r="B4" s="77" t="str">
        <f ca="1"/>
      </c>
      <c r="C4" s="76" t="str">
        <f ca="1"/>
      </c>
      <c r="D4" s="78" t="str">
        <f ca="1"/>
      </c>
      <c r="E4" s="76" t="str">
        <f ca="1"/>
      </c>
      <c r="F4" s="77" t="str">
        <f ca="1"/>
      </c>
      <c r="G4" s="76" t="str">
        <f ca="1"/>
      </c>
    </row>
    <row r="5" spans="1:7" ht="29.15" ns3:dyDescent="0.4">
      <c r="A5" s="76" t="str">
        <f ca="1"/>
      </c>
      <c r="B5" s="77" t="str">
        <f ca="1"/>
      </c>
      <c r="C5" s="76" t="str">
        <f ca="1"/>
      </c>
      <c r="D5" s="78" t="str">
        <f ca="1"/>
      </c>
      <c r="E5" s="76" t="str">
        <f ca="1"/>
      </c>
      <c r="F5" s="77" t="str">
        <f ca="1"/>
      </c>
      <c r="G5" s="76" t="str">
        <f ca="1"/>
      </c>
    </row>
    <row r="6" spans="1:7" ns3:dyDescent="0.4">
      <c r="B6" s="77"/>
      <c r="D6" s="78"/>
      <c r="F6" s="77"/>
    </row>
    <row r="7" spans="1:7" ns3:dyDescent="0.4">
      <c r="B7" s="77"/>
      <c r="D7" s="78"/>
      <c r="F7" s="77"/>
    </row>
    <row r="8" spans="1:7" ns3:dyDescent="0.4">
      <c r="B8" s="77"/>
      <c r="D8" s="78"/>
      <c r="F8" s="77"/>
    </row>
    <row r="9" spans="1:7" ns3:dyDescent="0.4">
      <c r="B9" s="77"/>
      <c r="D9" s="78"/>
      <c r="F9" s="77"/>
    </row>
    <row r="10" spans="1:7" ns3:dyDescent="0.4">
      <c r="B10" s="77"/>
      <c r="D10" s="78"/>
      <c r="F10" s="77"/>
    </row>
    <row r="11" spans="1:7" ns3:dyDescent="0.4">
      <c r="B11" s="77"/>
      <c r="D11" s="78"/>
      <c r="F11" s="77"/>
    </row>
    <row r="12" spans="1:7" ns3:dyDescent="0.4">
      <c r="B12" s="77"/>
      <c r="D12" s="78"/>
      <c r="F12" s="77"/>
    </row>
    <row r="13" spans="1:7" ns3:dyDescent="0.4">
      <c r="B13" s="77"/>
      <c r="D13" s="78"/>
      <c r="F13" s="77"/>
    </row>
    <row r="14" spans="1:7" ns3:dyDescent="0.4">
      <c r="B14" s="77"/>
      <c r="D14" s="78"/>
      <c r="F14" s="77"/>
    </row>
    <row r="15" spans="1:7" ns3:dyDescent="0.4">
      <c r="B15" s="77"/>
      <c r="D15" s="78"/>
      <c r="F15" s="77"/>
    </row>
    <row r="16" spans="1:7" ns3:dyDescent="0.4">
      <c r="B16" s="77"/>
      <c r="D16" s="78"/>
      <c r="F16" s="77"/>
    </row>
    <row r="17" spans="2:6" ns3:dyDescent="0.4">
      <c r="B17" s="77"/>
      <c r="D17" s="78"/>
      <c r="F17" s="77"/>
    </row>
    <row r="18" spans="2:6" ns3:dyDescent="0.4">
      <c r="B18" s="77"/>
      <c r="D18" s="78"/>
      <c r="F18" s="77"/>
    </row>
    <row r="19" spans="2:6" ns3:dyDescent="0.4">
      <c r="B19" s="77"/>
      <c r="D19" s="78"/>
      <c r="F19" s="77"/>
    </row>
    <row r="20" spans="2:6" ns3:dyDescent="0.4">
      <c r="B20" s="77"/>
      <c r="D20" s="78"/>
      <c r="F20" s="77"/>
    </row>
    <row r="21" spans="2:6" ns3:dyDescent="0.4">
      <c r="B21" s="77"/>
      <c r="D21" s="78"/>
      <c r="F21" s="77"/>
    </row>
    <row r="22" spans="2:6" ns3:dyDescent="0.4">
      <c r="B22" s="77"/>
      <c r="D22" s="78"/>
      <c r="F22" s="77"/>
    </row>
    <row r="23" spans="2:6" ns3:dyDescent="0.4">
      <c r="B23" s="77"/>
      <c r="D23" s="78"/>
      <c r="F23" s="77"/>
    </row>
    <row r="24" spans="2:6" ns3:dyDescent="0.4">
      <c r="B24" s="77"/>
      <c r="D24" s="78"/>
      <c r="F24" s="77"/>
    </row>
    <row r="25" spans="2:6" ns3:dyDescent="0.4">
      <c r="B25" s="77"/>
      <c r="D25" s="78"/>
      <c r="F25" s="77"/>
    </row>
    <row r="26" spans="2:6" ns3:dyDescent="0.4">
      <c r="B26" s="77"/>
      <c r="D26" s="78"/>
      <c r="F26" s="77"/>
    </row>
    <row r="27" spans="2:6" ns3:dyDescent="0.4">
      <c r="B27" s="77"/>
      <c r="D27" s="78"/>
      <c r="F27" s="77"/>
    </row>
    <row r="28" spans="2:6" ns3:dyDescent="0.4">
      <c r="B28" s="77"/>
      <c r="D28" s="78"/>
      <c r="F28" s="77"/>
    </row>
    <row r="29" spans="2:6" ns3:dyDescent="0.4">
      <c r="B29" s="77"/>
      <c r="D29" s="78"/>
      <c r="F29" s="77"/>
    </row>
    <row r="30" spans="2:6" ns3:dyDescent="0.4">
      <c r="B30" s="77"/>
      <c r="D30" s="78"/>
      <c r="F30" s="77"/>
    </row>
    <row r="31" spans="2:6" ns3:dyDescent="0.4">
      <c r="B31" s="77"/>
      <c r="D31" s="78"/>
      <c r="F31" s="77"/>
    </row>
    <row r="32" spans="2:6" ns3:dyDescent="0.4">
      <c r="B32" s="77"/>
      <c r="D32" s="78"/>
      <c r="F32" s="77"/>
    </row>
    <row r="33" spans="2:6" ns3:dyDescent="0.4">
      <c r="B33" s="77"/>
      <c r="D33" s="78"/>
      <c r="F33" s="77"/>
    </row>
    <row r="34" spans="2:6" ns3:dyDescent="0.4">
      <c r="B34" s="77"/>
      <c r="D34" s="78"/>
      <c r="F34" s="77"/>
    </row>
    <row r="35" spans="2:6" ns3:dyDescent="0.4">
      <c r="B35" s="77"/>
      <c r="D35" s="78"/>
      <c r="F35" s="77"/>
    </row>
    <row r="36" spans="2:6" ns3:dyDescent="0.4">
      <c r="B36" s="77"/>
      <c r="D36" s="78"/>
      <c r="F36" s="77"/>
    </row>
    <row r="37" spans="2:6" ns3:dyDescent="0.4">
      <c r="B37" s="77"/>
      <c r="D37" s="78"/>
      <c r="F37" s="77"/>
    </row>
    <row r="38" spans="2:6" ns3:dyDescent="0.4">
      <c r="B38" s="77"/>
      <c r="D38" s="78"/>
      <c r="F38" s="77"/>
    </row>
    <row r="39" spans="2:6" ns3:dyDescent="0.4">
      <c r="B39" s="77"/>
      <c r="D39" s="78"/>
      <c r="F39" s="77"/>
    </row>
    <row r="40" spans="2:6" ns3:dyDescent="0.4">
      <c r="B40" s="77"/>
      <c r="D40" s="78"/>
      <c r="F40" s="77"/>
    </row>
    <row r="41" spans="2:6" ns3:dyDescent="0.4">
      <c r="B41" s="77"/>
      <c r="D41" s="78"/>
      <c r="F41" s="77"/>
    </row>
    <row r="42" spans="2:6" ns3:dyDescent="0.4">
      <c r="B42" s="77"/>
      <c r="D42" s="78"/>
      <c r="F42" s="77"/>
    </row>
    <row r="43" spans="2:6" ns3:dyDescent="0.4">
      <c r="B43" s="77"/>
      <c r="D43" s="78"/>
      <c r="F43" s="77"/>
    </row>
    <row r="44" spans="2:6" ns3:dyDescent="0.4">
      <c r="B44" s="77"/>
      <c r="D44" s="78"/>
      <c r="F44" s="77"/>
    </row>
    <row r="45" spans="2:6" ns3:dyDescent="0.4">
      <c r="B45" s="77"/>
      <c r="D45" s="78"/>
      <c r="F45" s="77"/>
    </row>
    <row r="46" spans="2:6" ns3:dyDescent="0.4">
      <c r="B46" s="77"/>
      <c r="D46" s="78"/>
      <c r="F46" s="77"/>
    </row>
    <row r="47" spans="2:6" ns3:dyDescent="0.4">
      <c r="B47" s="77"/>
      <c r="D47" s="78"/>
      <c r="F47" s="77"/>
    </row>
    <row r="48" spans="2:6" ns3:dyDescent="0.4">
      <c r="B48" s="77"/>
      <c r="D48" s="78"/>
      <c r="F48" s="77"/>
    </row>
    <row r="49" spans="2:6" ns3:dyDescent="0.4">
      <c r="B49" s="77"/>
      <c r="D49" s="78"/>
      <c r="F49" s="77"/>
    </row>
    <row r="50" spans="2:6" ns3:dyDescent="0.4">
      <c r="B50" s="77"/>
      <c r="D50" s="78"/>
      <c r="F50" s="77"/>
    </row>
    <row r="51" spans="2:6" ns3:dyDescent="0.4">
      <c r="B51" s="77"/>
      <c r="D51" s="78"/>
      <c r="F51" s="77"/>
    </row>
    <row r="52" spans="2:6" ns3:dyDescent="0.4">
      <c r="B52" s="77"/>
      <c r="D52" s="78"/>
      <c r="F52" s="77"/>
    </row>
    <row r="53" spans="2:6" ns3:dyDescent="0.4">
      <c r="B53" s="77"/>
      <c r="D53" s="78"/>
      <c r="F53" s="77"/>
    </row>
    <row r="54" spans="2:6" ns3:dyDescent="0.4">
      <c r="B54" s="77"/>
      <c r="D54" s="78"/>
      <c r="F54" s="77"/>
    </row>
    <row r="55" spans="2:6" ns3:dyDescent="0.4">
      <c r="B55" s="77"/>
      <c r="D55" s="78"/>
      <c r="F55" s="77"/>
    </row>
    <row r="56" spans="2:6" ns3:dyDescent="0.4">
      <c r="B56" s="77"/>
      <c r="D56" s="78"/>
      <c r="F56" s="77"/>
    </row>
    <row r="57" spans="2:6" ns3:dyDescent="0.4">
      <c r="B57" s="77"/>
      <c r="D57" s="78"/>
      <c r="F57" s="77"/>
    </row>
    <row r="58" spans="2:6" ns3:dyDescent="0.4">
      <c r="B58" s="77"/>
      <c r="D58" s="78"/>
      <c r="F58" s="77"/>
    </row>
    <row r="59" spans="2:6" ns3:dyDescent="0.4">
      <c r="B59" s="77"/>
      <c r="D59" s="78"/>
      <c r="F59" s="77"/>
    </row>
    <row r="60" spans="2:6" ns3:dyDescent="0.4">
      <c r="B60" s="77"/>
      <c r="D60" s="78"/>
      <c r="F60" s="77"/>
    </row>
    <row r="61" spans="2:6" ns3:dyDescent="0.4">
      <c r="B61" s="77"/>
      <c r="D61" s="78"/>
      <c r="F61" s="77"/>
    </row>
    <row r="62" spans="2:6" ns3:dyDescent="0.4">
      <c r="B62" s="77"/>
      <c r="D62" s="78"/>
      <c r="F62" s="77"/>
    </row>
    <row r="63" spans="2:6" ns3:dyDescent="0.4">
      <c r="B63" s="77"/>
      <c r="D63" s="78"/>
      <c r="F63" s="77"/>
    </row>
    <row r="64" spans="2:6" ns3:dyDescent="0.4">
      <c r="B64" s="77"/>
      <c r="D64" s="78"/>
      <c r="F64" s="77"/>
    </row>
    <row r="65" spans="2:6" ns3:dyDescent="0.4">
      <c r="B65" s="77"/>
      <c r="D65" s="78"/>
      <c r="F65" s="77"/>
    </row>
    <row r="66" spans="2:6" ns3:dyDescent="0.4">
      <c r="B66" s="77"/>
      <c r="D66" s="78"/>
      <c r="F66" s="77"/>
    </row>
    <row r="67" spans="2:6" ns3:dyDescent="0.4">
      <c r="B67" s="77"/>
      <c r="D67" s="78"/>
      <c r="F67" s="77"/>
    </row>
    <row r="68" spans="2:6" ns3:dyDescent="0.4">
      <c r="B68" s="77"/>
      <c r="D68" s="78"/>
      <c r="F68" s="77"/>
    </row>
    <row r="69" spans="2:6" ns3:dyDescent="0.4">
      <c r="B69" s="77"/>
      <c r="D69" s="78"/>
      <c r="F69" s="77"/>
    </row>
    <row r="70" spans="2:6" ns3:dyDescent="0.4">
      <c r="B70" s="77"/>
      <c r="D70" s="78"/>
      <c r="F70" s="77"/>
    </row>
    <row r="71" spans="2:6" ns3:dyDescent="0.4">
      <c r="B71" s="77"/>
      <c r="D71" s="78"/>
      <c r="F71" s="77"/>
    </row>
    <row r="72" spans="2:6" ns3:dyDescent="0.4">
      <c r="B72" s="77"/>
      <c r="D72" s="78"/>
      <c r="F72" s="77"/>
    </row>
    <row r="73" spans="2:6" ns3:dyDescent="0.4">
      <c r="B73" s="77"/>
      <c r="D73" s="78"/>
      <c r="F73" s="77"/>
    </row>
    <row r="74" spans="2:6" ns3:dyDescent="0.4">
      <c r="B74" s="77"/>
      <c r="D74" s="78"/>
      <c r="F74" s="77"/>
    </row>
    <row r="75" spans="2:6" ns3:dyDescent="0.4">
      <c r="B75" s="77"/>
      <c r="D75" s="78"/>
      <c r="F75" s="77"/>
    </row>
    <row r="76" spans="2:6" ns3:dyDescent="0.4">
      <c r="B76" s="77"/>
      <c r="D76" s="78"/>
      <c r="F76" s="77"/>
    </row>
    <row r="77" spans="2:6" ns3:dyDescent="0.4">
      <c r="B77" s="77"/>
      <c r="D77" s="78"/>
      <c r="F77" s="77"/>
    </row>
    <row r="78" spans="2:6" ns3:dyDescent="0.4">
      <c r="B78" s="77"/>
      <c r="D78" s="78"/>
      <c r="F78" s="77"/>
    </row>
    <row r="79" spans="2:6" ns3:dyDescent="0.4">
      <c r="B79" s="77"/>
      <c r="D79" s="78"/>
      <c r="F79" s="77"/>
    </row>
    <row r="80" spans="2:6" ns3:dyDescent="0.4">
      <c r="B80" s="77"/>
      <c r="D80" s="78"/>
      <c r="F80" s="77"/>
    </row>
    <row r="81" spans="2:6" ns3:dyDescent="0.4">
      <c r="B81" s="77"/>
      <c r="D81" s="78"/>
      <c r="F81" s="77"/>
    </row>
    <row r="82" spans="2:6" ns3:dyDescent="0.4">
      <c r="B82" s="77"/>
      <c r="D82" s="78"/>
      <c r="F82" s="77"/>
    </row>
    <row r="83" spans="2:6" ns3:dyDescent="0.4">
      <c r="B83" s="77"/>
      <c r="D83" s="78"/>
      <c r="F83" s="77"/>
    </row>
    <row r="84" spans="2:6" ns3:dyDescent="0.4">
      <c r="B84" s="77"/>
      <c r="D84" s="78"/>
      <c r="F84" s="77"/>
    </row>
    <row r="85" spans="2:6" ns3:dyDescent="0.4">
      <c r="B85" s="77"/>
      <c r="D85" s="78"/>
      <c r="F85" s="77"/>
    </row>
    <row r="86" spans="2:6" ns3:dyDescent="0.4">
      <c r="B86" s="77"/>
      <c r="D86" s="78"/>
      <c r="F86" s="77"/>
    </row>
    <row r="87" spans="2:6" ns3:dyDescent="0.4">
      <c r="B87" s="77"/>
      <c r="D87" s="78"/>
      <c r="F87" s="77"/>
    </row>
    <row r="88" spans="2:6" ns3:dyDescent="0.4">
      <c r="B88" s="77"/>
      <c r="D88" s="78"/>
      <c r="F88" s="77"/>
    </row>
    <row r="89" spans="2:6" ns3:dyDescent="0.4">
      <c r="B89" s="77"/>
      <c r="D89" s="78"/>
      <c r="F89" s="77"/>
    </row>
    <row r="90" spans="2:6" ns3:dyDescent="0.4">
      <c r="B90" s="77"/>
      <c r="D90" s="78"/>
      <c r="F90" s="77"/>
    </row>
    <row r="91" spans="2:6" ns3:dyDescent="0.4">
      <c r="B91" s="77"/>
      <c r="D91" s="78"/>
      <c r="F91" s="77"/>
    </row>
    <row r="92" spans="2:6" ns3:dyDescent="0.4">
      <c r="B92" s="77"/>
      <c r="D92" s="78"/>
      <c r="F92" s="77"/>
    </row>
    <row r="93" spans="2:6" ns3:dyDescent="0.4">
      <c r="B93" s="77"/>
      <c r="D93" s="78"/>
      <c r="F93" s="77"/>
    </row>
    <row r="94" spans="2:6" ns3:dyDescent="0.4">
      <c r="B94" s="77"/>
      <c r="D94" s="78"/>
      <c r="F94" s="77"/>
    </row>
    <row r="95" spans="2:6" ns3:dyDescent="0.4">
      <c r="B95" s="77"/>
      <c r="D95" s="78"/>
      <c r="F95" s="77"/>
    </row>
    <row r="96" spans="2:6" ns3:dyDescent="0.4">
      <c r="B96" s="77"/>
      <c r="D96" s="78"/>
      <c r="F96" s="77"/>
    </row>
    <row r="97" spans="2:6" ns3:dyDescent="0.4">
      <c r="B97" s="77"/>
      <c r="D97" s="78"/>
      <c r="F97" s="77"/>
    </row>
    <row r="98" spans="2:6" ns3:dyDescent="0.4">
      <c r="B98" s="77"/>
      <c r="D98" s="78"/>
      <c r="F98" s="77"/>
    </row>
    <row r="99" spans="2:6" ns3:dyDescent="0.4">
      <c r="B99" s="77"/>
      <c r="D99" s="78"/>
      <c r="F99" s="77"/>
    </row>
    <row r="100" spans="2:6" ns3:dyDescent="0.4">
      <c r="B100" s="77"/>
      <c r="D100" s="78"/>
      <c r="F100" s="77"/>
    </row>
    <row r="101" spans="2:6" ns3:dyDescent="0.4">
      <c r="B101" s="77"/>
      <c r="D101" s="78"/>
      <c r="F101" s="77"/>
    </row>
    <row r="102" spans="2:6" ns3:dyDescent="0.4">
      <c r="B102" s="77"/>
      <c r="D102" s="78"/>
      <c r="F102" s="77"/>
    </row>
    <row r="103" spans="2:6" ns3:dyDescent="0.4">
      <c r="B103" s="77"/>
      <c r="D103" s="78"/>
      <c r="F103" s="77"/>
    </row>
    <row r="104" spans="2:6" ns3:dyDescent="0.4">
      <c r="B104" s="77"/>
      <c r="D104" s="78"/>
      <c r="F104" s="77"/>
    </row>
    <row r="105" spans="2:6" ns3:dyDescent="0.4">
      <c r="B105" s="77"/>
      <c r="D105" s="78"/>
      <c r="F105" s="77"/>
    </row>
    <row r="106" spans="2:6" ns3:dyDescent="0.4">
      <c r="B106" s="77"/>
      <c r="D106" s="78"/>
      <c r="F106" s="77"/>
    </row>
    <row r="107" spans="2:6" ns3:dyDescent="0.4">
      <c r="B107" s="77"/>
      <c r="D107" s="78"/>
      <c r="F107" s="77"/>
    </row>
    <row r="108" spans="2:6" ns3:dyDescent="0.4">
      <c r="B108" s="77"/>
      <c r="D108" s="78"/>
      <c r="F108" s="77"/>
    </row>
    <row r="109" spans="2:6" ns3:dyDescent="0.4">
      <c r="B109" s="77"/>
      <c r="D109" s="78"/>
      <c r="F109" s="77"/>
    </row>
    <row r="110" spans="2:6" ns3:dyDescent="0.4">
      <c r="B110" s="77"/>
      <c r="D110" s="78"/>
      <c r="F110" s="77"/>
    </row>
    <row r="111" spans="2:6" ns3:dyDescent="0.4">
      <c r="B111" s="77"/>
      <c r="D111" s="78"/>
      <c r="F111" s="77"/>
    </row>
    <row r="112" spans="2:6" ns3:dyDescent="0.4">
      <c r="B112" s="77"/>
      <c r="D112" s="78"/>
      <c r="F112" s="77"/>
    </row>
    <row r="113" spans="2:6" ns3:dyDescent="0.4">
      <c r="B113" s="77"/>
      <c r="D113" s="78"/>
      <c r="F113" s="77"/>
    </row>
    <row r="114" spans="2:6" ns3:dyDescent="0.4">
      <c r="B114" s="77"/>
      <c r="D114" s="78"/>
      <c r="F114" s="77"/>
    </row>
    <row r="115" spans="2:6" ns3:dyDescent="0.4">
      <c r="B115" s="77"/>
      <c r="D115" s="78"/>
      <c r="F115" s="77"/>
    </row>
    <row r="116" spans="2:6" ns3:dyDescent="0.4">
      <c r="B116" s="77"/>
      <c r="D116" s="78"/>
      <c r="F116" s="77"/>
    </row>
    <row r="117" spans="2:6" ns3:dyDescent="0.4">
      <c r="B117" s="77"/>
      <c r="D117" s="78"/>
      <c r="F117" s="77"/>
    </row>
    <row r="118" spans="2:6" ns3:dyDescent="0.4">
      <c r="B118" s="77"/>
      <c r="D118" s="78"/>
      <c r="F118" s="77"/>
    </row>
    <row r="119" spans="2:6" ns3:dyDescent="0.4">
      <c r="B119" s="77"/>
      <c r="D119" s="78"/>
      <c r="F119" s="77"/>
    </row>
    <row r="120" spans="2:6" ns3:dyDescent="0.4">
      <c r="B120" s="77"/>
      <c r="D120" s="78"/>
      <c r="F120" s="77"/>
    </row>
    <row r="121" spans="2:6" ns3:dyDescent="0.4">
      <c r="B121" s="77"/>
      <c r="D121" s="78"/>
      <c r="F121" s="77"/>
    </row>
    <row r="122" spans="2:6" ns3:dyDescent="0.4">
      <c r="B122" s="77"/>
      <c r="D122" s="78"/>
      <c r="F122" s="77"/>
    </row>
    <row r="123" spans="2:6" ns3:dyDescent="0.4">
      <c r="B123" s="77"/>
      <c r="D123" s="78"/>
      <c r="F123" s="77"/>
    </row>
    <row r="124" spans="2:6" ns3:dyDescent="0.4">
      <c r="B124" s="77"/>
      <c r="D124" s="78"/>
      <c r="F124" s="77"/>
    </row>
    <row r="125" spans="2:6" ns3:dyDescent="0.4">
      <c r="B125" s="77"/>
      <c r="D125" s="78"/>
      <c r="F125" s="77"/>
    </row>
    <row r="126" spans="2:6" ns3:dyDescent="0.4">
      <c r="B126" s="77"/>
      <c r="D126" s="78"/>
      <c r="F126" s="77"/>
    </row>
    <row r="127" spans="2:6" ns3:dyDescent="0.4">
      <c r="B127" s="77"/>
      <c r="D127" s="78"/>
      <c r="F127" s="77"/>
    </row>
    <row r="128" spans="2:6" ns3:dyDescent="0.4">
      <c r="B128" s="77"/>
      <c r="D128" s="78"/>
      <c r="F128" s="77"/>
    </row>
    <row r="129" spans="2:6" ns3:dyDescent="0.4">
      <c r="B129" s="77"/>
      <c r="D129" s="78"/>
      <c r="F129" s="77"/>
    </row>
    <row r="130" spans="2:6" ns3:dyDescent="0.4">
      <c r="B130" s="77"/>
      <c r="D130" s="78"/>
      <c r="F130" s="77"/>
    </row>
    <row r="131" spans="2:6" ns3:dyDescent="0.4">
      <c r="B131" s="77"/>
      <c r="D131" s="78"/>
      <c r="F131" s="77"/>
    </row>
    <row r="132" spans="2:6" ns3:dyDescent="0.4">
      <c r="B132" s="77"/>
      <c r="D132" s="78"/>
      <c r="F132" s="77"/>
    </row>
    <row r="133" spans="2:6" ns3:dyDescent="0.4">
      <c r="B133" s="77"/>
      <c r="D133" s="78"/>
      <c r="F133" s="77"/>
    </row>
    <row r="134" spans="2:6" ns3:dyDescent="0.4">
      <c r="B134" s="77"/>
      <c r="D134" s="78"/>
      <c r="F134" s="77"/>
    </row>
    <row r="135" spans="2:6" ns3:dyDescent="0.4">
      <c r="B135" s="77"/>
      <c r="D135" s="78"/>
      <c r="F135" s="77"/>
    </row>
    <row r="136" spans="2:6" ns3:dyDescent="0.4">
      <c r="B136" s="77"/>
      <c r="D136" s="78"/>
      <c r="F136" s="77"/>
    </row>
    <row r="137" spans="2:6" ns3:dyDescent="0.4">
      <c r="B137" s="77"/>
      <c r="D137" s="78"/>
      <c r="F137" s="77"/>
    </row>
    <row r="138" spans="2:6" ns3:dyDescent="0.4">
      <c r="B138" s="77"/>
      <c r="D138" s="78"/>
      <c r="F138" s="77"/>
    </row>
    <row r="139" spans="2:6" ns3:dyDescent="0.4">
      <c r="B139" s="77"/>
      <c r="D139" s="78"/>
      <c r="F139" s="77"/>
    </row>
    <row r="140" spans="2:6" ns3:dyDescent="0.4">
      <c r="B140" s="77"/>
      <c r="D140" s="78"/>
      <c r="F140" s="77"/>
    </row>
    <row r="141" spans="2:6" ns3:dyDescent="0.4">
      <c r="B141" s="77"/>
      <c r="D141" s="78"/>
      <c r="F141" s="77"/>
    </row>
    <row r="142" spans="2:6" ns3:dyDescent="0.4">
      <c r="B142" s="77"/>
      <c r="D142" s="78"/>
      <c r="F142" s="77"/>
    </row>
    <row r="143" spans="2:6" ns3:dyDescent="0.4">
      <c r="B143" s="77"/>
      <c r="D143" s="78"/>
      <c r="F143" s="77"/>
    </row>
    <row r="144" spans="2:6" ns3:dyDescent="0.4">
      <c r="B144" s="77"/>
      <c r="D144" s="78"/>
      <c r="F144" s="77"/>
    </row>
    <row r="145" spans="2:6" ns3:dyDescent="0.4">
      <c r="B145" s="77"/>
      <c r="D145" s="78"/>
      <c r="F145" s="77"/>
    </row>
    <row r="146" spans="2:6" ns3:dyDescent="0.4">
      <c r="B146" s="77"/>
      <c r="D146" s="78"/>
      <c r="F146" s="77"/>
    </row>
    <row r="147" spans="2:6" ns3:dyDescent="0.4">
      <c r="B147" s="77"/>
      <c r="D147" s="78"/>
      <c r="F147" s="77"/>
    </row>
    <row r="148" spans="2:6" ns3:dyDescent="0.4">
      <c r="B148" s="77"/>
      <c r="D148" s="78"/>
      <c r="F148" s="77"/>
    </row>
    <row r="149" spans="2:6" ns3:dyDescent="0.4">
      <c r="B149" s="77"/>
      <c r="D149" s="78"/>
      <c r="F149" s="77"/>
    </row>
    <row r="150" spans="2:6" ns3:dyDescent="0.4">
      <c r="B150" s="77"/>
      <c r="D150" s="78"/>
      <c r="F150" s="77"/>
    </row>
    <row r="151" spans="2:6" ns3:dyDescent="0.4">
      <c r="B151" s="77"/>
      <c r="D151" s="78"/>
      <c r="F151" s="77"/>
    </row>
    <row r="152" spans="2:6" ns3:dyDescent="0.4">
      <c r="B152" s="77"/>
      <c r="D152" s="78"/>
      <c r="F152" s="77"/>
    </row>
    <row r="153" spans="2:6" ns3:dyDescent="0.4">
      <c r="B153" s="77"/>
      <c r="D153" s="78"/>
      <c r="F153" s="77"/>
    </row>
    <row r="154" spans="2:6" ns3:dyDescent="0.4">
      <c r="B154" s="77"/>
      <c r="D154" s="78"/>
      <c r="F154" s="77"/>
    </row>
    <row r="155" spans="2:6" ns3:dyDescent="0.4">
      <c r="B155" s="77"/>
      <c r="D155" s="78"/>
      <c r="F155" s="77"/>
    </row>
    <row r="156" spans="2:6" ns3:dyDescent="0.4">
      <c r="B156" s="77"/>
      <c r="D156" s="78"/>
      <c r="F156" s="77"/>
    </row>
    <row r="157" spans="2:6" ns3:dyDescent="0.4">
      <c r="B157" s="77"/>
      <c r="D157" s="78"/>
      <c r="F157" s="77"/>
    </row>
    <row r="158" spans="2:6" ns3:dyDescent="0.4">
      <c r="B158" s="77"/>
      <c r="D158" s="78"/>
      <c r="F158" s="77"/>
    </row>
    <row r="159" spans="2:6" ns3:dyDescent="0.4">
      <c r="B159" s="77"/>
      <c r="D159" s="78"/>
      <c r="F159" s="77"/>
    </row>
    <row r="160" spans="2:6" ns3:dyDescent="0.4">
      <c r="B160" s="77"/>
      <c r="D160" s="78"/>
      <c r="F160" s="77"/>
    </row>
    <row r="161" spans="2:6" ns3:dyDescent="0.4">
      <c r="B161" s="77"/>
      <c r="D161" s="78"/>
      <c r="F161" s="77"/>
    </row>
    <row r="162" spans="2:6" ns3:dyDescent="0.4">
      <c r="B162" s="77"/>
      <c r="D162" s="78"/>
      <c r="F162" s="77"/>
    </row>
    <row r="163" spans="2:6" ns3:dyDescent="0.4">
      <c r="B163" s="77"/>
      <c r="D163" s="78"/>
      <c r="F163" s="77"/>
    </row>
    <row r="164" spans="2:6" ns3:dyDescent="0.4">
      <c r="B164" s="77"/>
      <c r="D164" s="78"/>
      <c r="F164" s="77"/>
    </row>
    <row r="165" spans="2:6" ns3:dyDescent="0.4">
      <c r="B165" s="77"/>
      <c r="D165" s="78"/>
      <c r="F165" s="77"/>
    </row>
    <row r="166" spans="2:6" ns3:dyDescent="0.4">
      <c r="B166" s="77"/>
      <c r="D166" s="78"/>
      <c r="F166" s="77"/>
    </row>
    <row r="167" spans="2:6" ns3:dyDescent="0.4">
      <c r="B167" s="77"/>
      <c r="D167" s="78"/>
      <c r="F167" s="77"/>
    </row>
    <row r="168" spans="2:6" ns3:dyDescent="0.4">
      <c r="B168" s="77"/>
      <c r="D168" s="78"/>
      <c r="F168" s="77"/>
    </row>
    <row r="169" spans="2:6" ns3:dyDescent="0.4">
      <c r="B169" s="77"/>
      <c r="D169" s="78"/>
      <c r="F169" s="77"/>
    </row>
    <row r="170" spans="2:6" ns3:dyDescent="0.4">
      <c r="B170" s="77"/>
      <c r="D170" s="78"/>
      <c r="F170" s="77"/>
    </row>
    <row r="171" spans="2:6" ns3:dyDescent="0.4">
      <c r="B171" s="77"/>
      <c r="D171" s="78"/>
      <c r="F171" s="77"/>
    </row>
    <row r="172" spans="2:6" ns3:dyDescent="0.4">
      <c r="B172" s="77"/>
      <c r="D172" s="78"/>
      <c r="F172" s="77"/>
    </row>
    <row r="173" spans="2:6" ns3:dyDescent="0.4">
      <c r="B173" s="77"/>
      <c r="D173" s="78"/>
      <c r="F173" s="77"/>
    </row>
    <row r="174" spans="2:6" ns3:dyDescent="0.4">
      <c r="B174" s="77"/>
      <c r="D174" s="78"/>
      <c r="F174" s="77"/>
    </row>
    <row r="175" spans="2:6" ns3:dyDescent="0.4">
      <c r="B175" s="77"/>
      <c r="D175" s="78"/>
      <c r="F175" s="77"/>
    </row>
    <row r="176" spans="2:6" ns3:dyDescent="0.4">
      <c r="B176" s="77"/>
      <c r="D176" s="78"/>
      <c r="F176" s="77"/>
    </row>
    <row r="177" spans="2:6" ns3:dyDescent="0.4">
      <c r="B177" s="77"/>
      <c r="D177" s="78"/>
      <c r="F177" s="77"/>
    </row>
    <row r="178" spans="2:6" ns3:dyDescent="0.4">
      <c r="B178" s="77"/>
      <c r="D178" s="78"/>
      <c r="F178" s="77"/>
    </row>
    <row r="179" spans="2:6" ns3:dyDescent="0.4">
      <c r="B179" s="77"/>
      <c r="D179" s="78"/>
      <c r="F179" s="77"/>
    </row>
    <row r="180" spans="2:6" ns3:dyDescent="0.4">
      <c r="B180" s="77"/>
      <c r="D180" s="78"/>
      <c r="F180" s="77"/>
    </row>
    <row r="181" spans="2:6" ns3:dyDescent="0.4">
      <c r="B181" s="77"/>
      <c r="D181" s="78"/>
      <c r="F181" s="77"/>
    </row>
    <row r="182" spans="2:6" ns3:dyDescent="0.4">
      <c r="B182" s="77"/>
      <c r="D182" s="78"/>
      <c r="F182" s="77"/>
    </row>
    <row r="183" spans="2:6" ns3:dyDescent="0.4">
      <c r="B183" s="77"/>
      <c r="D183" s="78"/>
      <c r="F183" s="77"/>
    </row>
    <row r="184" spans="2:6" ns3:dyDescent="0.4">
      <c r="B184" s="77"/>
      <c r="D184" s="78"/>
      <c r="F184" s="77"/>
    </row>
    <row r="185" spans="2:6" ns3:dyDescent="0.4">
      <c r="B185" s="77"/>
      <c r="D185" s="78"/>
      <c r="F185" s="77"/>
    </row>
    <row r="186" spans="2:6" ns3:dyDescent="0.4">
      <c r="B186" s="77"/>
      <c r="D186" s="78"/>
      <c r="F186" s="77"/>
    </row>
    <row r="187" spans="2:6" ns3:dyDescent="0.4">
      <c r="B187" s="77"/>
      <c r="D187" s="78"/>
      <c r="F187" s="77"/>
    </row>
    <row r="188" spans="2:6" ns3:dyDescent="0.4">
      <c r="B188" s="77"/>
      <c r="D188" s="78"/>
      <c r="F188" s="77"/>
    </row>
    <row r="189" spans="2:6" ns3:dyDescent="0.4">
      <c r="B189" s="77"/>
      <c r="D189" s="78"/>
      <c r="F189" s="77"/>
    </row>
    <row r="190" spans="2:6" ns3:dyDescent="0.4">
      <c r="B190" s="77"/>
      <c r="D190" s="78"/>
      <c r="F190" s="77"/>
    </row>
    <row r="191" spans="2:6" ns3:dyDescent="0.4">
      <c r="B191" s="77"/>
      <c r="D191" s="78"/>
      <c r="F191" s="77"/>
    </row>
    <row r="192" spans="2:6" ns3:dyDescent="0.4">
      <c r="B192" s="77"/>
      <c r="D192" s="78"/>
      <c r="F192" s="77"/>
    </row>
    <row r="193" spans="2:6" ns3:dyDescent="0.4">
      <c r="B193" s="77"/>
      <c r="D193" s="78"/>
      <c r="F193" s="77"/>
    </row>
    <row r="194" spans="2:6" ns3:dyDescent="0.4">
      <c r="B194" s="77"/>
      <c r="D194" s="78"/>
      <c r="F194" s="77"/>
    </row>
    <row r="195" spans="2:6" ns3:dyDescent="0.4">
      <c r="B195" s="77"/>
      <c r="D195" s="78"/>
      <c r="F195" s="77"/>
    </row>
    <row r="196" spans="2:6" ns3:dyDescent="0.4">
      <c r="B196" s="77"/>
      <c r="D196" s="78"/>
      <c r="F196" s="77"/>
    </row>
    <row r="197" spans="2:6" ns3:dyDescent="0.4">
      <c r="B197" s="77"/>
      <c r="D197" s="78"/>
      <c r="F197" s="77"/>
    </row>
    <row r="198" spans="2:6" ns3:dyDescent="0.4">
      <c r="B198" s="77"/>
      <c r="D198" s="78"/>
      <c r="F198" s="77"/>
    </row>
    <row r="199" spans="2:6" ns3:dyDescent="0.4">
      <c r="B199" s="77"/>
      <c r="D199" s="78"/>
      <c r="F199" s="77"/>
    </row>
    <row r="200" spans="2:6" ns3:dyDescent="0.4">
      <c r="B200" s="77"/>
      <c r="D200" s="78"/>
      <c r="F200" s="77"/>
    </row>
    <row r="201" spans="2:6" ns3:dyDescent="0.4">
      <c r="B201" s="77"/>
      <c r="D201" s="78"/>
      <c r="F201" s="77"/>
    </row>
    <row r="202" spans="2:6" ns3:dyDescent="0.4">
      <c r="B202" s="77"/>
      <c r="D202" s="78"/>
      <c r="F202" s="77"/>
    </row>
    <row r="203" spans="2:6" ns3:dyDescent="0.4">
      <c r="B203" s="77"/>
      <c r="D203" s="78"/>
      <c r="F203" s="77"/>
    </row>
    <row r="204" spans="2:6" ns3:dyDescent="0.4">
      <c r="B204" s="77"/>
      <c r="D204" s="78"/>
      <c r="F204" s="77"/>
    </row>
    <row r="205" spans="2:6" ns3:dyDescent="0.4">
      <c r="B205" s="77"/>
      <c r="D205" s="78"/>
      <c r="F205" s="77"/>
    </row>
    <row r="206" spans="2:6" ns3:dyDescent="0.4">
      <c r="B206" s="77"/>
      <c r="D206" s="78"/>
      <c r="F206" s="77"/>
    </row>
    <row r="207" spans="2:6" ns3:dyDescent="0.4">
      <c r="B207" s="77"/>
      <c r="D207" s="78"/>
      <c r="F207" s="77"/>
    </row>
    <row r="208" spans="2:6" ns3:dyDescent="0.4">
      <c r="B208" s="77"/>
      <c r="D208" s="78"/>
      <c r="F208" s="77"/>
    </row>
    <row r="209" spans="2:6" ns3:dyDescent="0.4">
      <c r="B209" s="77"/>
      <c r="D209" s="78"/>
      <c r="F209" s="77"/>
    </row>
    <row r="210" spans="2:6" ns3:dyDescent="0.4">
      <c r="B210" s="77"/>
      <c r="D210" s="78"/>
      <c r="F210" s="77"/>
    </row>
    <row r="211" spans="2:6" ns3:dyDescent="0.4">
      <c r="B211" s="77"/>
      <c r="D211" s="78"/>
      <c r="F211" s="77"/>
    </row>
    <row r="212" spans="2:6" ns3:dyDescent="0.4">
      <c r="B212" s="77"/>
      <c r="D212" s="78"/>
      <c r="F212" s="77"/>
    </row>
    <row r="213" spans="2:6" ns3:dyDescent="0.4">
      <c r="B213" s="77"/>
      <c r="D213" s="78"/>
      <c r="F213" s="77"/>
    </row>
    <row r="214" spans="2:6" ns3:dyDescent="0.4">
      <c r="B214" s="77"/>
      <c r="D214" s="78"/>
      <c r="F214" s="77"/>
    </row>
    <row r="215" spans="2:6" ns3:dyDescent="0.4">
      <c r="B215" s="77"/>
      <c r="D215" s="78"/>
      <c r="F215" s="77"/>
    </row>
    <row r="216" spans="2:6" ns3:dyDescent="0.4">
      <c r="B216" s="77"/>
      <c r="D216" s="78"/>
      <c r="F216" s="77"/>
    </row>
    <row r="217" spans="2:6" ns3:dyDescent="0.4">
      <c r="B217" s="77"/>
      <c r="D217" s="78"/>
      <c r="F217" s="77"/>
    </row>
    <row r="218" spans="2:6" ns3:dyDescent="0.4">
      <c r="B218" s="77"/>
      <c r="D218" s="78"/>
      <c r="F218" s="77"/>
    </row>
    <row r="219" spans="2:6" ns3:dyDescent="0.4">
      <c r="B219" s="77"/>
      <c r="D219" s="78"/>
      <c r="F219" s="77"/>
    </row>
    <row r="220" spans="2:6" ns3:dyDescent="0.4">
      <c r="B220" s="77"/>
      <c r="D220" s="78"/>
      <c r="F220" s="77"/>
    </row>
    <row r="221" spans="2:6" ns3:dyDescent="0.4">
      <c r="B221" s="77"/>
      <c r="D221" s="78"/>
      <c r="F221" s="77"/>
    </row>
    <row r="222" spans="2:6" ns3:dyDescent="0.4">
      <c r="B222" s="77"/>
      <c r="D222" s="78"/>
      <c r="F222" s="77"/>
    </row>
    <row r="223" spans="2:6" ns3:dyDescent="0.4">
      <c r="B223" s="77"/>
      <c r="D223" s="78"/>
      <c r="F223" s="77"/>
    </row>
    <row r="224" spans="2:6" ns3:dyDescent="0.4">
      <c r="B224" s="77"/>
      <c r="D224" s="78"/>
      <c r="F224" s="77"/>
    </row>
    <row r="225" spans="2:6" ns3:dyDescent="0.4">
      <c r="B225" s="77"/>
      <c r="D225" s="78"/>
      <c r="F225" s="77"/>
    </row>
    <row r="226" spans="2:6" ns3:dyDescent="0.4">
      <c r="B226" s="77"/>
      <c r="D226" s="78"/>
      <c r="F226" s="77"/>
    </row>
    <row r="227" spans="2:6" ns3:dyDescent="0.4">
      <c r="B227" s="77"/>
      <c r="D227" s="78"/>
      <c r="F227" s="77"/>
    </row>
    <row r="228" spans="2:6" ns3:dyDescent="0.4">
      <c r="B228" s="77"/>
      <c r="D228" s="78"/>
      <c r="F228" s="77"/>
    </row>
    <row r="229" spans="2:6" ns3:dyDescent="0.4">
      <c r="B229" s="77"/>
      <c r="D229" s="78"/>
      <c r="F229" s="77"/>
    </row>
    <row r="230" spans="2:6" ns3:dyDescent="0.4">
      <c r="B230" s="77"/>
      <c r="D230" s="78"/>
      <c r="F230" s="77"/>
    </row>
    <row r="231" spans="2:6" ns3:dyDescent="0.4">
      <c r="B231" s="77"/>
      <c r="D231" s="78"/>
      <c r="F231" s="77"/>
    </row>
    <row r="232" spans="2:6" ns3:dyDescent="0.4">
      <c r="B232" s="77"/>
      <c r="D232" s="78"/>
      <c r="F232" s="77"/>
    </row>
    <row r="233" spans="2:6" ns3:dyDescent="0.4">
      <c r="B233" s="77"/>
      <c r="D233" s="78"/>
      <c r="F233" s="77"/>
    </row>
    <row r="234" spans="2:6" ns3:dyDescent="0.4">
      <c r="B234" s="77"/>
      <c r="D234" s="78"/>
      <c r="F234" s="77"/>
    </row>
    <row r="235" spans="2:6" ns3:dyDescent="0.4">
      <c r="B235" s="77"/>
      <c r="D235" s="78"/>
      <c r="F235" s="77"/>
    </row>
    <row r="236" spans="2:6" ns3:dyDescent="0.4">
      <c r="B236" s="77"/>
      <c r="D236" s="78"/>
      <c r="F236" s="77"/>
    </row>
    <row r="237" spans="2:6" ns3:dyDescent="0.4">
      <c r="B237" s="77"/>
      <c r="D237" s="78"/>
      <c r="F237" s="77"/>
    </row>
    <row r="238" spans="2:6" ns3:dyDescent="0.4">
      <c r="B238" s="77"/>
      <c r="D238" s="78"/>
      <c r="F238" s="77"/>
    </row>
    <row r="239" spans="2:6" ns3:dyDescent="0.4">
      <c r="B239" s="77"/>
      <c r="D239" s="78"/>
      <c r="F239" s="77"/>
    </row>
    <row r="240" spans="2:6" ns3:dyDescent="0.4">
      <c r="B240" s="77"/>
      <c r="D240" s="78"/>
      <c r="F240" s="77"/>
    </row>
    <row r="241" spans="2:6" ns3:dyDescent="0.4">
      <c r="B241" s="77"/>
      <c r="D241" s="78"/>
      <c r="F241" s="77"/>
    </row>
    <row r="242" spans="2:6" ns3:dyDescent="0.4">
      <c r="B242" s="77"/>
      <c r="D242" s="78"/>
      <c r="F242" s="77"/>
    </row>
    <row r="243" spans="2:6" ns3:dyDescent="0.4">
      <c r="B243" s="77"/>
      <c r="D243" s="78"/>
      <c r="F243" s="77"/>
    </row>
    <row r="244" spans="2:6" ns3:dyDescent="0.4">
      <c r="B244" s="77"/>
      <c r="D244" s="78"/>
      <c r="F244" s="77"/>
    </row>
    <row r="245" spans="2:6" ns3:dyDescent="0.4">
      <c r="B245" s="77"/>
      <c r="D245" s="78"/>
      <c r="F245" s="77"/>
    </row>
    <row r="246" spans="2:6" ns3:dyDescent="0.4">
      <c r="B246" s="77"/>
      <c r="D246" s="78"/>
      <c r="F246" s="77"/>
    </row>
    <row r="247" spans="2:6" ns3:dyDescent="0.4">
      <c r="B247" s="77"/>
      <c r="D247" s="78"/>
      <c r="F247" s="77"/>
    </row>
    <row r="248" spans="2:6" ns3:dyDescent="0.4">
      <c r="B248" s="77"/>
      <c r="D248" s="78"/>
      <c r="F248" s="77"/>
    </row>
    <row r="249" spans="2:6" ns3:dyDescent="0.4">
      <c r="B249" s="77"/>
      <c r="D249" s="78"/>
      <c r="F249" s="77"/>
    </row>
    <row r="250" spans="2:6" ns3:dyDescent="0.4">
      <c r="B250" s="77"/>
      <c r="D250" s="78"/>
      <c r="F250" s="77"/>
    </row>
    <row r="251" spans="2:6" ns3:dyDescent="0.4">
      <c r="B251" s="77"/>
      <c r="D251" s="78"/>
      <c r="F251" s="77"/>
    </row>
    <row r="252" spans="2:6" ns3:dyDescent="0.4">
      <c r="B252" s="77"/>
      <c r="D252" s="78"/>
      <c r="F252" s="77"/>
    </row>
    <row r="253" spans="2:6" ns3:dyDescent="0.4">
      <c r="B253" s="77"/>
      <c r="D253" s="78"/>
      <c r="F253" s="77"/>
    </row>
    <row r="254" spans="2:6" ns3:dyDescent="0.4">
      <c r="B254" s="77"/>
      <c r="D254" s="78"/>
      <c r="F254" s="77"/>
    </row>
    <row r="255" spans="2:6" ns3:dyDescent="0.4">
      <c r="B255" s="77"/>
      <c r="D255" s="78"/>
      <c r="F255" s="77"/>
    </row>
    <row r="256" spans="2:6" ns3:dyDescent="0.4">
      <c r="B256" s="77"/>
      <c r="D256" s="78"/>
      <c r="F256" s="77"/>
    </row>
    <row r="257" spans="2:6" ns3:dyDescent="0.4">
      <c r="B257" s="77"/>
      <c r="D257" s="78"/>
      <c r="F257" s="77"/>
    </row>
    <row r="258" spans="2:6" ns3:dyDescent="0.4">
      <c r="B258" s="77"/>
      <c r="D258" s="78"/>
      <c r="F258" s="77"/>
    </row>
    <row r="259" spans="2:6" ns3:dyDescent="0.4">
      <c r="B259" s="77"/>
      <c r="D259" s="78"/>
      <c r="F259" s="77"/>
    </row>
    <row r="260" spans="2:6" ns3:dyDescent="0.4">
      <c r="B260" s="77"/>
      <c r="D260" s="78"/>
      <c r="F260" s="77"/>
    </row>
    <row r="261" spans="2:6" ns3:dyDescent="0.4">
      <c r="B261" s="77"/>
      <c r="D261" s="78"/>
      <c r="F261" s="77"/>
    </row>
    <row r="262" spans="2:6" ns3:dyDescent="0.4">
      <c r="B262" s="77"/>
      <c r="D262" s="78"/>
      <c r="F262" s="77"/>
    </row>
    <row r="263" spans="2:6" ns3:dyDescent="0.4">
      <c r="B263" s="77"/>
      <c r="D263" s="78"/>
      <c r="F263" s="77"/>
    </row>
    <row r="264" spans="2:6" ns3:dyDescent="0.4">
      <c r="B264" s="77"/>
      <c r="D264" s="78"/>
      <c r="F264" s="77"/>
    </row>
    <row r="265" spans="2:6" ns3:dyDescent="0.4">
      <c r="B265" s="77"/>
      <c r="D265" s="78"/>
      <c r="F265" s="77"/>
    </row>
    <row r="266" spans="2:6" ns3:dyDescent="0.4">
      <c r="B266" s="77"/>
      <c r="D266" s="78"/>
      <c r="F266" s="77"/>
    </row>
    <row r="267" spans="2:6" ns3:dyDescent="0.4">
      <c r="B267" s="77"/>
      <c r="D267" s="78"/>
      <c r="F267" s="77"/>
    </row>
    <row r="268" spans="2:6" ns3:dyDescent="0.4">
      <c r="B268" s="77"/>
      <c r="D268" s="78"/>
      <c r="F268" s="77"/>
    </row>
    <row r="269" spans="2:6" ns3:dyDescent="0.4">
      <c r="B269" s="77"/>
      <c r="D269" s="78"/>
      <c r="F269" s="77"/>
    </row>
    <row r="270" spans="2:6" ns3:dyDescent="0.4">
      <c r="B270" s="77"/>
      <c r="D270" s="78"/>
      <c r="F270" s="77"/>
    </row>
    <row r="271" spans="2:6" ns3:dyDescent="0.4">
      <c r="B271" s="77"/>
      <c r="D271" s="78"/>
      <c r="F271" s="77"/>
    </row>
    <row r="272" spans="2:6" ns3:dyDescent="0.4">
      <c r="B272" s="77"/>
      <c r="D272" s="78"/>
      <c r="F272" s="77"/>
    </row>
    <row r="273" spans="2:6" ns3:dyDescent="0.4">
      <c r="B273" s="77"/>
      <c r="D273" s="78"/>
      <c r="F273" s="77"/>
    </row>
    <row r="274" spans="2:6" ns3:dyDescent="0.4">
      <c r="B274" s="77"/>
      <c r="D274" s="78"/>
      <c r="F274" s="77"/>
    </row>
    <row r="275" spans="2:6" ns3:dyDescent="0.4">
      <c r="B275" s="77"/>
      <c r="D275" s="78"/>
      <c r="F275" s="77"/>
    </row>
    <row r="276" spans="2:6" ns3:dyDescent="0.4">
      <c r="B276" s="77"/>
      <c r="D276" s="78"/>
      <c r="F276" s="77"/>
    </row>
    <row r="277" spans="2:6" ns3:dyDescent="0.4">
      <c r="B277" s="77"/>
      <c r="D277" s="78"/>
      <c r="F277" s="77"/>
    </row>
    <row r="278" spans="2:6" ns3:dyDescent="0.4">
      <c r="B278" s="77"/>
      <c r="D278" s="78"/>
      <c r="F278" s="77"/>
    </row>
    <row r="279" spans="2:6" ns3:dyDescent="0.4">
      <c r="B279" s="77"/>
      <c r="D279" s="78"/>
      <c r="F279" s="77"/>
    </row>
    <row r="280" spans="2:6" ns3:dyDescent="0.4">
      <c r="B280" s="77"/>
      <c r="D280" s="78"/>
      <c r="F280" s="77"/>
    </row>
    <row r="281" spans="2:6" ns3:dyDescent="0.4">
      <c r="B281" s="77"/>
      <c r="D281" s="78"/>
      <c r="F281" s="77"/>
    </row>
    <row r="282" spans="2:6" ns3:dyDescent="0.4">
      <c r="B282" s="77"/>
      <c r="D282" s="78"/>
      <c r="F282" s="77"/>
    </row>
    <row r="283" spans="2:6" ns3:dyDescent="0.4">
      <c r="B283" s="77"/>
      <c r="D283" s="78"/>
      <c r="F283" s="77"/>
    </row>
    <row r="284" spans="2:6" ns3:dyDescent="0.4">
      <c r="B284" s="77"/>
      <c r="D284" s="78"/>
      <c r="F284" s="77"/>
    </row>
    <row r="285" spans="2:6" ns3:dyDescent="0.4">
      <c r="B285" s="77"/>
      <c r="D285" s="78"/>
      <c r="F285" s="77"/>
    </row>
    <row r="286" spans="2:6" ns3:dyDescent="0.4">
      <c r="B286" s="77"/>
      <c r="D286" s="78"/>
      <c r="F286" s="77"/>
    </row>
    <row r="287" spans="2:6" ns3:dyDescent="0.4">
      <c r="B287" s="77"/>
      <c r="D287" s="78"/>
      <c r="F287" s="77"/>
    </row>
    <row r="288" spans="2:6" ns3:dyDescent="0.4">
      <c r="B288" s="77"/>
      <c r="D288" s="78"/>
      <c r="F288" s="77"/>
    </row>
    <row r="289" spans="2:6" ns3:dyDescent="0.4">
      <c r="B289" s="77"/>
      <c r="D289" s="78"/>
      <c r="F289" s="77"/>
    </row>
    <row r="290" spans="2:6" ns3:dyDescent="0.4">
      <c r="B290" s="77"/>
      <c r="D290" s="78"/>
      <c r="F290" s="77"/>
    </row>
    <row r="291" spans="2:6" ns3:dyDescent="0.4">
      <c r="B291" s="77"/>
      <c r="D291" s="78"/>
      <c r="F291" s="77"/>
    </row>
    <row r="292" spans="2:6" ns3:dyDescent="0.4">
      <c r="B292" s="77"/>
      <c r="D292" s="78"/>
      <c r="F292" s="77"/>
    </row>
    <row r="293" spans="2:6" ns3:dyDescent="0.4">
      <c r="B293" s="77"/>
      <c r="D293" s="78"/>
      <c r="F293" s="77"/>
    </row>
    <row r="294" spans="2:6" ns3:dyDescent="0.4">
      <c r="B294" s="77"/>
      <c r="D294" s="78"/>
      <c r="F294" s="77"/>
    </row>
    <row r="295" spans="2:6" ns3:dyDescent="0.4">
      <c r="B295" s="77"/>
      <c r="D295" s="78"/>
      <c r="F295" s="77"/>
    </row>
    <row r="296" spans="2:6" ns3:dyDescent="0.4">
      <c r="B296" s="77"/>
      <c r="D296" s="78"/>
      <c r="F296" s="77"/>
    </row>
    <row r="297" spans="2:6" ns3:dyDescent="0.4">
      <c r="B297" s="77"/>
      <c r="D297" s="78"/>
      <c r="F297" s="77"/>
    </row>
    <row r="298" spans="2:6" ns3:dyDescent="0.4">
      <c r="B298" s="77"/>
      <c r="D298" s="78"/>
      <c r="F298" s="77"/>
    </row>
    <row r="299" spans="2:6" ns3:dyDescent="0.4">
      <c r="B299" s="77"/>
      <c r="D299" s="78"/>
      <c r="F299" s="77"/>
    </row>
    <row r="300" spans="2:6" ns3:dyDescent="0.4">
      <c r="B300" s="77"/>
      <c r="D300" s="78"/>
      <c r="F300" s="77"/>
    </row>
    <row r="301" spans="2:6" ns3:dyDescent="0.4">
      <c r="B301" s="77"/>
      <c r="D301" s="78"/>
      <c r="F301" s="77"/>
    </row>
    <row r="302" spans="2:6" ns3:dyDescent="0.4">
      <c r="B302" s="77"/>
      <c r="D302" s="78"/>
      <c r="F302" s="77"/>
    </row>
    <row r="303" spans="2:6" ns3:dyDescent="0.4">
      <c r="B303" s="77"/>
      <c r="D303" s="78"/>
      <c r="F303" s="77"/>
    </row>
    <row r="304" spans="2:6" ns3:dyDescent="0.4">
      <c r="B304" s="77"/>
      <c r="D304" s="78"/>
      <c r="F304" s="77"/>
    </row>
    <row r="305" spans="2:6" ns3:dyDescent="0.4">
      <c r="B305" s="77"/>
      <c r="D305" s="78"/>
      <c r="F305" s="77"/>
    </row>
    <row r="306" spans="2:6" ns3:dyDescent="0.4">
      <c r="B306" s="77"/>
      <c r="D306" s="78"/>
      <c r="F306" s="77"/>
    </row>
    <row r="307" spans="2:6" ns3:dyDescent="0.4">
      <c r="B307" s="77"/>
      <c r="D307" s="78"/>
      <c r="F307" s="77"/>
    </row>
    <row r="308" spans="2:6" ns3:dyDescent="0.4">
      <c r="B308" s="77"/>
      <c r="D308" s="78"/>
      <c r="F308" s="77"/>
    </row>
    <row r="309" spans="2:6" ns3:dyDescent="0.4">
      <c r="B309" s="77"/>
      <c r="D309" s="78"/>
      <c r="F309" s="77"/>
    </row>
    <row r="310" spans="2:6" ns3:dyDescent="0.4">
      <c r="B310" s="77"/>
      <c r="D310" s="78"/>
      <c r="F310" s="77"/>
    </row>
    <row r="311" spans="2:6" ns3:dyDescent="0.4">
      <c r="B311" s="77"/>
      <c r="D311" s="78"/>
      <c r="F311" s="77"/>
    </row>
    <row r="312" spans="2:6" ns3:dyDescent="0.4">
      <c r="B312" s="77"/>
      <c r="D312" s="78"/>
      <c r="F312" s="77"/>
    </row>
    <row r="313" spans="2:6" ns3:dyDescent="0.4">
      <c r="B313" s="77"/>
      <c r="D313" s="78"/>
      <c r="F313" s="77"/>
    </row>
    <row r="314" spans="2:6" ns3:dyDescent="0.4">
      <c r="B314" s="77"/>
      <c r="D314" s="78"/>
      <c r="F314" s="77"/>
    </row>
    <row r="315" spans="2:6" ns3:dyDescent="0.4">
      <c r="B315" s="77"/>
      <c r="D315" s="78"/>
      <c r="F315" s="77"/>
    </row>
    <row r="316" spans="2:6" ns3:dyDescent="0.4">
      <c r="B316" s="77"/>
      <c r="D316" s="78"/>
      <c r="F316" s="77"/>
    </row>
    <row r="317" spans="2:6" ns3:dyDescent="0.4">
      <c r="B317" s="77"/>
      <c r="D317" s="78"/>
      <c r="F317" s="77"/>
    </row>
    <row r="318" spans="2:6" ns3:dyDescent="0.4">
      <c r="B318" s="77"/>
      <c r="D318" s="78"/>
      <c r="F318" s="77"/>
    </row>
    <row r="319" spans="2:6" ns3:dyDescent="0.4">
      <c r="B319" s="77"/>
      <c r="D319" s="78"/>
      <c r="F319" s="77"/>
    </row>
    <row r="320" spans="2:6" ns3:dyDescent="0.4">
      <c r="B320" s="77"/>
      <c r="D320" s="78"/>
      <c r="F320" s="77"/>
    </row>
    <row r="321" spans="2:6" ns3:dyDescent="0.4">
      <c r="B321" s="77"/>
      <c r="D321" s="78"/>
      <c r="F321" s="77"/>
    </row>
    <row r="322" spans="2:6" ns3:dyDescent="0.4">
      <c r="B322" s="77"/>
      <c r="D322" s="78"/>
      <c r="F322" s="77"/>
    </row>
    <row r="323" spans="2:6" ns3:dyDescent="0.4">
      <c r="B323" s="77"/>
      <c r="D323" s="78"/>
      <c r="F323" s="77"/>
    </row>
    <row r="324" spans="2:6" ns3:dyDescent="0.4">
      <c r="B324" s="77"/>
      <c r="D324" s="78"/>
      <c r="F324" s="77"/>
    </row>
    <row r="325" spans="2:6" ns3:dyDescent="0.4">
      <c r="B325" s="77"/>
      <c r="D325" s="78"/>
      <c r="F325" s="77"/>
    </row>
    <row r="326" spans="2:6" ns3:dyDescent="0.4">
      <c r="B326" s="77"/>
      <c r="D326" s="78"/>
      <c r="F326" s="77"/>
    </row>
    <row r="327" spans="2:6" ns3:dyDescent="0.4">
      <c r="B327" s="77"/>
      <c r="D327" s="78"/>
      <c r="F327" s="77"/>
    </row>
    <row r="328" spans="2:6" ns3:dyDescent="0.4">
      <c r="B328" s="77"/>
      <c r="D328" s="78"/>
      <c r="F328" s="77"/>
    </row>
    <row r="329" spans="2:6" ns3:dyDescent="0.4">
      <c r="B329" s="77"/>
      <c r="D329" s="78"/>
      <c r="F329" s="77"/>
    </row>
    <row r="330" spans="2:6" ns3:dyDescent="0.4">
      <c r="B330" s="77"/>
      <c r="D330" s="78"/>
      <c r="F330" s="77"/>
    </row>
    <row r="331" spans="2:6" ns3:dyDescent="0.4">
      <c r="B331" s="77"/>
      <c r="D331" s="78"/>
      <c r="F331" s="77"/>
    </row>
    <row r="332" spans="2:6" ns3:dyDescent="0.4">
      <c r="B332" s="77"/>
      <c r="D332" s="78"/>
      <c r="F332" s="77"/>
    </row>
    <row r="333" spans="2:6" ns3:dyDescent="0.4">
      <c r="B333" s="77"/>
      <c r="D333" s="78"/>
      <c r="F333" s="77"/>
    </row>
    <row r="334" spans="2:6" ns3:dyDescent="0.4">
      <c r="B334" s="77"/>
      <c r="D334" s="78"/>
      <c r="F334" s="77"/>
    </row>
    <row r="335" spans="2:6" ns3:dyDescent="0.4">
      <c r="B335" s="77"/>
      <c r="D335" s="78"/>
      <c r="F335" s="77"/>
    </row>
    <row r="336" spans="2:6" ns3:dyDescent="0.4">
      <c r="B336" s="77"/>
      <c r="D336" s="78"/>
      <c r="F336" s="77"/>
    </row>
    <row r="337" spans="2:6" ns3:dyDescent="0.4">
      <c r="B337" s="77"/>
      <c r="D337" s="78"/>
      <c r="F337" s="77"/>
    </row>
    <row r="338" spans="2:6" ns3:dyDescent="0.4">
      <c r="B338" s="77"/>
      <c r="D338" s="78"/>
      <c r="F338" s="77"/>
    </row>
    <row r="339" spans="2:6" ns3:dyDescent="0.4">
      <c r="B339" s="77"/>
      <c r="D339" s="78"/>
      <c r="F339" s="77"/>
    </row>
    <row r="340" spans="2:6" ns3:dyDescent="0.4">
      <c r="B340" s="77"/>
      <c r="D340" s="78"/>
      <c r="F340" s="77"/>
    </row>
    <row r="341" spans="2:6" ns3:dyDescent="0.4">
      <c r="B341" s="77"/>
      <c r="D341" s="78"/>
      <c r="F341" s="77"/>
    </row>
    <row r="342" spans="2:6" ns3:dyDescent="0.4">
      <c r="B342" s="77"/>
      <c r="D342" s="78"/>
      <c r="F342" s="77"/>
    </row>
    <row r="343" spans="2:6" ns3:dyDescent="0.4">
      <c r="B343" s="77"/>
      <c r="D343" s="78"/>
      <c r="F343" s="77"/>
    </row>
    <row r="344" spans="2:6" ns3:dyDescent="0.4">
      <c r="B344" s="77"/>
      <c r="D344" s="78"/>
      <c r="F344" s="77"/>
    </row>
    <row r="345" spans="2:6" ns3:dyDescent="0.4">
      <c r="B345" s="77"/>
      <c r="D345" s="78"/>
      <c r="F345" s="77"/>
    </row>
    <row r="346" spans="2:6" ns3:dyDescent="0.4">
      <c r="B346" s="77"/>
      <c r="D346" s="78"/>
      <c r="F346" s="77"/>
    </row>
    <row r="347" spans="2:6" ns3:dyDescent="0.4">
      <c r="B347" s="77"/>
      <c r="D347" s="78"/>
      <c r="F347" s="77"/>
    </row>
    <row r="348" spans="2:6" ns3:dyDescent="0.4">
      <c r="B348" s="77"/>
      <c r="D348" s="78"/>
      <c r="F348" s="77"/>
    </row>
    <row r="349" spans="2:6" ns3:dyDescent="0.4">
      <c r="B349" s="77"/>
      <c r="D349" s="78"/>
      <c r="F349" s="77"/>
    </row>
    <row r="350" spans="2:6" ns3:dyDescent="0.4">
      <c r="B350" s="77"/>
      <c r="D350" s="78"/>
      <c r="F350" s="77"/>
    </row>
    <row r="351" spans="2:6" ns3:dyDescent="0.4">
      <c r="B351" s="77"/>
      <c r="D351" s="78"/>
      <c r="F351" s="77"/>
    </row>
    <row r="352" spans="2:6" ns3:dyDescent="0.4">
      <c r="B352" s="77"/>
      <c r="D352" s="78"/>
      <c r="F352" s="77"/>
    </row>
    <row r="353" spans="2:6" ns3:dyDescent="0.4">
      <c r="B353" s="77"/>
      <c r="D353" s="78"/>
      <c r="F353" s="77"/>
    </row>
    <row r="354" spans="2:6" ns3:dyDescent="0.4">
      <c r="B354" s="77"/>
      <c r="D354" s="78"/>
      <c r="F354" s="77"/>
    </row>
    <row r="355" spans="2:6" ns3:dyDescent="0.4">
      <c r="B355" s="77"/>
      <c r="D355" s="78"/>
      <c r="F355" s="77"/>
    </row>
    <row r="356" spans="2:6" ns3:dyDescent="0.4">
      <c r="B356" s="77"/>
      <c r="D356" s="78"/>
      <c r="F356" s="77"/>
    </row>
    <row r="357" spans="2:6" ns3:dyDescent="0.4">
      <c r="B357" s="77"/>
      <c r="D357" s="78"/>
      <c r="F357" s="77"/>
    </row>
    <row r="358" spans="2:6" ns3:dyDescent="0.4">
      <c r="B358" s="77"/>
      <c r="D358" s="78"/>
      <c r="F358" s="77"/>
    </row>
    <row r="359" spans="2:6" ns3:dyDescent="0.4">
      <c r="B359" s="77"/>
      <c r="D359" s="78"/>
      <c r="F359" s="77"/>
    </row>
    <row r="360" spans="2:6" ns3:dyDescent="0.4">
      <c r="B360" s="77"/>
      <c r="D360" s="78"/>
      <c r="F360" s="77"/>
    </row>
    <row r="361" spans="2:6" ns3:dyDescent="0.4">
      <c r="B361" s="77"/>
      <c r="D361" s="78"/>
      <c r="F361" s="77"/>
    </row>
    <row r="362" spans="2:6" ns3:dyDescent="0.4">
      <c r="B362" s="77"/>
      <c r="D362" s="78"/>
      <c r="F362" s="77"/>
    </row>
    <row r="363" spans="2:6" ns3:dyDescent="0.4">
      <c r="B363" s="77"/>
      <c r="D363" s="78"/>
      <c r="F363" s="77"/>
    </row>
    <row r="364" spans="2:6" ns3:dyDescent="0.4">
      <c r="B364" s="77"/>
      <c r="D364" s="78"/>
      <c r="F364" s="77"/>
    </row>
    <row r="365" spans="2:6" ns3:dyDescent="0.4">
      <c r="B365" s="77"/>
      <c r="D365" s="78"/>
      <c r="F365" s="77"/>
    </row>
    <row r="366" spans="2:6" ns3:dyDescent="0.4">
      <c r="B366" s="77"/>
      <c r="D366" s="78"/>
      <c r="F366" s="77"/>
    </row>
    <row r="367" spans="2:6" ns3:dyDescent="0.4">
      <c r="B367" s="77"/>
      <c r="D367" s="78"/>
      <c r="F367" s="77"/>
    </row>
    <row r="368" spans="2:6" ns3:dyDescent="0.4">
      <c r="B368" s="77"/>
      <c r="D368" s="78"/>
      <c r="F368" s="77"/>
    </row>
    <row r="369" spans="2:6" ns3:dyDescent="0.4">
      <c r="B369" s="77"/>
      <c r="D369" s="78"/>
      <c r="F369" s="77"/>
    </row>
    <row r="370" spans="2:6" ns3:dyDescent="0.4">
      <c r="B370" s="77"/>
      <c r="D370" s="78"/>
      <c r="F370" s="77"/>
    </row>
    <row r="371" spans="2:6" ns3:dyDescent="0.4">
      <c r="B371" s="77"/>
      <c r="D371" s="78"/>
      <c r="F371" s="77"/>
    </row>
    <row r="372" spans="2:6" ns3:dyDescent="0.4">
      <c r="B372" s="77"/>
      <c r="D372" s="78"/>
      <c r="F372" s="77"/>
    </row>
    <row r="373" spans="2:6" ns3:dyDescent="0.4">
      <c r="B373" s="77"/>
      <c r="D373" s="78"/>
      <c r="F373" s="77"/>
    </row>
    <row r="374" spans="2:6" ns3:dyDescent="0.4">
      <c r="B374" s="77"/>
      <c r="D374" s="78"/>
      <c r="F374" s="77"/>
    </row>
    <row r="375" spans="2:6" ns3:dyDescent="0.4">
      <c r="B375" s="77"/>
      <c r="D375" s="78"/>
      <c r="F375" s="77"/>
    </row>
    <row r="376" spans="2:6" ns3:dyDescent="0.4">
      <c r="B376" s="77"/>
      <c r="D376" s="78"/>
      <c r="F376" s="77"/>
    </row>
    <row r="377" spans="2:6" ns3:dyDescent="0.4">
      <c r="B377" s="77"/>
      <c r="D377" s="78"/>
      <c r="F377" s="77"/>
    </row>
    <row r="378" spans="2:6" ns3:dyDescent="0.4">
      <c r="B378" s="77"/>
      <c r="D378" s="78"/>
      <c r="F378" s="77"/>
    </row>
    <row r="379" spans="2:6" ns3:dyDescent="0.4">
      <c r="B379" s="77"/>
      <c r="D379" s="78"/>
      <c r="F379" s="77"/>
    </row>
    <row r="380" spans="2:6" ns3:dyDescent="0.4">
      <c r="B380" s="77"/>
      <c r="D380" s="78"/>
      <c r="F380" s="77"/>
    </row>
    <row r="381" spans="2:6" ns3:dyDescent="0.4">
      <c r="B381" s="77"/>
      <c r="D381" s="78"/>
      <c r="F381" s="77"/>
    </row>
    <row r="382" spans="2:6" ns3:dyDescent="0.4">
      <c r="B382" s="77"/>
      <c r="D382" s="78"/>
      <c r="F382" s="77"/>
    </row>
    <row r="383" spans="2:6" ns3:dyDescent="0.4">
      <c r="B383" s="77"/>
      <c r="D383" s="78"/>
      <c r="F383" s="77"/>
    </row>
    <row r="384" spans="2:6" ns3:dyDescent="0.4">
      <c r="B384" s="77"/>
      <c r="D384" s="78"/>
      <c r="F384" s="77"/>
    </row>
    <row r="385" spans="2:6" ns3:dyDescent="0.4">
      <c r="B385" s="77"/>
      <c r="D385" s="78"/>
      <c r="F385" s="77"/>
    </row>
    <row r="386" spans="2:6" ns3:dyDescent="0.4">
      <c r="B386" s="77"/>
      <c r="D386" s="78"/>
      <c r="F386" s="77"/>
    </row>
    <row r="387" spans="2:6" ns3:dyDescent="0.4">
      <c r="B387" s="77"/>
      <c r="D387" s="78"/>
      <c r="F387" s="77"/>
    </row>
    <row r="388" spans="2:6" ns3:dyDescent="0.4">
      <c r="B388" s="77"/>
      <c r="D388" s="78"/>
      <c r="F388" s="77"/>
    </row>
    <row r="389" spans="2:6" ns3:dyDescent="0.4">
      <c r="B389" s="77"/>
      <c r="D389" s="78"/>
      <c r="F389" s="77"/>
    </row>
    <row r="390" spans="2:6" ns3:dyDescent="0.4">
      <c r="B390" s="77"/>
      <c r="D390" s="78"/>
      <c r="F390" s="77"/>
    </row>
    <row r="391" spans="2:6" ns3:dyDescent="0.4">
      <c r="B391" s="77"/>
      <c r="D391" s="78"/>
      <c r="F391" s="77"/>
    </row>
    <row r="392" spans="2:6" ns3:dyDescent="0.4">
      <c r="B392" s="77"/>
      <c r="D392" s="78"/>
      <c r="F392" s="77"/>
    </row>
    <row r="393" spans="2:6" ns3:dyDescent="0.4">
      <c r="B393" s="77"/>
      <c r="D393" s="78"/>
      <c r="F393" s="77"/>
    </row>
    <row r="394" spans="2:6" ns3:dyDescent="0.4">
      <c r="B394" s="77"/>
      <c r="D394" s="78"/>
      <c r="F394" s="77"/>
    </row>
    <row r="395" spans="2:6" ns3:dyDescent="0.4">
      <c r="B395" s="77"/>
      <c r="D395" s="78"/>
      <c r="F395" s="77"/>
    </row>
    <row r="396" spans="2:6" ns3:dyDescent="0.4">
      <c r="B396" s="77"/>
      <c r="D396" s="78"/>
      <c r="F396" s="77"/>
    </row>
    <row r="397" spans="2:6" ns3:dyDescent="0.4">
      <c r="B397" s="77"/>
      <c r="D397" s="78"/>
      <c r="F397" s="77"/>
    </row>
    <row r="398" spans="2:6" ns3:dyDescent="0.4">
      <c r="B398" s="77"/>
      <c r="D398" s="78"/>
      <c r="F398" s="77"/>
    </row>
    <row r="399" spans="2:6" ns3:dyDescent="0.4">
      <c r="B399" s="77"/>
      <c r="D399" s="78"/>
      <c r="F399" s="77"/>
    </row>
    <row r="400" spans="2:6" ns3:dyDescent="0.4">
      <c r="B400" s="77"/>
      <c r="D400" s="78"/>
      <c r="F400" s="77"/>
    </row>
    <row r="401" spans="2:6" ns3:dyDescent="0.4">
      <c r="B401" s="77"/>
      <c r="D401" s="78"/>
      <c r="F401" s="77"/>
    </row>
    <row r="402" spans="2:6" ns3:dyDescent="0.4">
      <c r="B402" s="77"/>
      <c r="D402" s="78"/>
      <c r="F402" s="77"/>
    </row>
    <row r="403" spans="2:6" ns3:dyDescent="0.4">
      <c r="B403" s="77"/>
      <c r="D403" s="78"/>
      <c r="F403" s="77"/>
    </row>
    <row r="404" spans="2:6" ns3:dyDescent="0.4">
      <c r="B404" s="77"/>
      <c r="D404" s="78"/>
      <c r="F404" s="77"/>
    </row>
    <row r="405" spans="2:6" ns3:dyDescent="0.4">
      <c r="B405" s="77"/>
      <c r="D405" s="78"/>
      <c r="F405" s="77"/>
    </row>
    <row r="406" spans="2:6" ns3:dyDescent="0.4">
      <c r="B406" s="77"/>
      <c r="D406" s="78"/>
      <c r="F406" s="77"/>
    </row>
    <row r="407" spans="2:6" ns3:dyDescent="0.4">
      <c r="B407" s="77"/>
      <c r="D407" s="78"/>
      <c r="F407" s="77"/>
    </row>
    <row r="408" spans="2:6" ns3:dyDescent="0.4">
      <c r="B408" s="77"/>
      <c r="D408" s="78"/>
      <c r="F408" s="77"/>
    </row>
    <row r="409" spans="2:6" ns3:dyDescent="0.4">
      <c r="B409" s="77"/>
      <c r="D409" s="78"/>
      <c r="F409" s="77"/>
    </row>
    <row r="410" spans="2:6" ns3:dyDescent="0.4">
      <c r="B410" s="77"/>
      <c r="D410" s="78"/>
      <c r="F410" s="77"/>
    </row>
    <row r="411" spans="2:6" ns3:dyDescent="0.4">
      <c r="B411" s="77"/>
      <c r="D411" s="78"/>
      <c r="F411" s="77"/>
    </row>
    <row r="412" spans="2:6" ns3:dyDescent="0.4">
      <c r="B412" s="77"/>
      <c r="D412" s="78"/>
      <c r="F412" s="77"/>
    </row>
    <row r="413" spans="2:6" ns3:dyDescent="0.4">
      <c r="B413" s="77"/>
      <c r="D413" s="78"/>
      <c r="F413" s="77"/>
    </row>
    <row r="414" spans="2:6" ns3:dyDescent="0.4">
      <c r="B414" s="77"/>
      <c r="D414" s="78"/>
      <c r="F414" s="77"/>
    </row>
    <row r="415" spans="2:6" ns3:dyDescent="0.4">
      <c r="B415" s="77"/>
      <c r="D415" s="78"/>
      <c r="F415" s="77"/>
    </row>
    <row r="416" spans="2:6" ns3:dyDescent="0.4">
      <c r="B416" s="77"/>
      <c r="D416" s="78"/>
      <c r="F416" s="77"/>
    </row>
    <row r="417" spans="2:6" ns3:dyDescent="0.4">
      <c r="B417" s="77"/>
      <c r="D417" s="78"/>
      <c r="F417" s="77"/>
    </row>
    <row r="418" spans="2:6" ns3:dyDescent="0.4">
      <c r="B418" s="77"/>
      <c r="D418" s="78"/>
      <c r="F418" s="77"/>
    </row>
    <row r="419" spans="2:6" ns3:dyDescent="0.4">
      <c r="B419" s="77"/>
      <c r="D419" s="78"/>
      <c r="F419" s="77"/>
    </row>
    <row r="420" spans="2:6" ns3:dyDescent="0.4">
      <c r="B420" s="77"/>
      <c r="D420" s="78"/>
      <c r="F420" s="77"/>
    </row>
    <row r="421" spans="2:6" ns3:dyDescent="0.4">
      <c r="B421" s="77"/>
      <c r="D421" s="78"/>
      <c r="F421" s="77"/>
    </row>
    <row r="422" spans="2:6" ns3:dyDescent="0.4">
      <c r="B422" s="77"/>
      <c r="D422" s="78"/>
      <c r="F422" s="77"/>
    </row>
    <row r="423" spans="2:6" ns3:dyDescent="0.4">
      <c r="B423" s="77"/>
      <c r="D423" s="78"/>
      <c r="F423" s="77"/>
    </row>
    <row r="424" spans="2:6" ns3:dyDescent="0.4">
      <c r="B424" s="77"/>
      <c r="D424" s="78"/>
      <c r="F424" s="77"/>
    </row>
    <row r="425" spans="2:6" ns3:dyDescent="0.4">
      <c r="B425" s="77"/>
      <c r="D425" s="78"/>
      <c r="F425" s="77"/>
    </row>
    <row r="426" spans="2:6" ns3:dyDescent="0.4">
      <c r="B426" s="77"/>
      <c r="D426" s="78"/>
      <c r="F426" s="77"/>
    </row>
    <row r="427" spans="2:6" ns3:dyDescent="0.4">
      <c r="B427" s="77"/>
      <c r="D427" s="78"/>
      <c r="F427" s="77"/>
    </row>
    <row r="428" spans="2:6" ns3:dyDescent="0.4">
      <c r="B428" s="77"/>
      <c r="D428" s="78"/>
      <c r="F428" s="77"/>
    </row>
    <row r="429" spans="2:6" ns3:dyDescent="0.4">
      <c r="B429" s="77"/>
      <c r="D429" s="78"/>
      <c r="F429" s="77"/>
    </row>
    <row r="430" spans="2:6" ns3:dyDescent="0.4">
      <c r="B430" s="77"/>
      <c r="D430" s="78"/>
      <c r="F430" s="77"/>
    </row>
    <row r="431" spans="2:6" ns3:dyDescent="0.4">
      <c r="B431" s="77"/>
      <c r="D431" s="78"/>
      <c r="F431" s="77"/>
    </row>
    <row r="432" spans="2:6" ns3:dyDescent="0.4">
      <c r="B432" s="77"/>
      <c r="D432" s="78"/>
      <c r="F432" s="77"/>
    </row>
    <row r="433" spans="2:6" ns3:dyDescent="0.4">
      <c r="B433" s="77"/>
      <c r="D433" s="78"/>
      <c r="F433" s="77"/>
    </row>
    <row r="434" spans="2:6" ns3:dyDescent="0.4">
      <c r="B434" s="77"/>
      <c r="D434" s="78"/>
      <c r="F434" s="77"/>
    </row>
    <row r="435" spans="2:6" ns3:dyDescent="0.4">
      <c r="B435" s="77"/>
      <c r="D435" s="78"/>
      <c r="F435" s="77"/>
    </row>
    <row r="436" spans="2:6" ns3:dyDescent="0.4">
      <c r="B436" s="77"/>
      <c r="D436" s="78"/>
      <c r="F436" s="77"/>
    </row>
    <row r="437" spans="2:6" ns3:dyDescent="0.4">
      <c r="B437" s="77"/>
      <c r="D437" s="78"/>
      <c r="F437" s="77"/>
    </row>
    <row r="438" spans="2:6" ns3:dyDescent="0.4">
      <c r="B438" s="77"/>
      <c r="D438" s="78"/>
      <c r="F438" s="77"/>
    </row>
    <row r="439" spans="2:6" ns3:dyDescent="0.4">
      <c r="B439" s="77"/>
      <c r="D439" s="78"/>
      <c r="F439" s="77"/>
    </row>
    <row r="440" spans="2:6" ns3:dyDescent="0.4">
      <c r="B440" s="77"/>
      <c r="D440" s="78"/>
      <c r="F440" s="77"/>
    </row>
    <row r="441" spans="2:6" ns3:dyDescent="0.4">
      <c r="B441" s="77"/>
      <c r="D441" s="78"/>
      <c r="F441" s="77"/>
    </row>
    <row r="442" spans="2:6" ns3:dyDescent="0.4">
      <c r="B442" s="77"/>
      <c r="D442" s="78"/>
      <c r="F442" s="77"/>
    </row>
    <row r="443" spans="2:6" ns3:dyDescent="0.4">
      <c r="B443" s="77"/>
      <c r="D443" s="78"/>
      <c r="F443" s="77"/>
    </row>
    <row r="444" spans="2:6" ns3:dyDescent="0.4">
      <c r="B444" s="77"/>
      <c r="D444" s="78"/>
      <c r="F444" s="77"/>
    </row>
    <row r="445" spans="2:6" ns3:dyDescent="0.4">
      <c r="B445" s="77"/>
      <c r="D445" s="78"/>
      <c r="F445" s="77"/>
    </row>
    <row r="446" spans="2:6" ns3:dyDescent="0.4">
      <c r="B446" s="77"/>
      <c r="D446" s="78"/>
      <c r="F446" s="77"/>
    </row>
    <row r="447" spans="2:6" ns3:dyDescent="0.4">
      <c r="B447" s="77"/>
      <c r="D447" s="78"/>
      <c r="F447" s="77"/>
    </row>
    <row r="448" spans="2:6" ns3:dyDescent="0.4">
      <c r="B448" s="77"/>
      <c r="D448" s="78"/>
      <c r="F448" s="77"/>
    </row>
    <row r="449" spans="2:6" ns3:dyDescent="0.4">
      <c r="B449" s="77"/>
      <c r="D449" s="78"/>
      <c r="F449" s="77"/>
    </row>
    <row r="450" spans="2:6" ns3:dyDescent="0.4">
      <c r="B450" s="77"/>
      <c r="D450" s="78"/>
      <c r="F450" s="77"/>
    </row>
    <row r="451" spans="2:6" ns3:dyDescent="0.4">
      <c r="B451" s="77"/>
      <c r="D451" s="78"/>
      <c r="F451" s="77"/>
    </row>
    <row r="452" spans="2:6" ns3:dyDescent="0.4">
      <c r="B452" s="77"/>
      <c r="D452" s="78"/>
      <c r="F452" s="77"/>
    </row>
    <row r="453" spans="2:6" ns3:dyDescent="0.4">
      <c r="B453" s="77"/>
      <c r="D453" s="78"/>
      <c r="F453" s="77"/>
    </row>
    <row r="454" spans="2:6" ns3:dyDescent="0.4">
      <c r="B454" s="77"/>
      <c r="D454" s="78"/>
      <c r="F454" s="77"/>
    </row>
    <row r="455" spans="2:6" ns3:dyDescent="0.4">
      <c r="B455" s="77"/>
      <c r="D455" s="78"/>
      <c r="F455" s="77"/>
    </row>
    <row r="456" spans="2:6" ns3:dyDescent="0.4">
      <c r="B456" s="77"/>
      <c r="D456" s="78"/>
      <c r="F456" s="77"/>
    </row>
    <row r="457" spans="2:6" ns3:dyDescent="0.4">
      <c r="B457" s="77"/>
      <c r="D457" s="78"/>
      <c r="F457" s="77"/>
    </row>
    <row r="458" spans="2:6" ns3:dyDescent="0.4">
      <c r="B458" s="77"/>
      <c r="D458" s="78"/>
      <c r="F458" s="77"/>
    </row>
    <row r="459" spans="2:6" ns3:dyDescent="0.4">
      <c r="B459" s="77"/>
      <c r="D459" s="78"/>
      <c r="F459" s="77"/>
    </row>
    <row r="460" spans="2:6" ns3:dyDescent="0.4">
      <c r="B460" s="77"/>
      <c r="D460" s="78"/>
      <c r="F460" s="77"/>
    </row>
    <row r="461" spans="2:6" ns3:dyDescent="0.4">
      <c r="B461" s="77"/>
      <c r="D461" s="78"/>
      <c r="F461" s="77"/>
    </row>
    <row r="462" spans="2:6" ns3:dyDescent="0.4">
      <c r="B462" s="77"/>
      <c r="D462" s="78"/>
      <c r="F462" s="77"/>
    </row>
    <row r="463" spans="2:6" ns3:dyDescent="0.4">
      <c r="B463" s="77"/>
      <c r="D463" s="78"/>
      <c r="F463" s="77"/>
    </row>
    <row r="464" spans="2:6" ns3:dyDescent="0.4">
      <c r="B464" s="77"/>
      <c r="D464" s="78"/>
      <c r="F464" s="77"/>
    </row>
    <row r="465" spans="2:6" ns3:dyDescent="0.4">
      <c r="B465" s="77"/>
      <c r="D465" s="78"/>
      <c r="F465" s="77"/>
    </row>
    <row r="466" spans="2:6" ns3:dyDescent="0.4">
      <c r="B466" s="77"/>
      <c r="D466" s="78"/>
      <c r="F466" s="77"/>
    </row>
    <row r="467" spans="2:6" ns3:dyDescent="0.4">
      <c r="B467" s="77"/>
      <c r="D467" s="78"/>
      <c r="F467" s="77"/>
    </row>
    <row r="468" spans="2:6" ns3:dyDescent="0.4">
      <c r="B468" s="77"/>
      <c r="D468" s="78"/>
      <c r="F468" s="77"/>
    </row>
    <row r="469" spans="2:6" ns3:dyDescent="0.4">
      <c r="B469" s="77"/>
      <c r="D469" s="78"/>
      <c r="F469" s="77"/>
    </row>
    <row r="470" spans="2:6" ns3:dyDescent="0.4">
      <c r="B470" s="77"/>
      <c r="D470" s="78"/>
      <c r="F470" s="77"/>
    </row>
    <row r="471" spans="2:6" ns3:dyDescent="0.4">
      <c r="B471" s="77"/>
      <c r="D471" s="78"/>
      <c r="F471" s="77"/>
    </row>
    <row r="472" spans="2:6" ns3:dyDescent="0.4">
      <c r="B472" s="77"/>
      <c r="D472" s="78"/>
      <c r="F472" s="77"/>
    </row>
    <row r="473" spans="2:6" ns3:dyDescent="0.4">
      <c r="B473" s="77"/>
      <c r="D473" s="78"/>
      <c r="F473" s="77"/>
    </row>
    <row r="474" spans="2:6" ns3:dyDescent="0.4">
      <c r="B474" s="77"/>
      <c r="D474" s="78"/>
      <c r="F474" s="77"/>
    </row>
    <row r="475" spans="2:6" ns3:dyDescent="0.4">
      <c r="B475" s="77"/>
      <c r="D475" s="78"/>
      <c r="F475" s="77"/>
    </row>
    <row r="476" spans="2:6" ns3:dyDescent="0.4">
      <c r="B476" s="77"/>
      <c r="D476" s="78"/>
      <c r="F476" s="77"/>
    </row>
    <row r="477" spans="2:6" ns3:dyDescent="0.4">
      <c r="B477" s="77"/>
      <c r="D477" s="78"/>
      <c r="F477" s="77"/>
    </row>
    <row r="478" spans="2:6" ns3:dyDescent="0.4">
      <c r="B478" s="77"/>
      <c r="D478" s="78"/>
      <c r="F478" s="77"/>
    </row>
    <row r="479" spans="2:6" ns3:dyDescent="0.4">
      <c r="B479" s="77"/>
      <c r="D479" s="78"/>
      <c r="F479" s="77"/>
    </row>
    <row r="480" spans="2:6" ns3:dyDescent="0.4">
      <c r="B480" s="77"/>
      <c r="D480" s="78"/>
      <c r="F480" s="77"/>
    </row>
    <row r="481" spans="2:6" ns3:dyDescent="0.4">
      <c r="B481" s="77"/>
      <c r="D481" s="78"/>
      <c r="F481" s="77"/>
    </row>
    <row r="482" spans="2:6" ns3:dyDescent="0.4">
      <c r="B482" s="77"/>
      <c r="D482" s="78"/>
      <c r="F482" s="77"/>
    </row>
    <row r="483" spans="2:6" ns3:dyDescent="0.4">
      <c r="B483" s="77"/>
      <c r="D483" s="78"/>
      <c r="F483" s="77"/>
    </row>
    <row r="484" spans="2:6" ns3:dyDescent="0.4">
      <c r="B484" s="77"/>
      <c r="D484" s="78"/>
      <c r="F484" s="77"/>
    </row>
    <row r="485" spans="2:6" ns3:dyDescent="0.4">
      <c r="B485" s="77"/>
      <c r="D485" s="78"/>
      <c r="F485" s="77"/>
    </row>
    <row r="486" spans="2:6" ns3:dyDescent="0.4">
      <c r="B486" s="77"/>
      <c r="D486" s="78"/>
      <c r="F486" s="77"/>
    </row>
    <row r="487" spans="2:6" ns3:dyDescent="0.4">
      <c r="B487" s="77"/>
      <c r="D487" s="78"/>
      <c r="F487" s="77"/>
    </row>
    <row r="488" spans="2:6" ns3:dyDescent="0.4">
      <c r="B488" s="77"/>
      <c r="D488" s="78"/>
      <c r="F488" s="77"/>
    </row>
    <row r="489" spans="2:6" ns3:dyDescent="0.4">
      <c r="B489" s="77"/>
      <c r="D489" s="78"/>
      <c r="F489" s="77"/>
    </row>
    <row r="490" spans="2:6" ns3:dyDescent="0.4">
      <c r="B490" s="77"/>
      <c r="D490" s="78"/>
      <c r="F490" s="77"/>
    </row>
    <row r="491" spans="2:6" ns3:dyDescent="0.4">
      <c r="B491" s="77"/>
      <c r="D491" s="78"/>
      <c r="F491" s="77"/>
    </row>
    <row r="492" spans="2:6" ns3:dyDescent="0.4">
      <c r="B492" s="77"/>
      <c r="D492" s="78"/>
      <c r="F492" s="77"/>
    </row>
    <row r="493" spans="2:6" ns3:dyDescent="0.4">
      <c r="B493" s="77"/>
      <c r="D493" s="78"/>
      <c r="F493" s="77"/>
    </row>
    <row r="494" spans="2:6" ns3:dyDescent="0.4">
      <c r="B494" s="77"/>
      <c r="D494" s="78"/>
      <c r="F494" s="77"/>
    </row>
    <row r="495" spans="2:6" ns3:dyDescent="0.4">
      <c r="B495" s="77"/>
      <c r="D495" s="78"/>
      <c r="F495" s="77"/>
    </row>
    <row r="496" spans="2:6" ns3:dyDescent="0.4">
      <c r="B496" s="77"/>
      <c r="D496" s="78"/>
      <c r="F496" s="77"/>
    </row>
    <row r="497" spans="2:6" ns3:dyDescent="0.4">
      <c r="B497" s="77"/>
      <c r="D497" s="78"/>
      <c r="F497" s="77"/>
    </row>
    <row r="498" spans="2:6" ns3:dyDescent="0.4">
      <c r="B498" s="77"/>
      <c r="D498" s="78"/>
      <c r="F498" s="77"/>
    </row>
    <row r="499" spans="2:6" ns3:dyDescent="0.4">
      <c r="B499" s="77"/>
      <c r="D499" s="78"/>
      <c r="F499" s="77"/>
    </row>
    <row r="500" spans="2:6" ns3:dyDescent="0.4">
      <c r="B500" s="77"/>
      <c r="D500" s="78"/>
      <c r="F500" s="77"/>
    </row>
    <row r="501" spans="2:6" ns3:dyDescent="0.4">
      <c r="B501" s="77"/>
      <c r="D501" s="78"/>
      <c r="F501" s="77"/>
    </row>
    <row r="502" spans="2:6" ns3:dyDescent="0.4">
      <c r="B502" s="77"/>
      <c r="D502" s="78"/>
      <c r="F502" s="77"/>
    </row>
    <row r="503" spans="2:6" ns3:dyDescent="0.4">
      <c r="B503" s="77"/>
      <c r="D503" s="78"/>
      <c r="F503" s="77"/>
    </row>
    <row r="504" spans="2:6" ns3:dyDescent="0.4">
      <c r="B504" s="77"/>
      <c r="D504" s="78"/>
      <c r="F504" s="77"/>
    </row>
    <row r="505" spans="2:6" ns3:dyDescent="0.4">
      <c r="B505" s="77"/>
      <c r="D505" s="78"/>
      <c r="F505" s="77"/>
    </row>
    <row r="506" spans="2:6" ns3:dyDescent="0.4">
      <c r="B506" s="77"/>
      <c r="D506" s="78"/>
      <c r="F506" s="77"/>
    </row>
    <row r="507" spans="2:6" ns3:dyDescent="0.4">
      <c r="B507" s="77"/>
      <c r="D507" s="78"/>
      <c r="F507" s="77"/>
    </row>
    <row r="508" spans="2:6" ns3:dyDescent="0.4">
      <c r="B508" s="77"/>
      <c r="D508" s="78"/>
      <c r="F508" s="77"/>
    </row>
    <row r="509" spans="2:6" ns3:dyDescent="0.4">
      <c r="B509" s="77"/>
      <c r="D509" s="78"/>
      <c r="F509" s="77"/>
    </row>
    <row r="510" spans="2:6" ns3:dyDescent="0.4">
      <c r="B510" s="77"/>
      <c r="D510" s="78"/>
      <c r="F510" s="77"/>
    </row>
    <row r="511" spans="2:6" ns3:dyDescent="0.4">
      <c r="B511" s="77"/>
      <c r="D511" s="78"/>
      <c r="F511" s="77"/>
    </row>
    <row r="512" spans="2:6" ns3:dyDescent="0.4">
      <c r="B512" s="77"/>
      <c r="D512" s="78"/>
      <c r="F512" s="77"/>
    </row>
    <row r="513" spans="2:6" ns3:dyDescent="0.4">
      <c r="B513" s="77"/>
      <c r="D513" s="78"/>
      <c r="F513" s="77"/>
    </row>
    <row r="514" spans="2:6" ns3:dyDescent="0.4">
      <c r="B514" s="77"/>
      <c r="D514" s="78"/>
      <c r="F514" s="77"/>
    </row>
    <row r="515" spans="2:6" ns3:dyDescent="0.4">
      <c r="B515" s="77"/>
      <c r="D515" s="78"/>
      <c r="F515" s="77"/>
    </row>
    <row r="516" spans="2:6" ns3:dyDescent="0.4">
      <c r="B516" s="77"/>
      <c r="D516" s="78"/>
      <c r="F516" s="77"/>
    </row>
    <row r="517" spans="2:6" ns3:dyDescent="0.4">
      <c r="B517" s="77"/>
      <c r="D517" s="78"/>
      <c r="F517" s="77"/>
    </row>
    <row r="518" spans="2:6" ns3:dyDescent="0.4">
      <c r="B518" s="77"/>
      <c r="D518" s="78"/>
      <c r="F518" s="77"/>
    </row>
    <row r="519" spans="2:6" ns3:dyDescent="0.4">
      <c r="B519" s="77"/>
      <c r="D519" s="78"/>
      <c r="F519" s="77"/>
    </row>
    <row r="520" spans="2:6" ns3:dyDescent="0.4">
      <c r="B520" s="77"/>
      <c r="D520" s="78"/>
      <c r="F520" s="77"/>
    </row>
    <row r="521" spans="2:6" ns3:dyDescent="0.4">
      <c r="B521" s="77"/>
      <c r="D521" s="78"/>
      <c r="F521" s="77"/>
    </row>
    <row r="522" spans="2:6" ns3:dyDescent="0.4">
      <c r="B522" s="77"/>
      <c r="D522" s="78"/>
      <c r="F522" s="77"/>
    </row>
    <row r="523" spans="2:6" ns3:dyDescent="0.4">
      <c r="B523" s="77"/>
      <c r="D523" s="78"/>
      <c r="F523" s="77"/>
    </row>
    <row r="524" spans="2:6" ns3:dyDescent="0.4">
      <c r="B524" s="77"/>
      <c r="D524" s="78"/>
      <c r="F524" s="77"/>
    </row>
    <row r="525" spans="2:6" ns3:dyDescent="0.4">
      <c r="B525" s="77"/>
      <c r="D525" s="78"/>
      <c r="F525" s="77"/>
    </row>
    <row r="526" spans="2:6" ns3:dyDescent="0.4">
      <c r="B526" s="77"/>
      <c r="D526" s="78"/>
      <c r="F526" s="77"/>
    </row>
    <row r="527" spans="2:6" ns3:dyDescent="0.4">
      <c r="B527" s="77"/>
      <c r="D527" s="78"/>
      <c r="F527" s="77"/>
    </row>
    <row r="528" spans="2:6" ns3:dyDescent="0.4">
      <c r="B528" s="77"/>
      <c r="D528" s="78"/>
      <c r="F528" s="77"/>
    </row>
    <row r="529" spans="2:6" ns3:dyDescent="0.4">
      <c r="B529" s="77"/>
      <c r="D529" s="78"/>
      <c r="F529" s="77"/>
    </row>
    <row r="530" spans="2:6" ns3:dyDescent="0.4">
      <c r="B530" s="77"/>
      <c r="D530" s="78"/>
      <c r="F530" s="77"/>
    </row>
    <row r="531" spans="2:6" ns3:dyDescent="0.4">
      <c r="B531" s="77"/>
      <c r="D531" s="78"/>
      <c r="F531" s="77"/>
    </row>
    <row r="532" spans="2:6" ns3:dyDescent="0.4">
      <c r="B532" s="77"/>
      <c r="D532" s="78"/>
      <c r="F532" s="77"/>
    </row>
    <row r="533" spans="2:6" ns3:dyDescent="0.4">
      <c r="B533" s="77"/>
      <c r="D533" s="78"/>
      <c r="F533" s="77"/>
    </row>
    <row r="534" spans="2:6" ns3:dyDescent="0.4">
      <c r="B534" s="77"/>
      <c r="D534" s="78"/>
      <c r="F534" s="77"/>
    </row>
    <row r="535" spans="2:6" ns3:dyDescent="0.4">
      <c r="B535" s="77"/>
      <c r="D535" s="78"/>
      <c r="F535" s="77"/>
    </row>
    <row r="536" spans="2:6" ns3:dyDescent="0.4">
      <c r="B536" s="77"/>
      <c r="D536" s="78"/>
      <c r="F536" s="77"/>
    </row>
    <row r="537" spans="2:6" ns3:dyDescent="0.4">
      <c r="B537" s="77"/>
      <c r="D537" s="78"/>
      <c r="F537" s="77"/>
    </row>
    <row r="538" spans="2:6" ns3:dyDescent="0.4">
      <c r="B538" s="77"/>
      <c r="D538" s="78"/>
      <c r="F538" s="77"/>
    </row>
    <row r="539" spans="2:6" ns3:dyDescent="0.4">
      <c r="B539" s="77"/>
      <c r="D539" s="78"/>
      <c r="F539" s="77"/>
    </row>
    <row r="540" spans="2:6" ns3:dyDescent="0.4">
      <c r="B540" s="77"/>
      <c r="D540" s="78"/>
      <c r="F540" s="77"/>
    </row>
    <row r="541" spans="2:6" ns3:dyDescent="0.4">
      <c r="B541" s="77"/>
      <c r="D541" s="78"/>
      <c r="F541" s="77"/>
    </row>
    <row r="542" spans="2:6" ns3:dyDescent="0.4">
      <c r="B542" s="77"/>
      <c r="D542" s="78"/>
      <c r="F542" s="77"/>
    </row>
    <row r="543" spans="2:6" ns3:dyDescent="0.4">
      <c r="B543" s="77"/>
      <c r="D543" s="78"/>
      <c r="F543" s="77"/>
    </row>
    <row r="544" spans="2:6" ns3:dyDescent="0.4">
      <c r="B544" s="77"/>
      <c r="D544" s="78"/>
      <c r="F544" s="77"/>
    </row>
    <row r="545" spans="2:6" ns3:dyDescent="0.4">
      <c r="B545" s="77"/>
      <c r="D545" s="78"/>
      <c r="F545" s="77"/>
    </row>
    <row r="546" spans="2:6" ns3:dyDescent="0.4">
      <c r="B546" s="77"/>
      <c r="D546" s="78"/>
      <c r="F546" s="77"/>
    </row>
    <row r="547" spans="2:6" ns3:dyDescent="0.4">
      <c r="B547" s="77"/>
      <c r="D547" s="78"/>
      <c r="F547" s="77"/>
    </row>
    <row r="548" spans="2:6" ns3:dyDescent="0.4">
      <c r="B548" s="77"/>
      <c r="D548" s="78"/>
      <c r="F548" s="77"/>
    </row>
    <row r="549" spans="2:6" ns3:dyDescent="0.4">
      <c r="B549" s="77"/>
      <c r="D549" s="78"/>
      <c r="F549" s="77"/>
    </row>
    <row r="550" spans="2:6" ns3:dyDescent="0.4">
      <c r="B550" s="77"/>
      <c r="D550" s="78"/>
      <c r="F550" s="77"/>
    </row>
    <row r="551" spans="2:6" ns3:dyDescent="0.4">
      <c r="B551" s="77"/>
      <c r="D551" s="78"/>
      <c r="F551" s="77"/>
    </row>
    <row r="552" spans="2:6" ns3:dyDescent="0.4">
      <c r="B552" s="77"/>
      <c r="D552" s="78"/>
      <c r="F552" s="77"/>
    </row>
    <row r="553" spans="2:6" ns3:dyDescent="0.4">
      <c r="B553" s="77"/>
      <c r="D553" s="78"/>
      <c r="F553" s="77"/>
    </row>
    <row r="554" spans="2:6" ns3:dyDescent="0.4">
      <c r="B554" s="77"/>
      <c r="D554" s="78"/>
      <c r="F554" s="77"/>
    </row>
    <row r="555" spans="2:6" ns3:dyDescent="0.4">
      <c r="B555" s="77"/>
      <c r="D555" s="78"/>
      <c r="F555" s="77"/>
    </row>
    <row r="556" spans="2:6" ns3:dyDescent="0.4">
      <c r="B556" s="77"/>
      <c r="D556" s="78"/>
      <c r="F556" s="77"/>
    </row>
    <row r="557" spans="2:6" ns3:dyDescent="0.4">
      <c r="B557" s="77"/>
      <c r="D557" s="78"/>
      <c r="F557" s="77"/>
    </row>
    <row r="558" spans="2:6" ns3:dyDescent="0.4">
      <c r="B558" s="77"/>
      <c r="D558" s="78"/>
      <c r="F558" s="77"/>
    </row>
    <row r="559" spans="2:6" ns3:dyDescent="0.4">
      <c r="B559" s="77"/>
      <c r="D559" s="78"/>
      <c r="F559" s="77"/>
    </row>
    <row r="560" spans="2:6" ns3:dyDescent="0.4">
      <c r="B560" s="77"/>
      <c r="D560" s="78"/>
      <c r="F560" s="77"/>
    </row>
    <row r="561" spans="2:6" ns3:dyDescent="0.4">
      <c r="B561" s="77"/>
      <c r="D561" s="78"/>
      <c r="F561" s="77"/>
    </row>
    <row r="562" spans="2:6" ns3:dyDescent="0.4">
      <c r="B562" s="77"/>
      <c r="D562" s="78"/>
      <c r="F562" s="77"/>
    </row>
    <row r="563" spans="2:6" ns3:dyDescent="0.4">
      <c r="B563" s="77"/>
      <c r="D563" s="78"/>
      <c r="F563" s="77"/>
    </row>
    <row r="564" spans="2:6" ns3:dyDescent="0.4">
      <c r="B564" s="77"/>
      <c r="D564" s="78"/>
      <c r="F564" s="77"/>
    </row>
    <row r="565" spans="2:6" ns3:dyDescent="0.4">
      <c r="B565" s="77"/>
      <c r="D565" s="78"/>
      <c r="F565" s="77"/>
    </row>
    <row r="566" spans="2:6" ns3:dyDescent="0.4">
      <c r="B566" s="77"/>
      <c r="D566" s="78"/>
      <c r="F566" s="77"/>
    </row>
    <row r="567" spans="2:6" ns3:dyDescent="0.4">
      <c r="B567" s="77"/>
      <c r="D567" s="78"/>
      <c r="F567" s="77"/>
    </row>
    <row r="568" spans="2:6" ns3:dyDescent="0.4">
      <c r="B568" s="77"/>
      <c r="D568" s="78"/>
      <c r="F568" s="77"/>
    </row>
    <row r="569" spans="2:6" ns3:dyDescent="0.4">
      <c r="B569" s="77"/>
      <c r="D569" s="78"/>
      <c r="F569" s="77"/>
    </row>
    <row r="570" spans="2:6" ns3:dyDescent="0.4">
      <c r="B570" s="77"/>
      <c r="D570" s="78"/>
      <c r="F570" s="77"/>
    </row>
    <row r="571" spans="2:6" ns3:dyDescent="0.4">
      <c r="B571" s="77"/>
      <c r="D571" s="78"/>
      <c r="F571" s="77"/>
    </row>
    <row r="572" spans="2:6" ns3:dyDescent="0.4">
      <c r="B572" s="77"/>
      <c r="D572" s="78"/>
      <c r="F572" s="77"/>
    </row>
    <row r="573" spans="2:6" ns3:dyDescent="0.4">
      <c r="B573" s="77"/>
      <c r="D573" s="78"/>
      <c r="F573" s="77"/>
    </row>
    <row r="574" spans="2:6" ns3:dyDescent="0.4">
      <c r="B574" s="77"/>
      <c r="D574" s="78"/>
      <c r="F574" s="77"/>
    </row>
    <row r="575" spans="2:6" ns3:dyDescent="0.4">
      <c r="B575" s="77"/>
      <c r="D575" s="78"/>
      <c r="F575" s="77"/>
    </row>
    <row r="576" spans="2:6" ns3:dyDescent="0.4">
      <c r="B576" s="77"/>
      <c r="D576" s="78"/>
      <c r="F576" s="77"/>
    </row>
    <row r="577" spans="2:6" ns3:dyDescent="0.4">
      <c r="B577" s="77"/>
      <c r="D577" s="78"/>
      <c r="F577" s="77"/>
    </row>
    <row r="578" spans="2:6" ns3:dyDescent="0.4">
      <c r="B578" s="77"/>
      <c r="D578" s="78"/>
      <c r="F578" s="77"/>
    </row>
    <row r="579" spans="2:6" ns3:dyDescent="0.4">
      <c r="B579" s="77"/>
      <c r="D579" s="78"/>
      <c r="F579" s="77"/>
    </row>
    <row r="580" spans="2:6" ns3:dyDescent="0.4">
      <c r="B580" s="77"/>
      <c r="D580" s="78"/>
      <c r="F580" s="77"/>
    </row>
    <row r="581" spans="2:6" ns3:dyDescent="0.4">
      <c r="B581" s="77"/>
      <c r="D581" s="78"/>
      <c r="F581" s="77"/>
    </row>
    <row r="582" spans="2:6" ns3:dyDescent="0.4">
      <c r="B582" s="77"/>
      <c r="D582" s="78"/>
      <c r="F582" s="77"/>
    </row>
    <row r="583" spans="2:6" ns3:dyDescent="0.4">
      <c r="B583" s="77"/>
      <c r="D583" s="78"/>
      <c r="F583" s="77"/>
    </row>
    <row r="584" spans="2:6" ns3:dyDescent="0.4">
      <c r="B584" s="77"/>
      <c r="D584" s="78"/>
      <c r="F584" s="77"/>
    </row>
    <row r="585" spans="2:6" ns3:dyDescent="0.4">
      <c r="B585" s="77"/>
      <c r="D585" s="78"/>
      <c r="F585" s="77"/>
    </row>
    <row r="586" spans="2:6" ns3:dyDescent="0.4">
      <c r="B586" s="77"/>
      <c r="D586" s="78"/>
      <c r="F586" s="77"/>
    </row>
    <row r="587" spans="2:6" ns3:dyDescent="0.4">
      <c r="B587" s="77"/>
      <c r="D587" s="78"/>
      <c r="F587" s="77"/>
    </row>
    <row r="588" spans="2:6" ns3:dyDescent="0.4">
      <c r="B588" s="77"/>
      <c r="D588" s="78"/>
      <c r="F588" s="77"/>
    </row>
    <row r="589" spans="2:6" ns3:dyDescent="0.4">
      <c r="B589" s="77"/>
      <c r="D589" s="78"/>
      <c r="F589" s="77"/>
    </row>
    <row r="590" spans="2:6" ns3:dyDescent="0.4">
      <c r="B590" s="77"/>
      <c r="D590" s="78"/>
      <c r="F590" s="77"/>
    </row>
    <row r="591" spans="2:6" ns3:dyDescent="0.4">
      <c r="B591" s="77"/>
      <c r="D591" s="78"/>
      <c r="F591" s="77"/>
    </row>
    <row r="592" spans="2:6" ns3:dyDescent="0.4">
      <c r="B592" s="77"/>
      <c r="D592" s="78"/>
      <c r="F592" s="77"/>
    </row>
    <row r="593" spans="2:6" ns3:dyDescent="0.4">
      <c r="B593" s="77"/>
      <c r="D593" s="78"/>
      <c r="F593" s="77"/>
    </row>
    <row r="594" spans="2:6" ns3:dyDescent="0.4">
      <c r="B594" s="77"/>
      <c r="D594" s="78"/>
      <c r="F594" s="77"/>
    </row>
    <row r="595" spans="2:6" ns3:dyDescent="0.4">
      <c r="B595" s="77"/>
      <c r="D595" s="78"/>
      <c r="F595" s="77"/>
    </row>
    <row r="596" spans="2:6" ns3:dyDescent="0.4">
      <c r="B596" s="77"/>
      <c r="D596" s="78"/>
      <c r="F596" s="77"/>
    </row>
    <row r="597" spans="2:6" ns3:dyDescent="0.4">
      <c r="B597" s="77"/>
      <c r="D597" s="78"/>
      <c r="F597" s="77"/>
    </row>
    <row r="598" spans="2:6" ns3:dyDescent="0.4">
      <c r="B598" s="77"/>
      <c r="D598" s="78"/>
      <c r="F598" s="77"/>
    </row>
    <row r="599" spans="2:6" ns3:dyDescent="0.4">
      <c r="B599" s="77"/>
      <c r="D599" s="78"/>
      <c r="F599" s="77"/>
    </row>
    <row r="600" spans="2:6" ns3:dyDescent="0.4">
      <c r="B600" s="77"/>
      <c r="D600" s="78"/>
      <c r="F600" s="77"/>
    </row>
    <row r="601" spans="2:6" ns3:dyDescent="0.4">
      <c r="B601" s="77"/>
      <c r="D601" s="78"/>
      <c r="F601" s="77"/>
    </row>
    <row r="602" spans="2:6" ns3:dyDescent="0.4">
      <c r="B602" s="77"/>
      <c r="D602" s="78"/>
      <c r="F602" s="77"/>
    </row>
    <row r="603" spans="2:6" ns3:dyDescent="0.4">
      <c r="B603" s="77"/>
      <c r="D603" s="78"/>
      <c r="F603" s="77"/>
    </row>
    <row r="604" spans="2:6" ns3:dyDescent="0.4">
      <c r="B604" s="77"/>
      <c r="D604" s="78"/>
      <c r="F604" s="77"/>
    </row>
    <row r="605" spans="2:6" ns3:dyDescent="0.4">
      <c r="B605" s="77"/>
      <c r="D605" s="78"/>
      <c r="F605" s="77"/>
    </row>
    <row r="606" spans="2:6" ns3:dyDescent="0.4">
      <c r="B606" s="77"/>
      <c r="D606" s="78"/>
      <c r="F606" s="77"/>
    </row>
    <row r="607" spans="2:6" ns3:dyDescent="0.4">
      <c r="B607" s="77"/>
      <c r="D607" s="78"/>
      <c r="F607" s="77"/>
    </row>
    <row r="608" spans="2:6" ns3:dyDescent="0.4">
      <c r="B608" s="77"/>
      <c r="D608" s="78"/>
      <c r="F608" s="77"/>
    </row>
    <row r="609" spans="2:6" ns3:dyDescent="0.4">
      <c r="B609" s="77"/>
      <c r="D609" s="78"/>
      <c r="F609" s="77"/>
    </row>
    <row r="610" spans="2:6" ns3:dyDescent="0.4">
      <c r="B610" s="77"/>
      <c r="D610" s="78"/>
      <c r="F610" s="77"/>
    </row>
    <row r="611" spans="2:6" ns3:dyDescent="0.4">
      <c r="B611" s="77"/>
      <c r="D611" s="78"/>
      <c r="F611" s="77"/>
    </row>
    <row r="612" spans="2:6" ns3:dyDescent="0.4">
      <c r="B612" s="77"/>
      <c r="D612" s="78"/>
      <c r="F612" s="77"/>
    </row>
    <row r="613" spans="2:6" ns3:dyDescent="0.4">
      <c r="B613" s="77"/>
      <c r="D613" s="78"/>
      <c r="F613" s="77"/>
    </row>
    <row r="614" spans="2:6" ns3:dyDescent="0.4">
      <c r="B614" s="77"/>
      <c r="D614" s="78"/>
      <c r="F614" s="77"/>
    </row>
    <row r="615" spans="2:6" ns3:dyDescent="0.4">
      <c r="B615" s="77"/>
      <c r="D615" s="78"/>
      <c r="F615" s="77"/>
    </row>
    <row r="616" spans="2:6" ns3:dyDescent="0.4">
      <c r="B616" s="77"/>
      <c r="D616" s="78"/>
      <c r="F616" s="77"/>
    </row>
    <row r="617" spans="2:6" ns3:dyDescent="0.4">
      <c r="B617" s="77"/>
      <c r="D617" s="78"/>
      <c r="F617" s="77"/>
    </row>
    <row r="618" spans="2:6" ns3:dyDescent="0.4">
      <c r="B618" s="77"/>
      <c r="D618" s="78"/>
      <c r="F618" s="77"/>
    </row>
    <row r="619" spans="2:6" ns3:dyDescent="0.4">
      <c r="B619" s="77"/>
      <c r="D619" s="78"/>
      <c r="F619" s="77"/>
    </row>
    <row r="620" spans="2:6" ns3:dyDescent="0.4">
      <c r="B620" s="77"/>
      <c r="D620" s="78"/>
      <c r="F620" s="77"/>
    </row>
    <row r="621" spans="2:6" ns3:dyDescent="0.4">
      <c r="B621" s="77"/>
      <c r="D621" s="78"/>
      <c r="F621" s="77"/>
    </row>
    <row r="622" spans="2:6" ns3:dyDescent="0.4">
      <c r="B622" s="77"/>
      <c r="D622" s="78"/>
      <c r="F622" s="77"/>
    </row>
    <row r="623" spans="2:6" ns3:dyDescent="0.4">
      <c r="B623" s="77"/>
      <c r="D623" s="78"/>
      <c r="F623" s="77"/>
    </row>
    <row r="624" spans="2:6" ns3:dyDescent="0.4">
      <c r="B624" s="77"/>
      <c r="D624" s="78"/>
      <c r="F624" s="77"/>
    </row>
    <row r="625" spans="2:6" ns3:dyDescent="0.4">
      <c r="B625" s="77"/>
      <c r="D625" s="78"/>
      <c r="F625" s="77"/>
    </row>
    <row r="626" spans="2:6" ns3:dyDescent="0.4">
      <c r="B626" s="77"/>
      <c r="D626" s="78"/>
      <c r="F626" s="77"/>
    </row>
    <row r="627" spans="2:6" ns3:dyDescent="0.4">
      <c r="B627" s="77"/>
      <c r="D627" s="78"/>
      <c r="F627" s="77"/>
    </row>
    <row r="628" spans="2:6" ns3:dyDescent="0.4">
      <c r="B628" s="77"/>
      <c r="D628" s="78"/>
      <c r="F628" s="77"/>
    </row>
    <row r="629" spans="2:6" ns3:dyDescent="0.4">
      <c r="B629" s="77"/>
      <c r="D629" s="78"/>
      <c r="F629" s="77"/>
    </row>
    <row r="630" spans="2:6" ns3:dyDescent="0.4">
      <c r="B630" s="77"/>
      <c r="D630" s="78"/>
      <c r="F630" s="77"/>
    </row>
    <row r="631" spans="2:6" ns3:dyDescent="0.4">
      <c r="B631" s="77"/>
      <c r="D631" s="78"/>
      <c r="F631" s="77"/>
    </row>
    <row r="632" spans="2:6" ns3:dyDescent="0.4">
      <c r="B632" s="77"/>
      <c r="D632" s="78"/>
      <c r="F632" s="77"/>
    </row>
    <row r="633" spans="2:6" ns3:dyDescent="0.4">
      <c r="B633" s="77"/>
      <c r="D633" s="78"/>
      <c r="F633" s="77"/>
    </row>
    <row r="634" spans="2:6" ns3:dyDescent="0.4">
      <c r="B634" s="77"/>
      <c r="D634" s="78"/>
      <c r="F634" s="77"/>
    </row>
    <row r="635" spans="2:6" ns3:dyDescent="0.4">
      <c r="B635" s="77"/>
      <c r="D635" s="78"/>
      <c r="F635" s="77"/>
    </row>
    <row r="636" spans="2:6" ns3:dyDescent="0.4">
      <c r="B636" s="77"/>
      <c r="D636" s="78"/>
      <c r="F636" s="77"/>
    </row>
    <row r="637" spans="2:6" ns3:dyDescent="0.4">
      <c r="B637" s="77"/>
      <c r="D637" s="78"/>
      <c r="F637" s="77"/>
    </row>
    <row r="638" spans="2:6" ns3:dyDescent="0.4">
      <c r="B638" s="77"/>
      <c r="D638" s="78"/>
      <c r="F638" s="77"/>
    </row>
    <row r="639" spans="2:6" ns3:dyDescent="0.4">
      <c r="B639" s="77"/>
      <c r="D639" s="78"/>
      <c r="F639" s="77"/>
    </row>
    <row r="640" spans="2:6" ns3:dyDescent="0.4">
      <c r="B640" s="77"/>
      <c r="D640" s="78"/>
      <c r="F640" s="77"/>
    </row>
    <row r="641" spans="2:6" ns3:dyDescent="0.4">
      <c r="B641" s="77"/>
      <c r="D641" s="78"/>
      <c r="F641" s="77"/>
    </row>
    <row r="642" spans="2:6" ns3:dyDescent="0.4">
      <c r="B642" s="77"/>
      <c r="D642" s="78"/>
      <c r="F642" s="77"/>
    </row>
    <row r="643" spans="2:6" ns3:dyDescent="0.4">
      <c r="B643" s="77"/>
      <c r="D643" s="78"/>
      <c r="F643" s="77"/>
    </row>
    <row r="644" spans="2:6" ns3:dyDescent="0.4">
      <c r="B644" s="77"/>
      <c r="D644" s="78"/>
      <c r="F644" s="77"/>
    </row>
    <row r="645" spans="2:6" ns3:dyDescent="0.4">
      <c r="B645" s="77"/>
      <c r="D645" s="78"/>
      <c r="F645" s="77"/>
    </row>
    <row r="646" spans="2:6" ns3:dyDescent="0.4">
      <c r="B646" s="77"/>
      <c r="D646" s="78"/>
      <c r="F646" s="77"/>
    </row>
    <row r="647" spans="2:6" ns3:dyDescent="0.4">
      <c r="B647" s="77"/>
      <c r="D647" s="78"/>
      <c r="F647" s="77"/>
    </row>
    <row r="648" spans="2:6" ns3:dyDescent="0.4">
      <c r="B648" s="77"/>
      <c r="D648" s="78"/>
      <c r="F648" s="77"/>
    </row>
    <row r="649" spans="2:6" ns3:dyDescent="0.4">
      <c r="B649" s="77"/>
      <c r="D649" s="78"/>
      <c r="F649" s="77"/>
    </row>
    <row r="650" spans="2:6" ns3:dyDescent="0.4">
      <c r="B650" s="77"/>
      <c r="D650" s="78"/>
      <c r="F650" s="77"/>
    </row>
    <row r="651" spans="2:6" ns3:dyDescent="0.4">
      <c r="B651" s="77"/>
      <c r="D651" s="78"/>
      <c r="F651" s="77"/>
    </row>
    <row r="652" spans="2:6" ns3:dyDescent="0.4">
      <c r="B652" s="77"/>
      <c r="D652" s="78"/>
      <c r="F652" s="77"/>
    </row>
    <row r="653" spans="2:6" ns3:dyDescent="0.4">
      <c r="B653" s="77"/>
      <c r="D653" s="78"/>
      <c r="F653" s="77"/>
    </row>
    <row r="654" spans="2:6" ns3:dyDescent="0.4">
      <c r="B654" s="77"/>
      <c r="D654" s="78"/>
      <c r="F654" s="77"/>
    </row>
    <row r="655" spans="2:6" ns3:dyDescent="0.4">
      <c r="B655" s="77"/>
      <c r="D655" s="78"/>
      <c r="F655" s="77"/>
    </row>
    <row r="656" spans="2:6" ns3:dyDescent="0.4">
      <c r="B656" s="77"/>
      <c r="D656" s="78"/>
      <c r="F656" s="77"/>
    </row>
    <row r="657" spans="2:6" ns3:dyDescent="0.4">
      <c r="B657" s="77"/>
      <c r="D657" s="78"/>
      <c r="F657" s="77"/>
    </row>
    <row r="658" spans="2:6" ns3:dyDescent="0.4">
      <c r="B658" s="77"/>
      <c r="D658" s="78"/>
      <c r="F658" s="77"/>
    </row>
    <row r="659" spans="2:6" ns3:dyDescent="0.4">
      <c r="B659" s="77"/>
      <c r="D659" s="78"/>
      <c r="F659" s="77"/>
    </row>
    <row r="660" spans="2:6" ns3:dyDescent="0.4">
      <c r="B660" s="77"/>
      <c r="D660" s="78"/>
      <c r="F660" s="77"/>
    </row>
    <row r="661" spans="2:6" ns3:dyDescent="0.4">
      <c r="B661" s="77"/>
      <c r="D661" s="78"/>
      <c r="F661" s="77"/>
    </row>
    <row r="662" spans="2:6" ns3:dyDescent="0.4">
      <c r="B662" s="77"/>
      <c r="D662" s="78"/>
      <c r="F662" s="77"/>
    </row>
    <row r="663" spans="2:6" ns3:dyDescent="0.4">
      <c r="B663" s="77"/>
      <c r="D663" s="78"/>
      <c r="F663" s="77"/>
    </row>
    <row r="664" spans="2:6" ns3:dyDescent="0.4">
      <c r="B664" s="77"/>
      <c r="D664" s="78"/>
      <c r="F664" s="77"/>
    </row>
    <row r="665" spans="2:6" ns3:dyDescent="0.4">
      <c r="B665" s="77"/>
      <c r="D665" s="78"/>
      <c r="F665" s="77"/>
    </row>
    <row r="666" spans="2:6" ns3:dyDescent="0.4">
      <c r="B666" s="77"/>
      <c r="D666" s="78"/>
      <c r="F666" s="77"/>
    </row>
    <row r="667" spans="2:6" ns3:dyDescent="0.4">
      <c r="B667" s="77"/>
      <c r="D667" s="78"/>
      <c r="F667" s="77"/>
    </row>
    <row r="668" spans="2:6" ns3:dyDescent="0.4">
      <c r="B668" s="77"/>
      <c r="D668" s="78"/>
      <c r="F668" s="77"/>
    </row>
    <row r="669" spans="2:6" ns3:dyDescent="0.4">
      <c r="B669" s="77"/>
      <c r="D669" s="78"/>
      <c r="F669" s="77"/>
    </row>
    <row r="670" spans="2:6" ns3:dyDescent="0.4">
      <c r="B670" s="77"/>
      <c r="D670" s="78"/>
      <c r="F670" s="77"/>
    </row>
    <row r="671" spans="2:6" ns3:dyDescent="0.4">
      <c r="B671" s="77"/>
      <c r="D671" s="78"/>
      <c r="F671" s="77"/>
    </row>
    <row r="672" spans="2:6" ns3:dyDescent="0.4">
      <c r="B672" s="77"/>
      <c r="D672" s="78"/>
      <c r="F672" s="77"/>
    </row>
    <row r="673" spans="2:6" ns3:dyDescent="0.4">
      <c r="B673" s="77"/>
      <c r="D673" s="78"/>
      <c r="F673" s="77"/>
    </row>
    <row r="674" spans="2:6" ns3:dyDescent="0.4">
      <c r="B674" s="77"/>
      <c r="D674" s="78"/>
      <c r="F674" s="77"/>
    </row>
    <row r="675" spans="2:6" ns3:dyDescent="0.4">
      <c r="B675" s="77"/>
      <c r="D675" s="78"/>
      <c r="F675" s="77"/>
    </row>
    <row r="676" spans="2:6" ns3:dyDescent="0.4">
      <c r="B676" s="77"/>
      <c r="D676" s="78"/>
      <c r="F676" s="77"/>
    </row>
    <row r="677" spans="2:6" ns3:dyDescent="0.4">
      <c r="B677" s="77"/>
      <c r="D677" s="78"/>
      <c r="F677" s="77"/>
    </row>
    <row r="678" spans="2:6" ns3:dyDescent="0.4">
      <c r="B678" s="77"/>
      <c r="D678" s="78"/>
      <c r="F678" s="77"/>
    </row>
    <row r="679" spans="2:6" ns3:dyDescent="0.4">
      <c r="B679" s="77"/>
      <c r="D679" s="78"/>
      <c r="F679" s="77"/>
    </row>
    <row r="680" spans="2:6" ns3:dyDescent="0.4">
      <c r="B680" s="77"/>
      <c r="D680" s="78"/>
      <c r="F680" s="77"/>
    </row>
    <row r="681" spans="2:6" ns3:dyDescent="0.4">
      <c r="B681" s="77"/>
      <c r="D681" s="78"/>
      <c r="F681" s="77"/>
    </row>
    <row r="682" spans="2:6" ns3:dyDescent="0.4">
      <c r="B682" s="77"/>
      <c r="D682" s="78"/>
      <c r="F682" s="77"/>
    </row>
    <row r="683" spans="2:6" ns3:dyDescent="0.4">
      <c r="B683" s="77"/>
      <c r="D683" s="78"/>
      <c r="F683" s="77"/>
    </row>
    <row r="684" spans="2:6" ns3:dyDescent="0.4">
      <c r="B684" s="77"/>
      <c r="D684" s="78"/>
      <c r="F684" s="77"/>
    </row>
    <row r="685" spans="2:6" ns3:dyDescent="0.4">
      <c r="B685" s="77"/>
      <c r="D685" s="78"/>
      <c r="F685" s="77"/>
    </row>
    <row r="686" spans="2:6" ns3:dyDescent="0.4">
      <c r="B686" s="77"/>
      <c r="D686" s="78"/>
      <c r="F686" s="77"/>
    </row>
    <row r="687" spans="2:6" ns3:dyDescent="0.4">
      <c r="B687" s="77"/>
      <c r="D687" s="78"/>
      <c r="F687" s="77"/>
    </row>
    <row r="688" spans="2:6" ns3:dyDescent="0.4">
      <c r="B688" s="77"/>
      <c r="D688" s="78"/>
      <c r="F688" s="77"/>
    </row>
    <row r="689" spans="2:6" ns3:dyDescent="0.4">
      <c r="B689" s="77"/>
      <c r="D689" s="78"/>
      <c r="F689" s="77"/>
    </row>
    <row r="690" spans="2:6" ns3:dyDescent="0.4">
      <c r="B690" s="77"/>
      <c r="D690" s="78"/>
      <c r="F690" s="77"/>
    </row>
    <row r="691" spans="2:6" ns3:dyDescent="0.4">
      <c r="B691" s="77"/>
      <c r="D691" s="78"/>
      <c r="F691" s="77"/>
    </row>
    <row r="692" spans="2:6" ns3:dyDescent="0.4">
      <c r="B692" s="77"/>
      <c r="D692" s="78"/>
      <c r="F692" s="77"/>
    </row>
    <row r="693" spans="2:6" ns3:dyDescent="0.4">
      <c r="B693" s="77"/>
      <c r="D693" s="78"/>
      <c r="F693" s="77"/>
    </row>
    <row r="694" spans="2:6" ns3:dyDescent="0.4">
      <c r="B694" s="77"/>
      <c r="D694" s="78"/>
      <c r="F694" s="77"/>
    </row>
    <row r="695" spans="2:6" ns3:dyDescent="0.4">
      <c r="B695" s="77"/>
      <c r="D695" s="78"/>
      <c r="F695" s="77"/>
    </row>
    <row r="696" spans="2:6" ns3:dyDescent="0.4">
      <c r="B696" s="77"/>
      <c r="D696" s="78"/>
      <c r="F696" s="77"/>
    </row>
    <row r="697" spans="2:6" ns3:dyDescent="0.4">
      <c r="B697" s="77"/>
      <c r="D697" s="78"/>
      <c r="F697" s="77"/>
    </row>
    <row r="698" spans="2:6" ns3:dyDescent="0.4">
      <c r="B698" s="77"/>
      <c r="D698" s="78"/>
      <c r="F698" s="77"/>
    </row>
    <row r="699" spans="2:6" ns3:dyDescent="0.4">
      <c r="B699" s="77"/>
      <c r="D699" s="78"/>
      <c r="F699" s="77"/>
    </row>
    <row r="700" spans="2:6" ns3:dyDescent="0.4">
      <c r="B700" s="77"/>
      <c r="D700" s="78"/>
      <c r="F700" s="77"/>
    </row>
    <row r="701" spans="2:6" ns3:dyDescent="0.4">
      <c r="B701" s="77"/>
      <c r="D701" s="78"/>
      <c r="F701" s="77"/>
    </row>
    <row r="702" spans="2:6" ns3:dyDescent="0.4">
      <c r="B702" s="77"/>
      <c r="D702" s="78"/>
      <c r="F702" s="77"/>
    </row>
    <row r="703" spans="2:6" ns3:dyDescent="0.4">
      <c r="B703" s="77"/>
      <c r="D703" s="78"/>
      <c r="F703" s="77"/>
    </row>
    <row r="704" spans="2:6" ns3:dyDescent="0.4">
      <c r="B704" s="77"/>
      <c r="D704" s="78"/>
      <c r="F704" s="77"/>
    </row>
    <row r="705" spans="2:6" ns3:dyDescent="0.4">
      <c r="B705" s="77"/>
      <c r="D705" s="78"/>
      <c r="F705" s="77"/>
    </row>
    <row r="706" spans="2:6" ns3:dyDescent="0.4">
      <c r="B706" s="77"/>
      <c r="D706" s="78"/>
      <c r="F706" s="77"/>
    </row>
    <row r="707" spans="2:6" ns3:dyDescent="0.4">
      <c r="B707" s="77"/>
      <c r="D707" s="78"/>
      <c r="F707" s="77"/>
    </row>
    <row r="708" spans="2:6" ns3:dyDescent="0.4">
      <c r="B708" s="77"/>
      <c r="D708" s="78"/>
      <c r="F708" s="77"/>
    </row>
    <row r="709" spans="2:6" ns3:dyDescent="0.4">
      <c r="B709" s="77"/>
      <c r="D709" s="78"/>
      <c r="F709" s="77"/>
    </row>
    <row r="710" spans="2:6" ns3:dyDescent="0.4">
      <c r="B710" s="77"/>
      <c r="D710" s="78"/>
      <c r="F710" s="77"/>
    </row>
    <row r="711" spans="2:6" ns3:dyDescent="0.4">
      <c r="B711" s="77"/>
      <c r="D711" s="78"/>
      <c r="F711" s="77"/>
    </row>
    <row r="712" spans="2:6" ns3:dyDescent="0.4">
      <c r="B712" s="77"/>
      <c r="D712" s="78"/>
      <c r="F712" s="77"/>
    </row>
    <row r="713" spans="2:6" ns3:dyDescent="0.4">
      <c r="B713" s="77"/>
      <c r="D713" s="78"/>
      <c r="F713" s="77"/>
    </row>
    <row r="714" spans="2:6" ns3:dyDescent="0.4">
      <c r="B714" s="77"/>
      <c r="D714" s="78"/>
      <c r="F714" s="77"/>
    </row>
    <row r="715" spans="2:6" ns3:dyDescent="0.4">
      <c r="B715" s="77"/>
      <c r="D715" s="78"/>
      <c r="F715" s="77"/>
    </row>
    <row r="716" spans="2:6" ns3:dyDescent="0.4">
      <c r="B716" s="77"/>
      <c r="D716" s="78"/>
      <c r="F716" s="77"/>
    </row>
    <row r="717" spans="2:6" ns3:dyDescent="0.4">
      <c r="B717" s="77"/>
      <c r="D717" s="78"/>
      <c r="F717" s="77"/>
    </row>
    <row r="718" spans="2:6" ns3:dyDescent="0.4">
      <c r="B718" s="77"/>
      <c r="D718" s="78"/>
      <c r="F718" s="77"/>
    </row>
    <row r="719" spans="2:6" ns3:dyDescent="0.4">
      <c r="B719" s="77"/>
      <c r="D719" s="78"/>
      <c r="F719" s="77"/>
    </row>
    <row r="720" spans="2:6" ns3:dyDescent="0.4">
      <c r="B720" s="77"/>
      <c r="D720" s="78"/>
      <c r="F720" s="77"/>
    </row>
    <row r="721" spans="2:6" ns3:dyDescent="0.4">
      <c r="B721" s="77"/>
      <c r="D721" s="78"/>
      <c r="F721" s="77"/>
    </row>
    <row r="722" spans="2:6" ns3:dyDescent="0.4">
      <c r="B722" s="77"/>
      <c r="D722" s="78"/>
      <c r="F722" s="77"/>
    </row>
    <row r="723" spans="2:6" ns3:dyDescent="0.4">
      <c r="B723" s="77"/>
      <c r="D723" s="78"/>
      <c r="F723" s="77"/>
    </row>
    <row r="724" spans="2:6" ns3:dyDescent="0.4">
      <c r="B724" s="77"/>
      <c r="D724" s="78"/>
      <c r="F724" s="77"/>
    </row>
    <row r="725" spans="2:6" ns3:dyDescent="0.4">
      <c r="B725" s="77"/>
      <c r="D725" s="78"/>
      <c r="F725" s="77"/>
    </row>
    <row r="726" spans="2:6" ns3:dyDescent="0.4">
      <c r="B726" s="77"/>
      <c r="D726" s="78"/>
      <c r="F726" s="77"/>
    </row>
    <row r="727" spans="2:6" ns3:dyDescent="0.4">
      <c r="B727" s="77"/>
      <c r="D727" s="78"/>
      <c r="F727" s="77"/>
    </row>
    <row r="728" spans="2:6" ns3:dyDescent="0.4">
      <c r="B728" s="77"/>
      <c r="D728" s="78"/>
      <c r="F728" s="77"/>
    </row>
    <row r="729" spans="2:6" ns3:dyDescent="0.4">
      <c r="B729" s="77"/>
      <c r="D729" s="78"/>
      <c r="F729" s="77"/>
    </row>
    <row r="730" spans="2:6" ns3:dyDescent="0.4">
      <c r="B730" s="77"/>
      <c r="D730" s="78"/>
      <c r="F730" s="77"/>
    </row>
    <row r="731" spans="2:6" ns3:dyDescent="0.4">
      <c r="B731" s="77"/>
      <c r="D731" s="78"/>
      <c r="F731" s="77"/>
    </row>
    <row r="732" spans="2:6" ns3:dyDescent="0.4">
      <c r="B732" s="77"/>
      <c r="D732" s="78"/>
      <c r="F732" s="77"/>
    </row>
    <row r="733" spans="2:6" ns3:dyDescent="0.4">
      <c r="B733" s="77"/>
      <c r="D733" s="78"/>
      <c r="F733" s="77"/>
    </row>
    <row r="734" spans="2:6" ns3:dyDescent="0.4">
      <c r="B734" s="77"/>
      <c r="D734" s="78"/>
      <c r="F734" s="77"/>
    </row>
    <row r="735" spans="2:6" ns3:dyDescent="0.4">
      <c r="B735" s="77"/>
      <c r="D735" s="78"/>
      <c r="F735" s="77"/>
    </row>
    <row r="736" spans="2:6" ns3:dyDescent="0.4">
      <c r="B736" s="77"/>
      <c r="D736" s="78"/>
      <c r="F736" s="77"/>
    </row>
    <row r="737" spans="2:6" ns3:dyDescent="0.4">
      <c r="B737" s="77"/>
      <c r="D737" s="78"/>
      <c r="F737" s="77"/>
    </row>
    <row r="738" spans="2:6" ns3:dyDescent="0.4">
      <c r="B738" s="77"/>
      <c r="D738" s="78"/>
      <c r="F738" s="77"/>
    </row>
    <row r="739" spans="2:6" ns3:dyDescent="0.4">
      <c r="B739" s="77"/>
      <c r="D739" s="78"/>
      <c r="F739" s="77"/>
    </row>
    <row r="740" spans="2:6" ns3:dyDescent="0.4">
      <c r="B740" s="77"/>
      <c r="D740" s="78"/>
      <c r="F740" s="77"/>
    </row>
    <row r="741" spans="2:6" ns3:dyDescent="0.4">
      <c r="B741" s="77"/>
      <c r="D741" s="78"/>
      <c r="F741" s="77"/>
    </row>
    <row r="742" spans="2:6" ns3:dyDescent="0.4">
      <c r="B742" s="77"/>
      <c r="D742" s="78"/>
      <c r="F742" s="77"/>
    </row>
    <row r="743" spans="2:6" ns3:dyDescent="0.4">
      <c r="B743" s="77"/>
      <c r="D743" s="78"/>
      <c r="F743" s="77"/>
    </row>
    <row r="744" spans="2:6" ns3:dyDescent="0.4">
      <c r="B744" s="77"/>
      <c r="D744" s="78"/>
      <c r="F744" s="77"/>
    </row>
    <row r="745" spans="2:6" ns3:dyDescent="0.4">
      <c r="B745" s="77"/>
      <c r="D745" s="78"/>
      <c r="F745" s="77"/>
    </row>
    <row r="746" spans="2:6" ns3:dyDescent="0.4">
      <c r="B746" s="77"/>
      <c r="D746" s="78"/>
      <c r="F746" s="77"/>
    </row>
    <row r="747" spans="2:6" ns3:dyDescent="0.4">
      <c r="B747" s="77"/>
      <c r="D747" s="78"/>
      <c r="F747" s="77"/>
    </row>
    <row r="748" spans="2:6" ns3:dyDescent="0.4">
      <c r="B748" s="77"/>
      <c r="D748" s="78"/>
      <c r="F748" s="77"/>
    </row>
    <row r="749" spans="2:6" ns3:dyDescent="0.4">
      <c r="B749" s="77"/>
      <c r="D749" s="78"/>
      <c r="F749" s="77"/>
    </row>
    <row r="750" spans="2:6" ns3:dyDescent="0.4">
      <c r="B750" s="77"/>
      <c r="D750" s="78"/>
      <c r="F750" s="77"/>
    </row>
    <row r="751" spans="2:6" ns3:dyDescent="0.4">
      <c r="B751" s="77"/>
      <c r="D751" s="78"/>
      <c r="F751" s="77"/>
    </row>
    <row r="752" spans="2:6" ns3:dyDescent="0.4">
      <c r="B752" s="77"/>
      <c r="D752" s="78"/>
      <c r="F752" s="77"/>
    </row>
    <row r="753" spans="2:6" ns3:dyDescent="0.4">
      <c r="B753" s="77"/>
      <c r="D753" s="78"/>
      <c r="F753" s="77"/>
    </row>
    <row r="754" spans="2:6" ns3:dyDescent="0.4">
      <c r="B754" s="77"/>
      <c r="D754" s="78"/>
      <c r="F754" s="77"/>
    </row>
    <row r="755" spans="2:6" ns3:dyDescent="0.4">
      <c r="B755" s="77"/>
      <c r="D755" s="78"/>
      <c r="F755" s="77"/>
    </row>
    <row r="756" spans="2:6" ns3:dyDescent="0.4">
      <c r="B756" s="77"/>
      <c r="D756" s="78"/>
      <c r="F756" s="77"/>
    </row>
    <row r="757" spans="2:6" ns3:dyDescent="0.4">
      <c r="B757" s="77"/>
      <c r="D757" s="78"/>
      <c r="F757" s="77"/>
    </row>
    <row r="758" spans="2:6" ns3:dyDescent="0.4">
      <c r="B758" s="77"/>
      <c r="D758" s="78"/>
      <c r="F758" s="77"/>
    </row>
    <row r="759" spans="2:6" ns3:dyDescent="0.4">
      <c r="B759" s="77"/>
      <c r="D759" s="78"/>
      <c r="F759" s="77"/>
    </row>
    <row r="760" spans="2:6" ns3:dyDescent="0.4">
      <c r="B760" s="77"/>
      <c r="D760" s="78"/>
      <c r="F760" s="77"/>
    </row>
    <row r="761" spans="2:6" ns3:dyDescent="0.4">
      <c r="B761" s="77"/>
      <c r="D761" s="78"/>
      <c r="F761" s="77"/>
    </row>
    <row r="762" spans="2:6" ns3:dyDescent="0.4">
      <c r="B762" s="77"/>
      <c r="D762" s="78"/>
      <c r="F762" s="77"/>
    </row>
    <row r="763" spans="2:6" ns3:dyDescent="0.4">
      <c r="B763" s="77"/>
      <c r="D763" s="78"/>
      <c r="F763" s="77"/>
    </row>
    <row r="764" spans="2:6" ns3:dyDescent="0.4">
      <c r="B764" s="77"/>
      <c r="D764" s="78"/>
      <c r="F764" s="77"/>
    </row>
    <row r="765" spans="2:6" ns3:dyDescent="0.4">
      <c r="B765" s="77"/>
      <c r="D765" s="78"/>
      <c r="F765" s="77"/>
    </row>
    <row r="766" spans="2:6" ns3:dyDescent="0.4">
      <c r="B766" s="77"/>
      <c r="D766" s="78"/>
      <c r="F766" s="77"/>
    </row>
    <row r="767" spans="2:6" ns3:dyDescent="0.4">
      <c r="B767" s="77"/>
      <c r="D767" s="78"/>
      <c r="F767" s="77"/>
    </row>
    <row r="768" spans="2:6" ns3:dyDescent="0.4">
      <c r="B768" s="77"/>
      <c r="D768" s="78"/>
      <c r="F768" s="77"/>
    </row>
    <row r="769" spans="2:6" ns3:dyDescent="0.4">
      <c r="B769" s="77"/>
      <c r="D769" s="78"/>
      <c r="F769" s="77"/>
    </row>
    <row r="770" spans="2:6" ns3:dyDescent="0.4">
      <c r="B770" s="77"/>
      <c r="D770" s="78"/>
      <c r="F770" s="77"/>
    </row>
    <row r="771" spans="2:6" ns3:dyDescent="0.4">
      <c r="B771" s="77"/>
      <c r="D771" s="78"/>
      <c r="F771" s="77"/>
    </row>
    <row r="772" spans="2:6" ns3:dyDescent="0.4">
      <c r="B772" s="77"/>
      <c r="D772" s="78"/>
      <c r="F772" s="77"/>
    </row>
    <row r="773" spans="2:6" ns3:dyDescent="0.4">
      <c r="B773" s="77"/>
      <c r="D773" s="78"/>
      <c r="F773" s="77"/>
    </row>
    <row r="774" spans="2:6" ns3:dyDescent="0.4">
      <c r="B774" s="77"/>
      <c r="D774" s="78"/>
      <c r="F774" s="77"/>
    </row>
    <row r="775" spans="2:6" ns3:dyDescent="0.4">
      <c r="B775" s="77"/>
      <c r="D775" s="78"/>
      <c r="F775" s="77"/>
    </row>
    <row r="776" spans="2:6" ns3:dyDescent="0.4">
      <c r="B776" s="77"/>
      <c r="D776" s="78"/>
      <c r="F776" s="77"/>
    </row>
    <row r="777" spans="2:6" ns3:dyDescent="0.4">
      <c r="B777" s="77"/>
      <c r="D777" s="78"/>
      <c r="F777" s="77"/>
    </row>
    <row r="778" spans="2:6" ns3:dyDescent="0.4">
      <c r="B778" s="77"/>
      <c r="D778" s="78"/>
      <c r="F778" s="77"/>
    </row>
    <row r="779" spans="2:6" ns3:dyDescent="0.4">
      <c r="B779" s="77"/>
      <c r="D779" s="78"/>
      <c r="F779" s="77"/>
    </row>
    <row r="780" spans="2:6" ns3:dyDescent="0.4">
      <c r="B780" s="77"/>
      <c r="D780" s="78"/>
      <c r="F780" s="77"/>
    </row>
    <row r="781" spans="2:6" ns3:dyDescent="0.4">
      <c r="B781" s="77"/>
      <c r="D781" s="78"/>
      <c r="F781" s="77"/>
    </row>
    <row r="782" spans="2:6" ns3:dyDescent="0.4">
      <c r="B782" s="77"/>
      <c r="D782" s="78"/>
      <c r="F782" s="77"/>
    </row>
    <row r="783" spans="2:6" ns3:dyDescent="0.4">
      <c r="B783" s="77"/>
      <c r="D783" s="78"/>
      <c r="F783" s="77"/>
    </row>
    <row r="784" spans="2:6" ns3:dyDescent="0.4">
      <c r="B784" s="77"/>
      <c r="D784" s="78"/>
      <c r="F784" s="77"/>
    </row>
    <row r="785" spans="2:6" ns3:dyDescent="0.4">
      <c r="B785" s="77"/>
      <c r="D785" s="78"/>
      <c r="F785" s="77"/>
    </row>
    <row r="786" spans="2:6" ns3:dyDescent="0.4">
      <c r="B786" s="77"/>
      <c r="D786" s="78"/>
      <c r="F786" s="77"/>
    </row>
    <row r="787" spans="2:6" ns3:dyDescent="0.4">
      <c r="B787" s="77"/>
      <c r="D787" s="78"/>
      <c r="F787" s="77"/>
    </row>
    <row r="788" spans="2:6" ns3:dyDescent="0.4">
      <c r="B788" s="77"/>
      <c r="D788" s="78"/>
      <c r="F788" s="77"/>
    </row>
    <row r="789" spans="2:6" ns3:dyDescent="0.4">
      <c r="B789" s="77"/>
      <c r="D789" s="78"/>
      <c r="F789" s="77"/>
    </row>
    <row r="790" spans="2:6" ns3:dyDescent="0.4">
      <c r="B790" s="77"/>
      <c r="D790" s="78"/>
      <c r="F790" s="77"/>
    </row>
    <row r="791" spans="2:6" ns3:dyDescent="0.4">
      <c r="B791" s="77"/>
      <c r="D791" s="78"/>
      <c r="F791" s="77"/>
    </row>
    <row r="792" spans="2:6" ns3:dyDescent="0.4">
      <c r="B792" s="77"/>
      <c r="D792" s="78"/>
      <c r="F792" s="77"/>
    </row>
    <row r="793" spans="2:6" ns3:dyDescent="0.4">
      <c r="B793" s="77"/>
      <c r="D793" s="78"/>
      <c r="F793" s="77"/>
    </row>
    <row r="794" spans="2:6" ns3:dyDescent="0.4">
      <c r="B794" s="77"/>
      <c r="D794" s="78"/>
      <c r="F794" s="77"/>
    </row>
    <row r="795" spans="2:6" ns3:dyDescent="0.4">
      <c r="B795" s="77"/>
      <c r="D795" s="78"/>
      <c r="F795" s="77"/>
    </row>
    <row r="796" spans="2:6" ns3:dyDescent="0.4">
      <c r="B796" s="77"/>
      <c r="D796" s="78"/>
      <c r="F796" s="77"/>
    </row>
    <row r="797" spans="2:6" ns3:dyDescent="0.4">
      <c r="B797" s="77"/>
      <c r="D797" s="78"/>
      <c r="F797" s="77"/>
    </row>
    <row r="798" spans="2:6" ns3:dyDescent="0.4">
      <c r="B798" s="77"/>
      <c r="D798" s="78"/>
      <c r="F798" s="77"/>
    </row>
    <row r="799" spans="2:6" ns3:dyDescent="0.4">
      <c r="B799" s="77"/>
      <c r="D799" s="78"/>
      <c r="F799" s="77"/>
    </row>
    <row r="800" spans="2:6" ns3:dyDescent="0.4">
      <c r="B800" s="77"/>
      <c r="D800" s="78"/>
      <c r="F800" s="77"/>
    </row>
    <row r="801" spans="2:6" ns3:dyDescent="0.4">
      <c r="B801" s="77"/>
      <c r="D801" s="78"/>
      <c r="F801" s="77"/>
    </row>
    <row r="802" spans="2:6" ns3:dyDescent="0.4">
      <c r="B802" s="77"/>
      <c r="D802" s="78"/>
      <c r="F802" s="77"/>
    </row>
    <row r="803" spans="2:6" ns3:dyDescent="0.4">
      <c r="B803" s="77"/>
      <c r="D803" s="78"/>
      <c r="F803" s="77"/>
    </row>
    <row r="804" spans="2:6" ns3:dyDescent="0.4">
      <c r="B804" s="77"/>
      <c r="D804" s="78"/>
      <c r="F804" s="77"/>
    </row>
    <row r="805" spans="2:6" ns3:dyDescent="0.4">
      <c r="B805" s="77"/>
      <c r="D805" s="78"/>
      <c r="F805" s="77"/>
    </row>
    <row r="806" spans="2:6" ns3:dyDescent="0.4">
      <c r="B806" s="77"/>
      <c r="D806" s="78"/>
      <c r="F806" s="77"/>
    </row>
    <row r="807" spans="2:6" ns3:dyDescent="0.4">
      <c r="B807" s="77"/>
      <c r="D807" s="78"/>
      <c r="F807" s="77"/>
    </row>
    <row r="808" spans="2:6" ns3:dyDescent="0.4">
      <c r="B808" s="77"/>
      <c r="D808" s="78"/>
      <c r="F808" s="77"/>
    </row>
    <row r="809" spans="2:6" ns3:dyDescent="0.4">
      <c r="B809" s="77"/>
      <c r="D809" s="78"/>
      <c r="F809" s="77"/>
    </row>
    <row r="810" spans="2:6" ns3:dyDescent="0.4">
      <c r="B810" s="77"/>
      <c r="D810" s="78"/>
      <c r="F810" s="77"/>
    </row>
    <row r="811" spans="2:6" ns3:dyDescent="0.4">
      <c r="B811" s="77"/>
      <c r="D811" s="78"/>
      <c r="F811" s="77"/>
    </row>
    <row r="812" spans="2:6" ns3:dyDescent="0.4">
      <c r="B812" s="77"/>
      <c r="D812" s="78"/>
      <c r="F812" s="77"/>
    </row>
    <row r="813" spans="2:6" ns3:dyDescent="0.4">
      <c r="B813" s="77"/>
      <c r="D813" s="78"/>
      <c r="F813" s="77"/>
    </row>
    <row r="814" spans="2:6" ns3:dyDescent="0.4">
      <c r="B814" s="77"/>
      <c r="D814" s="78"/>
      <c r="F814" s="77"/>
    </row>
    <row r="815" spans="2:6" ns3:dyDescent="0.4">
      <c r="B815" s="77"/>
      <c r="D815" s="78"/>
      <c r="F815" s="77"/>
    </row>
    <row r="816" spans="2:6" ns3:dyDescent="0.4">
      <c r="B816" s="77"/>
      <c r="D816" s="78"/>
      <c r="F816" s="77"/>
    </row>
    <row r="817" spans="2:6" ns3:dyDescent="0.4">
      <c r="B817" s="77"/>
      <c r="D817" s="78"/>
      <c r="F817" s="77"/>
    </row>
    <row r="818" spans="2:6" ns3:dyDescent="0.4">
      <c r="B818" s="77"/>
      <c r="D818" s="78"/>
      <c r="F818" s="77"/>
    </row>
    <row r="819" spans="2:6" ns3:dyDescent="0.4">
      <c r="B819" s="77"/>
      <c r="D819" s="78"/>
      <c r="F819" s="77"/>
    </row>
    <row r="820" spans="2:6" ns3:dyDescent="0.4">
      <c r="B820" s="77"/>
      <c r="D820" s="78"/>
      <c r="F820" s="77"/>
    </row>
    <row r="821" spans="2:6" ns3:dyDescent="0.4">
      <c r="B821" s="77"/>
      <c r="D821" s="78"/>
      <c r="F821" s="77"/>
    </row>
    <row r="822" spans="2:6" ns3:dyDescent="0.4">
      <c r="B822" s="77"/>
      <c r="D822" s="78"/>
      <c r="F822" s="77"/>
    </row>
    <row r="823" spans="2:6" ns3:dyDescent="0.4">
      <c r="B823" s="77"/>
      <c r="D823" s="78"/>
      <c r="F823" s="77"/>
    </row>
    <row r="824" spans="2:6" ns3:dyDescent="0.4">
      <c r="B824" s="77"/>
      <c r="D824" s="78"/>
      <c r="F824" s="77"/>
    </row>
    <row r="825" spans="2:6" ns3:dyDescent="0.4">
      <c r="B825" s="77"/>
      <c r="D825" s="78"/>
      <c r="F825" s="77"/>
    </row>
    <row r="826" spans="2:6" ns3:dyDescent="0.4">
      <c r="B826" s="77"/>
      <c r="D826" s="78"/>
      <c r="F826" s="77"/>
    </row>
    <row r="827" spans="2:6" ns3:dyDescent="0.4">
      <c r="B827" s="77"/>
      <c r="D827" s="78"/>
      <c r="F827" s="77"/>
    </row>
    <row r="828" spans="2:6" ns3:dyDescent="0.4">
      <c r="B828" s="77"/>
      <c r="D828" s="78"/>
      <c r="F828" s="77"/>
    </row>
    <row r="829" spans="2:6" ns3:dyDescent="0.4">
      <c r="B829" s="77"/>
      <c r="D829" s="78"/>
      <c r="F829" s="77"/>
    </row>
    <row r="830" spans="2:6" ns3:dyDescent="0.4">
      <c r="B830" s="77"/>
      <c r="D830" s="78"/>
      <c r="F830" s="77"/>
    </row>
    <row r="831" spans="2:6" ns3:dyDescent="0.4">
      <c r="B831" s="77"/>
      <c r="D831" s="78"/>
      <c r="F831" s="77"/>
    </row>
    <row r="832" spans="2:6" ns3:dyDescent="0.4">
      <c r="B832" s="77"/>
      <c r="D832" s="78"/>
      <c r="F832" s="77"/>
    </row>
    <row r="833" spans="2:6" ns3:dyDescent="0.4">
      <c r="B833" s="77"/>
      <c r="D833" s="78"/>
      <c r="F833" s="77"/>
    </row>
    <row r="834" spans="2:6" ns3:dyDescent="0.4">
      <c r="B834" s="77"/>
      <c r="D834" s="78"/>
      <c r="F834" s="77"/>
    </row>
    <row r="835" spans="2:6" ns3:dyDescent="0.4">
      <c r="B835" s="77"/>
      <c r="D835" s="78"/>
      <c r="F835" s="77"/>
    </row>
    <row r="836" spans="2:6" ns3:dyDescent="0.4">
      <c r="B836" s="77"/>
      <c r="D836" s="78"/>
      <c r="F836" s="77"/>
    </row>
    <row r="837" spans="2:6" ns3:dyDescent="0.4">
      <c r="B837" s="77"/>
      <c r="D837" s="78"/>
      <c r="F837" s="77"/>
    </row>
    <row r="838" spans="2:6" ns3:dyDescent="0.4">
      <c r="B838" s="77"/>
      <c r="D838" s="78"/>
      <c r="F838" s="77"/>
    </row>
    <row r="839" spans="2:6" ns3:dyDescent="0.4">
      <c r="B839" s="77"/>
      <c r="D839" s="78"/>
      <c r="F839" s="77"/>
    </row>
    <row r="840" spans="2:6" ns3:dyDescent="0.4">
      <c r="B840" s="77"/>
      <c r="D840" s="78"/>
      <c r="F840" s="77"/>
    </row>
    <row r="841" spans="2:6" ns3:dyDescent="0.4">
      <c r="B841" s="77"/>
      <c r="D841" s="78"/>
      <c r="F841" s="77"/>
    </row>
    <row r="842" spans="2:6" ns3:dyDescent="0.4">
      <c r="B842" s="77"/>
      <c r="D842" s="78"/>
      <c r="F842" s="77"/>
    </row>
    <row r="843" spans="2:6" ns3:dyDescent="0.4">
      <c r="B843" s="77"/>
      <c r="D843" s="78"/>
      <c r="F843" s="77"/>
    </row>
    <row r="844" spans="2:6" ns3:dyDescent="0.4">
      <c r="B844" s="77"/>
      <c r="D844" s="78"/>
      <c r="F844" s="77"/>
    </row>
    <row r="845" spans="2:6" ns3:dyDescent="0.4">
      <c r="B845" s="77"/>
      <c r="D845" s="78"/>
      <c r="F845" s="77"/>
    </row>
    <row r="846" spans="2:6" ns3:dyDescent="0.4">
      <c r="B846" s="77"/>
      <c r="D846" s="78"/>
      <c r="F846" s="77"/>
    </row>
    <row r="847" spans="2:6" ns3:dyDescent="0.4">
      <c r="B847" s="77"/>
      <c r="D847" s="78"/>
      <c r="F847" s="77"/>
    </row>
    <row r="848" spans="2:6" ns3:dyDescent="0.4">
      <c r="B848" s="77"/>
      <c r="D848" s="78"/>
      <c r="F848" s="77"/>
    </row>
    <row r="849" spans="2:6" ns3:dyDescent="0.4">
      <c r="B849" s="77"/>
      <c r="D849" s="78"/>
      <c r="F849" s="77"/>
    </row>
    <row r="850" spans="2:6" ns3:dyDescent="0.4">
      <c r="B850" s="77"/>
      <c r="D850" s="78"/>
      <c r="F850" s="77"/>
    </row>
    <row r="851" spans="2:6" ns3:dyDescent="0.4">
      <c r="B851" s="77"/>
      <c r="D851" s="78"/>
      <c r="F851" s="77"/>
    </row>
    <row r="852" spans="2:6" ns3:dyDescent="0.4">
      <c r="B852" s="77"/>
      <c r="D852" s="78"/>
      <c r="F852" s="77"/>
    </row>
    <row r="853" spans="2:6" ns3:dyDescent="0.4">
      <c r="B853" s="77"/>
      <c r="D853" s="78"/>
      <c r="F853" s="77"/>
    </row>
    <row r="854" spans="2:6" ns3:dyDescent="0.4">
      <c r="B854" s="77"/>
      <c r="D854" s="78"/>
      <c r="F854" s="77"/>
    </row>
    <row r="855" spans="2:6" ns3:dyDescent="0.4">
      <c r="B855" s="77"/>
      <c r="D855" s="78"/>
      <c r="F855" s="77"/>
    </row>
    <row r="856" spans="2:6" ns3:dyDescent="0.4">
      <c r="B856" s="77"/>
      <c r="D856" s="78"/>
      <c r="F856" s="77"/>
    </row>
    <row r="857" spans="2:6" ns3:dyDescent="0.4">
      <c r="B857" s="77"/>
      <c r="D857" s="78"/>
      <c r="F857" s="77"/>
    </row>
    <row r="858" spans="2:6" ns3:dyDescent="0.4">
      <c r="B858" s="77"/>
      <c r="D858" s="78"/>
      <c r="F858" s="77"/>
    </row>
    <row r="859" spans="2:6" ns3:dyDescent="0.4">
      <c r="B859" s="77"/>
      <c r="D859" s="78"/>
      <c r="F859" s="77"/>
    </row>
    <row r="860" spans="2:6" ns3:dyDescent="0.4">
      <c r="B860" s="77"/>
      <c r="D860" s="78"/>
      <c r="F860" s="77"/>
    </row>
    <row r="861" spans="2:6" ns3:dyDescent="0.4">
      <c r="B861" s="77"/>
      <c r="D861" s="78"/>
      <c r="F861" s="77"/>
    </row>
    <row r="862" spans="2:6" ns3:dyDescent="0.4">
      <c r="B862" s="77"/>
      <c r="D862" s="78"/>
      <c r="F862" s="77"/>
    </row>
    <row r="863" spans="2:6" ns3:dyDescent="0.4">
      <c r="B863" s="77"/>
      <c r="D863" s="78"/>
      <c r="F863" s="77"/>
    </row>
    <row r="864" spans="2:6" ns3:dyDescent="0.4">
      <c r="B864" s="77"/>
      <c r="D864" s="78"/>
      <c r="F864" s="77"/>
    </row>
    <row r="865" spans="2:6" ns3:dyDescent="0.4">
      <c r="B865" s="77"/>
      <c r="D865" s="78"/>
      <c r="F865" s="77"/>
    </row>
    <row r="866" spans="2:6" ns3:dyDescent="0.4">
      <c r="B866" s="77"/>
      <c r="D866" s="78"/>
      <c r="F866" s="77"/>
    </row>
    <row r="867" spans="2:6" ns3:dyDescent="0.4">
      <c r="B867" s="77"/>
      <c r="D867" s="78"/>
      <c r="F867" s="77"/>
    </row>
    <row r="868" spans="2:6" ns3:dyDescent="0.4">
      <c r="B868" s="77"/>
      <c r="D868" s="78"/>
      <c r="F868" s="77"/>
    </row>
    <row r="869" spans="2:6" ns3:dyDescent="0.4">
      <c r="B869" s="77"/>
      <c r="D869" s="78"/>
      <c r="F869" s="77"/>
    </row>
    <row r="870" spans="2:6" ns3:dyDescent="0.4">
      <c r="B870" s="77"/>
      <c r="D870" s="78"/>
      <c r="F870" s="77"/>
    </row>
    <row r="871" spans="2:6" ns3:dyDescent="0.4">
      <c r="B871" s="77"/>
      <c r="D871" s="78"/>
      <c r="F871" s="77"/>
    </row>
    <row r="872" spans="2:6" ns3:dyDescent="0.4">
      <c r="B872" s="77"/>
      <c r="D872" s="78"/>
      <c r="F872" s="77"/>
    </row>
    <row r="873" spans="2:6" ns3:dyDescent="0.4">
      <c r="B873" s="77"/>
      <c r="D873" s="78"/>
      <c r="F873" s="77"/>
    </row>
    <row r="874" spans="2:6" ns3:dyDescent="0.4">
      <c r="B874" s="77"/>
      <c r="D874" s="78"/>
      <c r="F874" s="77"/>
    </row>
    <row r="875" spans="2:6" ns3:dyDescent="0.4">
      <c r="B875" s="77"/>
      <c r="D875" s="78"/>
      <c r="F875" s="77"/>
    </row>
    <row r="876" spans="2:6" ns3:dyDescent="0.4">
      <c r="B876" s="77"/>
      <c r="D876" s="78"/>
      <c r="F876" s="77"/>
    </row>
    <row r="877" spans="2:6" ns3:dyDescent="0.4">
      <c r="B877" s="77"/>
      <c r="D877" s="78"/>
      <c r="F877" s="77"/>
    </row>
    <row r="878" spans="2:6" ns3:dyDescent="0.4">
      <c r="B878" s="77"/>
      <c r="D878" s="78"/>
      <c r="F878" s="77"/>
    </row>
    <row r="879" spans="2:6" ns3:dyDescent="0.4">
      <c r="B879" s="77"/>
      <c r="D879" s="78"/>
      <c r="F879" s="77"/>
    </row>
    <row r="880" spans="2:6" ns3:dyDescent="0.4">
      <c r="B880" s="77"/>
      <c r="D880" s="78"/>
      <c r="F880" s="77"/>
    </row>
    <row r="881" spans="2:6" ns3:dyDescent="0.4">
      <c r="B881" s="77"/>
      <c r="D881" s="78"/>
      <c r="F881" s="77"/>
    </row>
    <row r="882" spans="2:6" ns3:dyDescent="0.4">
      <c r="B882" s="77"/>
      <c r="D882" s="78"/>
      <c r="F882" s="77"/>
    </row>
    <row r="883" spans="2:6" ns3:dyDescent="0.4">
      <c r="B883" s="77"/>
      <c r="D883" s="78"/>
      <c r="F883" s="77"/>
    </row>
    <row r="884" spans="2:6" ns3:dyDescent="0.4">
      <c r="B884" s="77"/>
      <c r="D884" s="78"/>
      <c r="F884" s="77"/>
    </row>
    <row r="885" spans="2:6" ns3:dyDescent="0.4">
      <c r="B885" s="77"/>
      <c r="D885" s="78"/>
      <c r="F885" s="77"/>
    </row>
    <row r="886" spans="2:6" ns3:dyDescent="0.4">
      <c r="B886" s="77"/>
      <c r="D886" s="78"/>
      <c r="F886" s="77"/>
    </row>
    <row r="887" spans="2:6" ns3:dyDescent="0.4">
      <c r="B887" s="77"/>
      <c r="D887" s="78"/>
      <c r="F887" s="77"/>
    </row>
    <row r="888" spans="2:6" ns3:dyDescent="0.4">
      <c r="B888" s="77"/>
      <c r="D888" s="78"/>
      <c r="F888" s="77"/>
    </row>
    <row r="889" spans="2:6" ns3:dyDescent="0.4">
      <c r="B889" s="77"/>
      <c r="D889" s="78"/>
      <c r="F889" s="77"/>
    </row>
    <row r="890" spans="2:6" ns3:dyDescent="0.4">
      <c r="B890" s="77"/>
      <c r="D890" s="78"/>
      <c r="F890" s="77"/>
    </row>
    <row r="891" spans="2:6" ns3:dyDescent="0.4">
      <c r="B891" s="77"/>
      <c r="D891" s="78"/>
      <c r="F891" s="77"/>
    </row>
    <row r="892" spans="2:6" ns3:dyDescent="0.4">
      <c r="B892" s="77"/>
      <c r="D892" s="78"/>
      <c r="F892" s="77"/>
    </row>
    <row r="893" spans="2:6" ns3:dyDescent="0.4">
      <c r="B893" s="77"/>
      <c r="D893" s="78"/>
      <c r="F893" s="77"/>
    </row>
    <row r="894" spans="2:6" ns3:dyDescent="0.4">
      <c r="B894" s="77"/>
      <c r="D894" s="78"/>
      <c r="F894" s="77"/>
    </row>
    <row r="895" spans="2:6" ns3:dyDescent="0.4">
      <c r="B895" s="77"/>
      <c r="D895" s="78"/>
      <c r="F895" s="77"/>
    </row>
    <row r="896" spans="2:6" ns3:dyDescent="0.4">
      <c r="B896" s="77"/>
      <c r="D896" s="78"/>
      <c r="F896" s="77"/>
    </row>
    <row r="897" spans="2:6" ns3:dyDescent="0.4">
      <c r="B897" s="77"/>
      <c r="D897" s="78"/>
      <c r="F897" s="77"/>
    </row>
    <row r="898" spans="2:6" ns3:dyDescent="0.4">
      <c r="B898" s="77"/>
      <c r="D898" s="78"/>
      <c r="F898" s="77"/>
    </row>
    <row r="899" spans="2:6" ns3:dyDescent="0.4">
      <c r="B899" s="77"/>
      <c r="D899" s="78"/>
      <c r="F899" s="77"/>
    </row>
    <row r="900" spans="2:6" ns3:dyDescent="0.4">
      <c r="B900" s="77"/>
      <c r="D900" s="78"/>
      <c r="F900" s="77"/>
    </row>
    <row r="901" spans="2:6" ns3:dyDescent="0.4">
      <c r="B901" s="77"/>
      <c r="D901" s="78"/>
      <c r="F901" s="77"/>
    </row>
    <row r="902" spans="2:6" ns3:dyDescent="0.4">
      <c r="B902" s="77"/>
      <c r="D902" s="78"/>
      <c r="F902" s="77"/>
    </row>
    <row r="903" spans="2:6" ns3:dyDescent="0.4">
      <c r="B903" s="77"/>
      <c r="D903" s="78"/>
      <c r="F903" s="77"/>
    </row>
    <row r="904" spans="2:6" ns3:dyDescent="0.4">
      <c r="B904" s="77"/>
      <c r="D904" s="78"/>
      <c r="F904" s="77"/>
    </row>
    <row r="905" spans="2:6" ns3:dyDescent="0.4">
      <c r="B905" s="77"/>
      <c r="D905" s="78"/>
      <c r="F905" s="77"/>
    </row>
    <row r="906" spans="2:6" ns3:dyDescent="0.4">
      <c r="B906" s="77"/>
      <c r="D906" s="78"/>
      <c r="F906" s="77"/>
    </row>
    <row r="907" spans="2:6" ns3:dyDescent="0.4">
      <c r="B907" s="77"/>
      <c r="D907" s="78"/>
      <c r="F907" s="77"/>
    </row>
    <row r="908" spans="2:6" ns3:dyDescent="0.4">
      <c r="B908" s="77"/>
      <c r="D908" s="78"/>
      <c r="F908" s="77"/>
    </row>
    <row r="909" spans="2:6" ns3:dyDescent="0.4">
      <c r="B909" s="77"/>
      <c r="D909" s="78"/>
      <c r="F909" s="77"/>
    </row>
    <row r="910" spans="2:6" ns3:dyDescent="0.4">
      <c r="B910" s="77"/>
      <c r="D910" s="78"/>
      <c r="F910" s="77"/>
    </row>
    <row r="911" spans="2:6" ns3:dyDescent="0.4">
      <c r="B911" s="77"/>
      <c r="D911" s="78"/>
      <c r="F911" s="77"/>
    </row>
    <row r="912" spans="2:6" ns3:dyDescent="0.4">
      <c r="B912" s="77"/>
      <c r="D912" s="78"/>
      <c r="F912" s="77"/>
    </row>
    <row r="913" spans="2:6" ns3:dyDescent="0.4">
      <c r="B913" s="77"/>
      <c r="D913" s="78"/>
      <c r="F913" s="77"/>
    </row>
    <row r="914" spans="2:6" ns3:dyDescent="0.4">
      <c r="B914" s="77"/>
      <c r="D914" s="78"/>
      <c r="F914" s="77"/>
    </row>
    <row r="915" spans="2:6" ns3:dyDescent="0.4">
      <c r="B915" s="77"/>
      <c r="D915" s="78"/>
      <c r="F915" s="77"/>
    </row>
    <row r="916" spans="2:6" ns3:dyDescent="0.4">
      <c r="B916" s="77"/>
      <c r="D916" s="78"/>
      <c r="F916" s="77"/>
    </row>
    <row r="917" spans="2:6" ns3:dyDescent="0.4">
      <c r="B917" s="77"/>
      <c r="D917" s="78"/>
      <c r="F917" s="77"/>
    </row>
    <row r="918" spans="2:6" ns3:dyDescent="0.4">
      <c r="B918" s="77"/>
      <c r="D918" s="78"/>
      <c r="F918" s="77"/>
    </row>
    <row r="919" spans="2:6" ns3:dyDescent="0.4">
      <c r="B919" s="77"/>
      <c r="D919" s="78"/>
      <c r="F919" s="77"/>
    </row>
    <row r="920" spans="2:6" ns3:dyDescent="0.4">
      <c r="B920" s="77"/>
      <c r="D920" s="78"/>
      <c r="F920" s="77"/>
    </row>
    <row r="921" spans="2:6" ns3:dyDescent="0.4">
      <c r="B921" s="77"/>
      <c r="D921" s="78"/>
      <c r="F921" s="77"/>
    </row>
    <row r="922" spans="2:6" ns3:dyDescent="0.4">
      <c r="B922" s="77"/>
      <c r="D922" s="78"/>
      <c r="F922" s="77"/>
    </row>
    <row r="923" spans="2:6" ns3:dyDescent="0.4">
      <c r="B923" s="77"/>
      <c r="D923" s="78"/>
      <c r="F923" s="77"/>
    </row>
    <row r="924" spans="2:6" ns3:dyDescent="0.4">
      <c r="B924" s="77"/>
      <c r="D924" s="78"/>
      <c r="F924" s="77"/>
    </row>
    <row r="925" spans="2:6" ns3:dyDescent="0.4">
      <c r="B925" s="77"/>
      <c r="D925" s="78"/>
      <c r="F925" s="77"/>
    </row>
    <row r="926" spans="2:6" ns3:dyDescent="0.4">
      <c r="B926" s="77"/>
      <c r="D926" s="78"/>
      <c r="F926" s="77"/>
    </row>
    <row r="927" spans="2:6" ns3:dyDescent="0.4">
      <c r="B927" s="77"/>
      <c r="D927" s="78"/>
      <c r="F927" s="77"/>
    </row>
    <row r="928" spans="2:6" ns3:dyDescent="0.4">
      <c r="B928" s="77"/>
      <c r="D928" s="78"/>
      <c r="F928" s="77"/>
    </row>
    <row r="929" spans="2:6" ns3:dyDescent="0.4">
      <c r="B929" s="77"/>
      <c r="D929" s="78"/>
      <c r="F929" s="77"/>
    </row>
    <row r="930" spans="2:6" ns3:dyDescent="0.4">
      <c r="B930" s="77"/>
      <c r="D930" s="78"/>
      <c r="F930" s="77"/>
    </row>
    <row r="931" spans="2:6" ns3:dyDescent="0.4">
      <c r="B931" s="77"/>
      <c r="D931" s="78"/>
      <c r="F931" s="77"/>
    </row>
    <row r="932" spans="2:6" ns3:dyDescent="0.4">
      <c r="B932" s="77"/>
      <c r="D932" s="78"/>
      <c r="F932" s="77"/>
    </row>
    <row r="933" spans="2:6" ns3:dyDescent="0.4">
      <c r="B933" s="77"/>
      <c r="D933" s="78"/>
      <c r="F933" s="77"/>
    </row>
    <row r="934" spans="2:6" ns3:dyDescent="0.4">
      <c r="B934" s="77"/>
      <c r="D934" s="78"/>
      <c r="F934" s="77"/>
    </row>
    <row r="935" spans="2:6" ns3:dyDescent="0.4">
      <c r="B935" s="77"/>
      <c r="D935" s="78"/>
      <c r="F935" s="77"/>
    </row>
    <row r="936" spans="2:6" ns3:dyDescent="0.4">
      <c r="B936" s="77"/>
      <c r="D936" s="78"/>
      <c r="F936" s="77"/>
    </row>
    <row r="937" spans="2:6" ns3:dyDescent="0.4">
      <c r="B937" s="77"/>
      <c r="D937" s="78"/>
      <c r="F937" s="77"/>
    </row>
    <row r="938" spans="2:6" ns3:dyDescent="0.4">
      <c r="B938" s="77"/>
      <c r="D938" s="78"/>
      <c r="F938" s="77"/>
    </row>
    <row r="939" spans="2:6" ns3:dyDescent="0.4">
      <c r="B939" s="77"/>
      <c r="D939" s="78"/>
      <c r="F939" s="77"/>
    </row>
    <row r="940" spans="2:6" ns3:dyDescent="0.4">
      <c r="B940" s="77"/>
      <c r="D940" s="78"/>
      <c r="F940" s="77"/>
    </row>
    <row r="941" spans="2:6" ns3:dyDescent="0.4">
      <c r="B941" s="77"/>
      <c r="D941" s="78"/>
      <c r="F941" s="77"/>
    </row>
    <row r="942" spans="2:6" ns3:dyDescent="0.4">
      <c r="B942" s="77"/>
      <c r="D942" s="78"/>
      <c r="F942" s="77"/>
    </row>
    <row r="943" spans="2:6" ns3:dyDescent="0.4">
      <c r="B943" s="77"/>
      <c r="D943" s="78"/>
      <c r="F943" s="77"/>
    </row>
    <row r="944" spans="2:6" ns3:dyDescent="0.4">
      <c r="B944" s="77"/>
      <c r="D944" s="78"/>
      <c r="F944" s="77"/>
    </row>
    <row r="945" spans="2:6" ns3:dyDescent="0.4">
      <c r="B945" s="77"/>
      <c r="D945" s="78"/>
      <c r="F945" s="77"/>
    </row>
    <row r="946" spans="2:6" ns3:dyDescent="0.4">
      <c r="B946" s="77"/>
      <c r="D946" s="78"/>
      <c r="F946" s="77"/>
    </row>
    <row r="947" spans="2:6" ns3:dyDescent="0.4">
      <c r="B947" s="77"/>
      <c r="D947" s="78"/>
      <c r="F947" s="77"/>
    </row>
    <row r="948" spans="2:6" ns3:dyDescent="0.4">
      <c r="B948" s="77"/>
      <c r="D948" s="78"/>
      <c r="F948" s="77"/>
    </row>
    <row r="949" spans="2:6" ns3:dyDescent="0.4">
      <c r="B949" s="77"/>
      <c r="D949" s="78"/>
      <c r="F949" s="77"/>
    </row>
    <row r="950" spans="2:6" ns3:dyDescent="0.4">
      <c r="B950" s="77"/>
      <c r="D950" s="78"/>
      <c r="F950" s="77"/>
    </row>
    <row r="951" spans="2:6" ns3:dyDescent="0.4">
      <c r="B951" s="77"/>
      <c r="D951" s="78"/>
      <c r="F951" s="77"/>
    </row>
    <row r="952" spans="2:6" ns3:dyDescent="0.4">
      <c r="B952" s="77"/>
      <c r="D952" s="78"/>
      <c r="F952" s="77"/>
    </row>
    <row r="953" spans="2:6" ns3:dyDescent="0.4">
      <c r="B953" s="77"/>
      <c r="D953" s="78"/>
      <c r="F953" s="77"/>
    </row>
    <row r="954" spans="2:6" ns3:dyDescent="0.4">
      <c r="B954" s="77"/>
      <c r="D954" s="78"/>
      <c r="F954" s="77"/>
    </row>
    <row r="955" spans="2:6" ns3:dyDescent="0.4">
      <c r="B955" s="77"/>
      <c r="D955" s="78"/>
      <c r="F955" s="77"/>
    </row>
    <row r="956" spans="2:6" ns3:dyDescent="0.4">
      <c r="B956" s="77"/>
      <c r="D956" s="78"/>
      <c r="F956" s="77"/>
    </row>
    <row r="957" spans="2:6" ns3:dyDescent="0.4">
      <c r="B957" s="77"/>
      <c r="D957" s="78"/>
      <c r="F957" s="77"/>
    </row>
    <row r="958" spans="2:6" ns3:dyDescent="0.4">
      <c r="B958" s="77"/>
      <c r="D958" s="78"/>
      <c r="F958" s="77"/>
    </row>
    <row r="959" spans="2:6" ns3:dyDescent="0.4">
      <c r="B959" s="77"/>
      <c r="D959" s="78"/>
      <c r="F959" s="77"/>
    </row>
    <row r="960" spans="2:6" ns3:dyDescent="0.4">
      <c r="B960" s="77"/>
      <c r="D960" s="78"/>
      <c r="F960" s="77"/>
    </row>
    <row r="961" spans="2:6" ns3:dyDescent="0.4">
      <c r="B961" s="77"/>
      <c r="D961" s="78"/>
      <c r="F961" s="77"/>
    </row>
    <row r="962" spans="2:6" ns3:dyDescent="0.4">
      <c r="B962" s="77"/>
      <c r="D962" s="78"/>
      <c r="F962" s="77"/>
    </row>
    <row r="963" spans="2:6" ns3:dyDescent="0.4">
      <c r="B963" s="77"/>
      <c r="D963" s="78"/>
      <c r="F963" s="77"/>
    </row>
    <row r="964" spans="2:6" ns3:dyDescent="0.4">
      <c r="B964" s="77"/>
      <c r="D964" s="78"/>
      <c r="F964" s="77"/>
    </row>
    <row r="965" spans="2:6" ns3:dyDescent="0.4">
      <c r="B965" s="77"/>
      <c r="D965" s="78"/>
      <c r="F965" s="77"/>
    </row>
    <row r="966" spans="2:6" ns3:dyDescent="0.4">
      <c r="B966" s="77"/>
      <c r="D966" s="78"/>
      <c r="F966" s="77"/>
    </row>
    <row r="967" spans="2:6" ns3:dyDescent="0.4">
      <c r="B967" s="77"/>
      <c r="D967" s="78"/>
      <c r="F967" s="77"/>
    </row>
    <row r="968" spans="2:6" ns3:dyDescent="0.4">
      <c r="B968" s="77"/>
      <c r="D968" s="78"/>
      <c r="F968" s="77"/>
    </row>
    <row r="969" spans="2:6" ns3:dyDescent="0.4">
      <c r="B969" s="77"/>
      <c r="D969" s="78"/>
      <c r="F969" s="77"/>
    </row>
    <row r="970" spans="2:6" ns3:dyDescent="0.4">
      <c r="B970" s="77"/>
      <c r="D970" s="78"/>
      <c r="F970" s="77"/>
    </row>
    <row r="971" spans="2:6" ns3:dyDescent="0.4">
      <c r="B971" s="77"/>
      <c r="D971" s="78"/>
      <c r="F971" s="77"/>
    </row>
    <row r="972" spans="2:6" ns3:dyDescent="0.4">
      <c r="B972" s="77"/>
      <c r="D972" s="78"/>
      <c r="F972" s="77"/>
    </row>
    <row r="973" spans="2:6" ns3:dyDescent="0.4">
      <c r="B973" s="77"/>
      <c r="D973" s="78"/>
      <c r="F973" s="77"/>
    </row>
    <row r="974" spans="2:6" ns3:dyDescent="0.4">
      <c r="B974" s="77"/>
      <c r="D974" s="78"/>
      <c r="F974" s="77"/>
    </row>
    <row r="975" spans="2:6" ns3:dyDescent="0.4">
      <c r="B975" s="77"/>
      <c r="D975" s="78"/>
      <c r="F975" s="77"/>
    </row>
    <row r="976" spans="2:6" ns3:dyDescent="0.4">
      <c r="B976" s="77"/>
      <c r="D976" s="78"/>
      <c r="F976" s="77"/>
    </row>
    <row r="977" spans="2:6" ns3:dyDescent="0.4">
      <c r="B977" s="77"/>
      <c r="D977" s="78"/>
      <c r="F977" s="77"/>
    </row>
    <row r="978" spans="2:6" ns3:dyDescent="0.4">
      <c r="B978" s="77"/>
      <c r="D978" s="78"/>
      <c r="F978" s="77"/>
    </row>
    <row r="979" spans="2:6" ns3:dyDescent="0.4">
      <c r="B979" s="77"/>
      <c r="D979" s="78"/>
      <c r="F979" s="77"/>
    </row>
    <row r="980" spans="2:6" ns3:dyDescent="0.4">
      <c r="B980" s="77"/>
      <c r="D980" s="78"/>
      <c r="F980" s="77"/>
    </row>
    <row r="981" spans="2:6" ns3:dyDescent="0.4">
      <c r="B981" s="77"/>
      <c r="D981" s="78"/>
      <c r="F981" s="77"/>
    </row>
    <row r="982" spans="2:6" ns3:dyDescent="0.4">
      <c r="B982" s="77"/>
      <c r="D982" s="78"/>
      <c r="F982" s="77"/>
    </row>
    <row r="983" spans="2:6" ns3:dyDescent="0.4">
      <c r="B983" s="77"/>
      <c r="D983" s="78"/>
      <c r="F983" s="77"/>
    </row>
    <row r="984" spans="2:6" ns3:dyDescent="0.4">
      <c r="B984" s="77"/>
      <c r="D984" s="78"/>
      <c r="F984" s="77"/>
    </row>
    <row r="985" spans="2:6" ns3:dyDescent="0.4">
      <c r="B985" s="77"/>
      <c r="D985" s="78"/>
      <c r="F985" s="77"/>
    </row>
    <row r="986" spans="2:6" ns3:dyDescent="0.4">
      <c r="B986" s="77"/>
      <c r="D986" s="78"/>
      <c r="F986" s="77"/>
    </row>
    <row r="987" spans="2:6" ns3:dyDescent="0.4">
      <c r="B987" s="77"/>
      <c r="D987" s="78"/>
      <c r="F987" s="77"/>
    </row>
    <row r="988" spans="2:6" ns3:dyDescent="0.4">
      <c r="B988" s="77"/>
      <c r="D988" s="78"/>
      <c r="F988" s="77"/>
    </row>
    <row r="989" spans="2:6" ns3:dyDescent="0.4">
      <c r="B989" s="77"/>
      <c r="D989" s="78"/>
      <c r="F989" s="77"/>
    </row>
    <row r="990" spans="2:6" ns3:dyDescent="0.4">
      <c r="B990" s="77"/>
      <c r="D990" s="78"/>
      <c r="F990" s="77"/>
    </row>
    <row r="991" spans="2:6" ns3:dyDescent="0.4">
      <c r="B991" s="77"/>
      <c r="D991" s="78"/>
      <c r="F991" s="77"/>
    </row>
    <row r="992" spans="2:6" ns3:dyDescent="0.4">
      <c r="B992" s="77"/>
      <c r="D992" s="78"/>
      <c r="F992" s="77"/>
    </row>
    <row r="993" spans="2:6" ns3:dyDescent="0.4">
      <c r="B993" s="77"/>
      <c r="D993" s="78"/>
      <c r="F993" s="77"/>
    </row>
    <row r="994" spans="2:6" ns3:dyDescent="0.4">
      <c r="B994" s="77"/>
      <c r="D994" s="78"/>
      <c r="F994" s="77"/>
    </row>
    <row r="995" spans="2:6" ns3:dyDescent="0.4">
      <c r="B995" s="77"/>
      <c r="D995" s="78"/>
      <c r="F995" s="77"/>
    </row>
    <row r="996" spans="2:6" ns3:dyDescent="0.4">
      <c r="B996" s="77"/>
      <c r="D996" s="78"/>
      <c r="F996" s="77"/>
    </row>
    <row r="997" spans="2:6" ns3:dyDescent="0.4">
      <c r="B997" s="77"/>
      <c r="D997" s="78"/>
      <c r="F997" s="77"/>
    </row>
    <row r="998" spans="2:6" ns3:dyDescent="0.4">
      <c r="B998" s="77"/>
      <c r="D998" s="78"/>
      <c r="F998" s="77"/>
    </row>
    <row r="999" spans="2:6" ns3:dyDescent="0.4">
      <c r="B999" s="77"/>
      <c r="D999" s="78"/>
      <c r="F999" s="77"/>
    </row>
    <row r="1000" spans="2:6" ns3:dyDescent="0.4">
      <c r="B1000" s="77"/>
      <c r="D1000" s="78"/>
      <c r="F1000" s="77"/>
    </row>
  </sheetData>
  <mergeCells count="2">
    <mergeCell ref="A1:G1"/>
    <mergeCell ref="A2:G2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ns1="http://schemas.openxmlformats.org/markup-compatibility/2006" xmlns:ns2="http://schemas.microsoft.com/office/spreadsheetml/2014/revision" xmlns:ns3="http://schemas.microsoft.com/office/spreadsheetml/2009/9/ac" xmlns:ns4="http://schemas.microsoft.com/office/spreadsheetml/2009/9/main" xmlns:ns5="http://schemas.microsoft.com/office/excel/2006/main" ns1:Ignorable="x14ac xr xr2 xr3" ns2:uid="{00000000-0001-0000-0300-000000000000}">
  <sheetPr>
    <tabColor rgb="FFB44646"/>
  </sheetPr>
  <dimension ref="A1:I134"/>
  <sheetViews>
    <sheetView showGridLines="0" workbookViewId="0">
      <pane ySplit="3" topLeftCell="A4" activePane="bottomLeft" state="frozen"/>
      <selection pane="bottomLeft" activeCell="A99" sqref="A99:I99"/>
    </sheetView>
  </sheetViews>
  <sheetFormatPr defaultRowHeight="14.6" outlineLevelRow="2" ns3:dyDescent="0.4"/>
  <cols>
    <col min="1" max="1" width="14.3046875" style="35" customWidth="1"/>
    <col min="2" max="2" width="46" style="35" customWidth="1"/>
    <col min="3" max="3" width="15" style="36" customWidth="1"/>
    <col min="4" max="4" width="16" style="36" customWidth="1"/>
    <col min="5" max="5" width="11" style="36" customWidth="1"/>
    <col min="6" max="6" width="12.4609375" style="36" customWidth="1"/>
    <col min="7" max="7" width="13" style="36" customWidth="1"/>
    <col min="8" max="8" width="32" style="37" customWidth="1"/>
    <col min="9" max="9" width="12" style="35" customWidth="1"/>
    <col min="10" max="16384" width="9.23046875" style="35"/>
  </cols>
  <sheetData>
    <row r="1" spans="1:9" ht="20.149999999999999" customHeight="1" ns3:dyDescent="0.4">
      <c r="A1" s="34" t="s">
        <v>41</v>
      </c>
    </row>
    <row r="3" spans="1:9" ht="24" customHeight="1" ns3:dyDescent="0.4">
      <c r="A3" s="4" t="s">
        <v>42</v>
      </c>
      <c r="B3" s="4" t="s">
        <v>43</v>
      </c>
      <c r="C3" s="4" t="s">
        <v>44</v>
      </c>
      <c r="D3" s="4" t="s">
        <v>34</v>
      </c>
      <c r="E3" s="4" t="s">
        <v>45</v>
      </c>
      <c r="F3" s="4" t="s">
        <v>46</v>
      </c>
      <c r="G3" s="4" t="s">
        <v>36</v>
      </c>
      <c r="H3" s="4" t="s">
        <v>47</v>
      </c>
      <c r="I3" s="4" t="s">
        <v>38</v>
      </c>
    </row>
    <row r="4" spans="1:9" ht="22" customHeight="1" ns3:dyDescent="0.4">
      <c r="A4" s="59" t="str">
        <f ca="1">"Programme Portfolio 1   —   "&amp;(COUNTIF($G$6:$G$52,"Open")+COUNTIF($G$6:$G$52,"In progress")+COUNTIF($G$6:$G$52,"Blocked"))&amp;" open · "&amp;COUNTIF($I$6:$I$52,"Overdue")&amp;" overdue"</f>
      </c>
      <c r="B4" s="60"/>
      <c r="C4" s="60"/>
      <c r="D4" s="60"/>
      <c r="E4" s="60"/>
      <c r="F4" s="60"/>
      <c r="G4" s="60"/>
      <c r="H4" s="60"/>
      <c r="I4" s="61"/>
    </row>
    <row r="5" spans="1:9" ht="22" customHeight="1" outlineLevel="1" ns3:dyDescent="0.4">
      <c r="A5" s="56" t="str">
        <f ca="1">"Programme 1 · General Transition   —   "&amp;(COUNTIF($G$6:$G$11,"Open")+COUNTIF($G$6:$G$11,"In progress")+COUNTIF($G$6:$G$11,"Blocked"))&amp;" open · "&amp;COUNTIF($I$6:$I$11,"Overdue")&amp;" overdue"</f>
      </c>
      <c r="B5" s="57"/>
      <c r="C5" s="57"/>
      <c r="D5" s="57"/>
      <c r="E5" s="57"/>
      <c r="F5" s="57"/>
      <c r="G5" s="57"/>
      <c r="H5" s="57"/>
      <c r="I5" s="58"/>
    </row>
    <row r="6" spans="1:9" ht="20.05" hidden="1" customHeight="1" outlineLevel="2" ns3:dyDescent="0.4">
      <c r="A6" s="15"/>
      <c r="B6" s="15"/>
      <c r="C6" s="13"/>
      <c r="D6" s="12"/>
      <c r="E6" s="13"/>
      <c r="F6" s="33"/>
      <c r="G6" s="13"/>
      <c r="H6" s="11"/>
      <c r="I6" s="16" t="str">
        <f t="shared" ref="I6:I11" ca="1" si="0">IF(AND(B6&lt;&gt;"",ISNUMBER(F6),OR(G6="Open",G6="In progress",G6="Blocked")),IF(F6&lt;TODAY(),"Overdue",""),"")</f>
      </c>
    </row>
    <row r="7" spans="1:9" ht="20.05" hidden="1" customHeight="1" outlineLevel="2" ns3:dyDescent="0.4">
      <c r="A7" s="15"/>
      <c r="B7" s="15"/>
      <c r="C7" s="13"/>
      <c r="D7" s="12"/>
      <c r="E7" s="13"/>
      <c r="F7" s="33"/>
      <c r="G7" s="13"/>
      <c r="H7" s="11"/>
      <c r="I7" s="16" t="str">
        <f t="shared" ca="1" si="0"/>
      </c>
    </row>
    <row r="8" spans="1:9" ht="20.05" hidden="1" customHeight="1" outlineLevel="2" ns3:dyDescent="0.4">
      <c r="A8" s="15"/>
      <c r="B8" s="15"/>
      <c r="C8" s="13"/>
      <c r="D8" s="12"/>
      <c r="E8" s="13"/>
      <c r="F8" s="33"/>
      <c r="G8" s="13"/>
      <c r="H8" s="11"/>
      <c r="I8" s="16" t="str">
        <f t="shared" ca="1" si="0"/>
      </c>
    </row>
    <row r="9" spans="1:9" ht="20.05" hidden="1" customHeight="1" outlineLevel="2" ns3:dyDescent="0.4">
      <c r="A9" s="15"/>
      <c r="B9" s="15"/>
      <c r="C9" s="13"/>
      <c r="D9" s="12"/>
      <c r="E9" s="13"/>
      <c r="F9" s="33"/>
      <c r="G9" s="13"/>
      <c r="H9" s="11"/>
      <c r="I9" s="16" t="str">
        <f t="shared" ca="1" si="0"/>
      </c>
    </row>
    <row r="10" spans="1:9" ht="20.05" hidden="1" customHeight="1" outlineLevel="2" ns3:dyDescent="0.4">
      <c r="A10" s="15"/>
      <c r="B10" s="15"/>
      <c r="C10" s="13"/>
      <c r="D10" s="12"/>
      <c r="E10" s="13"/>
      <c r="F10" s="33"/>
      <c r="G10" s="13"/>
      <c r="H10" s="11"/>
      <c r="I10" s="16" t="str">
        <f t="shared" ca="1" si="0"/>
      </c>
    </row>
    <row r="11" spans="1:9" ht="20.05" hidden="1" customHeight="1" outlineLevel="2" ns3:dyDescent="0.4">
      <c r="A11" s="15"/>
      <c r="B11" s="15"/>
      <c r="C11" s="13"/>
      <c r="D11" s="12"/>
      <c r="E11" s="13"/>
      <c r="F11" s="33"/>
      <c r="G11" s="13"/>
      <c r="H11" s="11"/>
      <c r="I11" s="16" t="str">
        <f t="shared" ca="1" si="0"/>
      </c>
    </row>
    <row r="12" spans="1:9" ht="22" customHeight="1" outlineLevel="1" collapsed="1" ns3:dyDescent="0.4">
      <c r="A12" s="56" t="str">
        <f ca="1">"Programme 1 · Workstream 1   —   "&amp;(COUNTIF($G$13:$G$22,"Open")+COUNTIF($G$13:$G$22,"In progress")+COUNTIF($G$13:$G$22,"Blocked"))&amp;" open · "&amp;COUNTIF($I$13:$I$22,"Overdue")&amp;" overdue"</f>
      </c>
      <c r="B12" s="57"/>
      <c r="C12" s="57"/>
      <c r="D12" s="57"/>
      <c r="E12" s="57"/>
      <c r="F12" s="57"/>
      <c r="G12" s="57"/>
      <c r="H12" s="57"/>
      <c r="I12" s="58"/>
    </row>
    <row r="13" spans="1:9" ht="20.05" hidden="1" customHeight="1" outlineLevel="2" ns3:dyDescent="0.4">
      <c r="A13" s="15"/>
      <c r="B13" s="15"/>
      <c r="C13" s="13"/>
      <c r="D13" s="12"/>
      <c r="E13" s="13"/>
      <c r="F13" s="33"/>
      <c r="G13" s="13"/>
      <c r="H13" s="11"/>
      <c r="I13" s="16" t="str">
        <f t="shared" ref="I13:I22" ca="1" si="1">IF(AND(B13&lt;&gt;"",ISNUMBER(F13),OR(G13="Open",G13="In progress",G13="Blocked")),IF(F13&lt;TODAY(),"Overdue",""),"")</f>
      </c>
    </row>
    <row r="14" spans="1:9" ht="20.05" hidden="1" customHeight="1" outlineLevel="2" ns3:dyDescent="0.4">
      <c r="A14" s="15"/>
      <c r="B14" s="15"/>
      <c r="C14" s="13"/>
      <c r="D14" s="12"/>
      <c r="E14" s="13"/>
      <c r="F14" s="33"/>
      <c r="G14" s="13"/>
      <c r="H14" s="11"/>
      <c r="I14" s="16" t="str">
        <f t="shared" ca="1" si="1"/>
      </c>
    </row>
    <row r="15" spans="1:9" ht="20.05" hidden="1" customHeight="1" outlineLevel="2" ns3:dyDescent="0.4">
      <c r="A15" s="15"/>
      <c r="B15" s="15"/>
      <c r="C15" s="13"/>
      <c r="D15" s="12"/>
      <c r="E15" s="13"/>
      <c r="F15" s="33"/>
      <c r="G15" s="13"/>
      <c r="H15" s="11"/>
      <c r="I15" s="16" t="str">
        <f t="shared" ca="1" si="1"/>
      </c>
    </row>
    <row r="16" spans="1:9" ht="20.05" hidden="1" customHeight="1" outlineLevel="2" ns3:dyDescent="0.4">
      <c r="A16" s="15"/>
      <c r="B16" s="15"/>
      <c r="C16" s="13"/>
      <c r="D16" s="12"/>
      <c r="E16" s="13"/>
      <c r="F16" s="33"/>
      <c r="G16" s="13"/>
      <c r="H16" s="11"/>
      <c r="I16" s="16" t="str">
        <f t="shared" ca="1" si="1"/>
      </c>
    </row>
    <row r="17" spans="1:9" ht="20.05" hidden="1" customHeight="1" outlineLevel="2" ns3:dyDescent="0.4">
      <c r="A17" s="15"/>
      <c r="B17" s="15"/>
      <c r="C17" s="13"/>
      <c r="D17" s="12"/>
      <c r="E17" s="13"/>
      <c r="F17" s="33"/>
      <c r="G17" s="13"/>
      <c r="H17" s="11"/>
      <c r="I17" s="16" t="str">
        <f t="shared" ca="1" si="1"/>
      </c>
    </row>
    <row r="18" spans="1:9" ht="20.05" hidden="1" customHeight="1" outlineLevel="2" ns3:dyDescent="0.4">
      <c r="A18" s="15"/>
      <c r="B18" s="15"/>
      <c r="C18" s="13"/>
      <c r="D18" s="12"/>
      <c r="E18" s="13"/>
      <c r="F18" s="33"/>
      <c r="G18" s="13"/>
      <c r="H18" s="11"/>
      <c r="I18" s="16" t="str">
        <f t="shared" ca="1" si="1"/>
      </c>
    </row>
    <row r="19" spans="1:9" ht="20.05" hidden="1" customHeight="1" outlineLevel="2" ns3:dyDescent="0.4">
      <c r="A19" s="15"/>
      <c r="B19" s="15"/>
      <c r="C19" s="13"/>
      <c r="D19" s="12"/>
      <c r="E19" s="13"/>
      <c r="F19" s="33"/>
      <c r="G19" s="13"/>
      <c r="H19" s="11"/>
      <c r="I19" s="16" t="str">
        <f t="shared" ca="1" si="1"/>
      </c>
    </row>
    <row r="20" spans="1:9" ht="20.05" hidden="1" customHeight="1" outlineLevel="2" ns3:dyDescent="0.4">
      <c r="A20" s="15"/>
      <c r="B20" s="15"/>
      <c r="C20" s="13"/>
      <c r="D20" s="12"/>
      <c r="E20" s="13"/>
      <c r="F20" s="33"/>
      <c r="G20" s="13"/>
      <c r="H20" s="11"/>
      <c r="I20" s="16" t="str">
        <f t="shared" ca="1" si="1"/>
      </c>
    </row>
    <row r="21" spans="1:9" ht="20.05" hidden="1" customHeight="1" outlineLevel="2" ns3:dyDescent="0.4">
      <c r="A21" s="15"/>
      <c r="B21" s="15"/>
      <c r="C21" s="13"/>
      <c r="D21" s="12"/>
      <c r="E21" s="13"/>
      <c r="F21" s="33"/>
      <c r="G21" s="13"/>
      <c r="H21" s="11"/>
      <c r="I21" s="16" t="str">
        <f t="shared" ca="1" si="1"/>
      </c>
    </row>
    <row r="22" spans="1:9" ht="20.05" hidden="1" customHeight="1" outlineLevel="2" ns3:dyDescent="0.4">
      <c r="A22" s="15"/>
      <c r="B22" s="15"/>
      <c r="C22" s="13"/>
      <c r="D22" s="12"/>
      <c r="E22" s="13"/>
      <c r="F22" s="33"/>
      <c r="G22" s="13"/>
      <c r="H22" s="11"/>
      <c r="I22" s="16" t="str">
        <f t="shared" ca="1" si="1"/>
      </c>
    </row>
    <row r="23" spans="1:9" ht="22" customHeight="1" outlineLevel="1" collapsed="1" ns3:dyDescent="0.4">
      <c r="A23" s="56" t="str">
        <f ca="1">"Programme 1 · Workstream 2   —   "&amp;(COUNTIF($G$24:$G$33,"Open")+COUNTIF($G$24:$G$33,"In progress")+COUNTIF($G$24:$G$33,"Blocked"))&amp;" open · "&amp;COUNTIF($I$24:$I$33,"Overdue")&amp;" overdue"</f>
      </c>
      <c r="B23" s="57"/>
      <c r="C23" s="57"/>
      <c r="D23" s="57"/>
      <c r="E23" s="57"/>
      <c r="F23" s="57"/>
      <c r="G23" s="57"/>
      <c r="H23" s="57"/>
      <c r="I23" s="58"/>
    </row>
    <row r="24" spans="1:9" ht="20.05" hidden="1" customHeight="1" outlineLevel="2" ns3:dyDescent="0.4">
      <c r="A24" s="15"/>
      <c r="B24" s="15"/>
      <c r="C24" s="13"/>
      <c r="D24" s="12"/>
      <c r="E24" s="13"/>
      <c r="F24" s="33"/>
      <c r="G24" s="13"/>
      <c r="H24" s="11"/>
      <c r="I24" s="16" t="str">
        <f ca="1">IF(AND(B24&lt;&gt;"",ISNUMBER(F24),OR(G24="Open",G24="In progress",G24="Blocked")),IF(F24&lt;TODAY(),"Overdue",""),"")</f>
      </c>
    </row>
    <row r="25" spans="1:9" ht="20.05" hidden="1" customHeight="1" outlineLevel="2" ns3:dyDescent="0.4">
      <c r="A25" s="15"/>
      <c r="B25" s="15"/>
      <c r="C25" s="13"/>
      <c r="D25" s="12"/>
      <c r="E25" s="13"/>
      <c r="F25" s="33"/>
      <c r="G25" s="13"/>
      <c r="H25" s="11"/>
      <c r="I25" s="16" t="str">
        <f t="shared" ref="I25:I33" ca="1" si="2">IF(AND(B25&lt;&gt;"",ISNUMBER(F25),OR(G25="Open",G25="In progress",G25="Blocked")),IF(F25&lt;TODAY(),"Overdue",""),"")</f>
      </c>
    </row>
    <row r="26" spans="1:9" ht="20.05" hidden="1" customHeight="1" outlineLevel="2" ns3:dyDescent="0.4">
      <c r="A26" s="15"/>
      <c r="B26" s="15"/>
      <c r="C26" s="13"/>
      <c r="D26" s="12"/>
      <c r="E26" s="13"/>
      <c r="F26" s="33"/>
      <c r="G26" s="13"/>
      <c r="H26" s="11"/>
      <c r="I26" s="16" t="str">
        <f t="shared" ca="1" si="2"/>
      </c>
    </row>
    <row r="27" spans="1:9" ht="20.05" hidden="1" customHeight="1" outlineLevel="2" ns3:dyDescent="0.4">
      <c r="A27" s="15"/>
      <c r="B27" s="15"/>
      <c r="C27" s="13"/>
      <c r="D27" s="12"/>
      <c r="E27" s="13"/>
      <c r="F27" s="33"/>
      <c r="G27" s="13"/>
      <c r="H27" s="11"/>
      <c r="I27" s="16" t="str">
        <f t="shared" ca="1" si="2"/>
      </c>
    </row>
    <row r="28" spans="1:9" ht="20.05" hidden="1" customHeight="1" outlineLevel="2" ns3:dyDescent="0.4">
      <c r="A28" s="15"/>
      <c r="B28" s="15"/>
      <c r="C28" s="13"/>
      <c r="D28" s="12"/>
      <c r="E28" s="13"/>
      <c r="F28" s="33"/>
      <c r="G28" s="13"/>
      <c r="H28" s="11"/>
      <c r="I28" s="16" t="str">
        <f t="shared" ca="1" si="2"/>
      </c>
    </row>
    <row r="29" spans="1:9" ht="20.05" hidden="1" customHeight="1" outlineLevel="2" ns3:dyDescent="0.4">
      <c r="A29" s="15"/>
      <c r="B29" s="15"/>
      <c r="C29" s="13"/>
      <c r="D29" s="12"/>
      <c r="E29" s="13"/>
      <c r="F29" s="33"/>
      <c r="G29" s="13"/>
      <c r="H29" s="11"/>
      <c r="I29" s="16" t="str">
        <f t="shared" ca="1" si="2"/>
      </c>
    </row>
    <row r="30" spans="1:9" ht="20.05" hidden="1" customHeight="1" outlineLevel="2" ns3:dyDescent="0.4">
      <c r="A30" s="15"/>
      <c r="B30" s="15"/>
      <c r="C30" s="13"/>
      <c r="D30" s="12"/>
      <c r="E30" s="13"/>
      <c r="F30" s="33"/>
      <c r="G30" s="13"/>
      <c r="H30" s="11"/>
      <c r="I30" s="16" t="str">
        <f t="shared" ca="1" si="2"/>
      </c>
    </row>
    <row r="31" spans="1:9" ht="20.05" hidden="1" customHeight="1" outlineLevel="2" ns3:dyDescent="0.4">
      <c r="A31" s="15"/>
      <c r="B31" s="15"/>
      <c r="C31" s="13"/>
      <c r="D31" s="12"/>
      <c r="E31" s="13"/>
      <c r="F31" s="33"/>
      <c r="G31" s="13"/>
      <c r="H31" s="11"/>
      <c r="I31" s="16" t="str">
        <f t="shared" ca="1" si="2"/>
      </c>
    </row>
    <row r="32" spans="1:9" ht="20.05" hidden="1" customHeight="1" outlineLevel="2" ns3:dyDescent="0.4">
      <c r="A32" s="15"/>
      <c r="B32" s="15"/>
      <c r="C32" s="13"/>
      <c r="D32" s="12"/>
      <c r="E32" s="13"/>
      <c r="F32" s="33"/>
      <c r="G32" s="13"/>
      <c r="H32" s="11"/>
      <c r="I32" s="16" t="str">
        <f t="shared" ca="1" si="2"/>
      </c>
    </row>
    <row r="33" spans="1:9" ht="20.05" hidden="1" customHeight="1" outlineLevel="2" ns3:dyDescent="0.4">
      <c r="A33" s="15"/>
      <c r="B33" s="15"/>
      <c r="C33" s="13"/>
      <c r="D33" s="12"/>
      <c r="E33" s="13"/>
      <c r="F33" s="33"/>
      <c r="G33" s="13"/>
      <c r="H33" s="11"/>
      <c r="I33" s="16" t="str">
        <f t="shared" ca="1" si="2"/>
      </c>
    </row>
    <row r="34" spans="1:9" ht="22" customHeight="1" outlineLevel="1" collapsed="1" ns3:dyDescent="0.4">
      <c r="A34" s="56" t="str">
        <f ca="1">"Programme 1 · Workstream 3   —   "&amp;(COUNTIF($G$35:$G$44,"Open")+COUNTIF($G$35:$G$44,"In progress")+COUNTIF($G$35:$G$44,"Blocked"))&amp;" open · "&amp;COUNTIF($I$35:$I$44,"Overdue")&amp;" overdue"</f>
      </c>
      <c r="B34" s="57"/>
      <c r="C34" s="57"/>
      <c r="D34" s="57"/>
      <c r="E34" s="57"/>
      <c r="F34" s="57"/>
      <c r="G34" s="57"/>
      <c r="H34" s="57"/>
      <c r="I34" s="58"/>
    </row>
    <row r="35" spans="1:9" ht="20.05" hidden="1" customHeight="1" outlineLevel="2" ns3:dyDescent="0.4">
      <c r="A35" s="15"/>
      <c r="B35" s="15"/>
      <c r="C35" s="13"/>
      <c r="D35" s="12"/>
      <c r="E35" s="13"/>
      <c r="F35" s="33"/>
      <c r="G35" s="13"/>
      <c r="H35" s="11"/>
      <c r="I35" s="16" t="str">
        <f t="shared" ref="I35:I44" ca="1" si="3">IF(AND(B35&lt;&gt;"",ISNUMBER(F35),OR(G35="Open",G35="In progress",G35="Blocked")),IF(F35&lt;TODAY(),"Overdue",""),"")</f>
      </c>
    </row>
    <row r="36" spans="1:9" ht="20.05" hidden="1" customHeight="1" outlineLevel="2" ns3:dyDescent="0.4">
      <c r="A36" s="15"/>
      <c r="B36" s="15"/>
      <c r="C36" s="13"/>
      <c r="D36" s="12"/>
      <c r="E36" s="13"/>
      <c r="F36" s="33"/>
      <c r="G36" s="13"/>
      <c r="H36" s="11"/>
      <c r="I36" s="16" t="str">
        <f t="shared" ca="1" si="3"/>
      </c>
    </row>
    <row r="37" spans="1:9" ht="20.05" hidden="1" customHeight="1" outlineLevel="2" ns3:dyDescent="0.4">
      <c r="A37" s="15"/>
      <c r="B37" s="15"/>
      <c r="C37" s="13"/>
      <c r="D37" s="12"/>
      <c r="E37" s="13"/>
      <c r="F37" s="33"/>
      <c r="G37" s="13"/>
      <c r="H37" s="11"/>
      <c r="I37" s="16" t="str">
        <f t="shared" ca="1" si="3"/>
      </c>
    </row>
    <row r="38" spans="1:9" ht="20.05" hidden="1" customHeight="1" outlineLevel="2" ns3:dyDescent="0.4">
      <c r="A38" s="15"/>
      <c r="B38" s="15"/>
      <c r="C38" s="13"/>
      <c r="D38" s="12"/>
      <c r="E38" s="13"/>
      <c r="F38" s="33"/>
      <c r="G38" s="13"/>
      <c r="H38" s="11"/>
      <c r="I38" s="16" t="str">
        <f t="shared" ca="1" si="3"/>
      </c>
    </row>
    <row r="39" spans="1:9" ht="20.05" hidden="1" customHeight="1" outlineLevel="2" ns3:dyDescent="0.4">
      <c r="A39" s="15"/>
      <c r="B39" s="15"/>
      <c r="C39" s="13"/>
      <c r="D39" s="12"/>
      <c r="E39" s="13"/>
      <c r="F39" s="33"/>
      <c r="G39" s="13"/>
      <c r="H39" s="11"/>
      <c r="I39" s="16" t="str">
        <f t="shared" ca="1" si="3"/>
      </c>
    </row>
    <row r="40" spans="1:9" ht="20.05" hidden="1" customHeight="1" outlineLevel="2" ns3:dyDescent="0.4">
      <c r="A40" s="15"/>
      <c r="B40" s="15"/>
      <c r="C40" s="13"/>
      <c r="D40" s="12"/>
      <c r="E40" s="13"/>
      <c r="F40" s="33"/>
      <c r="G40" s="13"/>
      <c r="H40" s="11"/>
      <c r="I40" s="16" t="str">
        <f t="shared" ca="1" si="3"/>
      </c>
    </row>
    <row r="41" spans="1:9" ht="20.05" hidden="1" customHeight="1" outlineLevel="2" ns3:dyDescent="0.4">
      <c r="A41" s="15"/>
      <c r="B41" s="15"/>
      <c r="C41" s="13"/>
      <c r="D41" s="12"/>
      <c r="E41" s="13"/>
      <c r="F41" s="33"/>
      <c r="G41" s="13"/>
      <c r="H41" s="11"/>
      <c r="I41" s="16" t="str">
        <f t="shared" ca="1" si="3"/>
      </c>
    </row>
    <row r="42" spans="1:9" ht="20.05" hidden="1" customHeight="1" outlineLevel="2" ns3:dyDescent="0.4">
      <c r="A42" s="15"/>
      <c r="B42" s="15"/>
      <c r="C42" s="13"/>
      <c r="D42" s="12"/>
      <c r="E42" s="13"/>
      <c r="F42" s="33"/>
      <c r="G42" s="13"/>
      <c r="H42" s="11"/>
      <c r="I42" s="16" t="str">
        <f t="shared" ca="1" si="3"/>
      </c>
    </row>
    <row r="43" spans="1:9" ht="20.05" hidden="1" customHeight="1" outlineLevel="2" ns3:dyDescent="0.4">
      <c r="A43" s="15"/>
      <c r="B43" s="15"/>
      <c r="C43" s="13"/>
      <c r="D43" s="12"/>
      <c r="E43" s="13"/>
      <c r="F43" s="33"/>
      <c r="G43" s="13"/>
      <c r="H43" s="11"/>
      <c r="I43" s="16" t="str">
        <f t="shared" ca="1" si="3"/>
      </c>
    </row>
    <row r="44" spans="1:9" ht="20.05" hidden="1" customHeight="1" outlineLevel="2" ns3:dyDescent="0.4">
      <c r="A44" s="15"/>
      <c r="B44" s="15"/>
      <c r="C44" s="13"/>
      <c r="D44" s="12"/>
      <c r="E44" s="13"/>
      <c r="F44" s="33"/>
      <c r="G44" s="13"/>
      <c r="H44" s="11"/>
      <c r="I44" s="16" t="str">
        <f t="shared" ca="1" si="3"/>
      </c>
    </row>
    <row r="45" spans="1:9" ht="22" customHeight="1" outlineLevel="1" collapsed="1" ns3:dyDescent="0.4">
      <c r="A45" s="53" t="str">
        <f ca="1">"Programme 1 · Other / new initiative   —   "&amp;(COUNTIF($G$46:$G$52,"Open")+COUNTIF($G$46:$G$52,"In progress")+COUNTIF($G$46:$G$52,"Blocked"))&amp;" open · "&amp;COUNTIF($I$46:$I$52,"Overdue")&amp;" overdue"</f>
      </c>
      <c r="B45" s="54"/>
      <c r="C45" s="54"/>
      <c r="D45" s="54"/>
      <c r="E45" s="54"/>
      <c r="F45" s="54"/>
      <c r="G45" s="54"/>
      <c r="H45" s="54"/>
      <c r="I45" s="55"/>
    </row>
    <row r="46" spans="1:9" ht="20.05" hidden="1" customHeight="1" outlineLevel="2" ns3:dyDescent="0.4">
      <c r="A46" s="15"/>
      <c r="B46" s="15"/>
      <c r="C46" s="13"/>
      <c r="D46" s="12"/>
      <c r="E46" s="13"/>
      <c r="F46" s="33"/>
      <c r="G46" s="13"/>
      <c r="H46" s="11"/>
      <c r="I46" s="16" t="str">
        <f t="shared" ref="I46:I52" ca="1" si="4">IF(AND(B46&lt;&gt;"",ISNUMBER(F46),OR(G46="Open",G46="In progress",G46="Blocked")),IF(F46&lt;TODAY(),"Overdue",""),"")</f>
      </c>
    </row>
    <row r="47" spans="1:9" ht="20.05" hidden="1" customHeight="1" outlineLevel="2" ns3:dyDescent="0.4">
      <c r="A47" s="15"/>
      <c r="B47" s="15"/>
      <c r="C47" s="13"/>
      <c r="D47" s="12"/>
      <c r="E47" s="13"/>
      <c r="F47" s="33"/>
      <c r="G47" s="13"/>
      <c r="H47" s="11"/>
      <c r="I47" s="16" t="str">
        <f t="shared" ca="1" si="4"/>
      </c>
    </row>
    <row r="48" spans="1:9" ht="20.05" hidden="1" customHeight="1" outlineLevel="2" ns3:dyDescent="0.4">
      <c r="A48" s="15"/>
      <c r="B48" s="15"/>
      <c r="C48" s="13"/>
      <c r="D48" s="12"/>
      <c r="E48" s="13"/>
      <c r="F48" s="33"/>
      <c r="G48" s="13"/>
      <c r="H48" s="11"/>
      <c r="I48" s="16" t="str">
        <f t="shared" ca="1" si="4"/>
      </c>
    </row>
    <row r="49" spans="1:9" ht="20.05" hidden="1" customHeight="1" outlineLevel="2" ns3:dyDescent="0.4">
      <c r="A49" s="15"/>
      <c r="B49" s="15"/>
      <c r="C49" s="13"/>
      <c r="D49" s="12"/>
      <c r="E49" s="13"/>
      <c r="F49" s="33"/>
      <c r="G49" s="13"/>
      <c r="H49" s="11"/>
      <c r="I49" s="16" t="str">
        <f t="shared" ca="1" si="4"/>
      </c>
    </row>
    <row r="50" spans="1:9" ht="20.05" hidden="1" customHeight="1" outlineLevel="2" ns3:dyDescent="0.4">
      <c r="A50" s="15"/>
      <c r="B50" s="15"/>
      <c r="C50" s="13"/>
      <c r="D50" s="12"/>
      <c r="E50" s="13"/>
      <c r="F50" s="33"/>
      <c r="G50" s="13"/>
      <c r="H50" s="11"/>
      <c r="I50" s="16" t="str">
        <f t="shared" ca="1" si="4"/>
      </c>
    </row>
    <row r="51" spans="1:9" ht="20.05" hidden="1" customHeight="1" outlineLevel="2" ns3:dyDescent="0.4">
      <c r="A51" s="15"/>
      <c r="B51" s="15"/>
      <c r="C51" s="13"/>
      <c r="D51" s="12"/>
      <c r="E51" s="13"/>
      <c r="F51" s="33"/>
      <c r="G51" s="13"/>
      <c r="H51" s="11"/>
      <c r="I51" s="16" t="str">
        <f t="shared" ca="1" si="4"/>
      </c>
    </row>
    <row r="52" spans="1:9" ht="20.05" hidden="1" customHeight="1" outlineLevel="2" ns3:dyDescent="0.4">
      <c r="A52" s="15"/>
      <c r="B52" s="15"/>
      <c r="C52" s="13"/>
      <c r="D52" s="12"/>
      <c r="E52" s="13"/>
      <c r="F52" s="33"/>
      <c r="G52" s="13"/>
      <c r="H52" s="11"/>
      <c r="I52" s="16" t="str">
        <f t="shared" ca="1" si="4"/>
      </c>
    </row>
    <row r="53" spans="1:9" ht="22" customHeight="1" ns3:dyDescent="0.4">
      <c r="A53" s="59" t="str">
        <f ca="1">"Programme Portfolio 2   —   "&amp;(COUNTIF($G$55:$G$106,"Open")+COUNTIF($G$55:$G$106,"In progress")+COUNTIF($G$55:$G$106,"Blocked"))&amp;" open · "&amp;COUNTIF($I$55:$I$106,"Overdue")&amp;" overdue"</f>
      </c>
      <c r="B53" s="60"/>
      <c r="C53" s="60"/>
      <c r="D53" s="60"/>
      <c r="E53" s="60"/>
      <c r="F53" s="60"/>
      <c r="G53" s="60"/>
      <c r="H53" s="60"/>
      <c r="I53" s="61"/>
    </row>
    <row r="54" spans="1:9" ht="22" customHeight="1" outlineLevel="1" ns3:dyDescent="0.4">
      <c r="A54" s="56" t="str">
        <f ca="1">"Programme 2 · Contract-level   —   "&amp;(COUNTIF($G$55:$G$60,"Open")+COUNTIF($G$55:$G$60,"In progress")+COUNTIF($G$55:$G$60,"Blocked"))&amp;" open · "&amp;COUNTIF($I$55:$I$60,"Overdue")&amp;" overdue"</f>
      </c>
      <c r="B54" s="57"/>
      <c r="C54" s="57"/>
      <c r="D54" s="57"/>
      <c r="E54" s="57"/>
      <c r="F54" s="57"/>
      <c r="G54" s="57"/>
      <c r="H54" s="57"/>
      <c r="I54" s="58"/>
    </row>
    <row r="55" spans="1:9" ht="20.05" hidden="1" customHeight="1" outlineLevel="2" ns3:dyDescent="0.4">
      <c r="A55" s="15"/>
      <c r="B55" s="15"/>
      <c r="C55" s="13"/>
      <c r="D55" s="12"/>
      <c r="E55" s="13"/>
      <c r="F55" s="33"/>
      <c r="G55" s="13"/>
      <c r="H55" s="11"/>
      <c r="I55" s="16" t="str">
        <f t="shared" ref="I55:I60" ca="1" si="5">IF(AND(B55&lt;&gt;"",ISNUMBER(F55),OR(G55="Open",G55="In progress",G55="Blocked")),IF(F55&lt;TODAY(),"Overdue",""),"")</f>
      </c>
    </row>
    <row r="56" spans="1:9" ht="20.05" hidden="1" customHeight="1" outlineLevel="2" ns3:dyDescent="0.4">
      <c r="A56" s="15"/>
      <c r="B56" s="15"/>
      <c r="C56" s="13"/>
      <c r="D56" s="12"/>
      <c r="E56" s="13"/>
      <c r="F56" s="33"/>
      <c r="G56" s="13"/>
      <c r="H56" s="11"/>
      <c r="I56" s="16" t="str">
        <f t="shared" ca="1" si="5"/>
      </c>
    </row>
    <row r="57" spans="1:9" ht="20.05" hidden="1" customHeight="1" outlineLevel="2" ns3:dyDescent="0.4">
      <c r="A57" s="15"/>
      <c r="B57" s="15"/>
      <c r="C57" s="13"/>
      <c r="D57" s="12"/>
      <c r="E57" s="13"/>
      <c r="F57" s="33"/>
      <c r="G57" s="13"/>
      <c r="H57" s="11"/>
      <c r="I57" s="16" t="str">
        <f t="shared" ca="1" si="5"/>
      </c>
    </row>
    <row r="58" spans="1:9" ht="20.05" hidden="1" customHeight="1" outlineLevel="2" ns3:dyDescent="0.4">
      <c r="A58" s="15"/>
      <c r="B58" s="15"/>
      <c r="C58" s="13"/>
      <c r="D58" s="12"/>
      <c r="E58" s="13"/>
      <c r="F58" s="33"/>
      <c r="G58" s="13"/>
      <c r="H58" s="11"/>
      <c r="I58" s="16" t="str">
        <f t="shared" ca="1" si="5"/>
      </c>
    </row>
    <row r="59" spans="1:9" ht="20.05" hidden="1" customHeight="1" outlineLevel="2" ns3:dyDescent="0.4">
      <c r="A59" s="15"/>
      <c r="B59" s="15"/>
      <c r="C59" s="13"/>
      <c r="D59" s="12"/>
      <c r="E59" s="13"/>
      <c r="F59" s="33"/>
      <c r="G59" s="13"/>
      <c r="H59" s="11"/>
      <c r="I59" s="16" t="str">
        <f t="shared" ca="1" si="5"/>
      </c>
    </row>
    <row r="60" spans="1:9" ht="20.05" hidden="1" customHeight="1" outlineLevel="2" ns3:dyDescent="0.4">
      <c r="A60" s="15"/>
      <c r="B60" s="15"/>
      <c r="C60" s="13"/>
      <c r="D60" s="12"/>
      <c r="E60" s="13"/>
      <c r="F60" s="33"/>
      <c r="G60" s="13"/>
      <c r="H60" s="11"/>
      <c r="I60" s="16" t="str">
        <f t="shared" ca="1" si="5"/>
      </c>
    </row>
    <row r="61" spans="1:9" ht="22" customHeight="1" outlineLevel="1" collapsed="1" ns3:dyDescent="0.4">
      <c r="A61" s="56" t="str">
        <f ca="1">"Programme 2 · Workstream 1   —   "&amp;(COUNTIF($G$62:$G$71,"Open")+COUNTIF($G$62:$G$71,"In progress")+COUNTIF($G$62:$G$71,"Blocked"))&amp;" open · "&amp;COUNTIF($I$62:$I$71,"Overdue")&amp;" overdue"</f>
      </c>
      <c r="B61" s="57"/>
      <c r="C61" s="57"/>
      <c r="D61" s="57"/>
      <c r="E61" s="57"/>
      <c r="F61" s="57"/>
      <c r="G61" s="57"/>
      <c r="H61" s="57"/>
      <c r="I61" s="58"/>
    </row>
    <row r="62" spans="1:9" ht="20.05" hidden="1" customHeight="1" outlineLevel="2" ns3:dyDescent="0.4">
      <c r="A62" s="15"/>
      <c r="B62" s="15"/>
      <c r="C62" s="13"/>
      <c r="D62" s="12"/>
      <c r="E62" s="13"/>
      <c r="F62" s="33"/>
      <c r="G62" s="13"/>
      <c r="H62" s="11"/>
      <c r="I62" s="16" t="str">
        <f t="shared" ref="I62:I71" ca="1" si="6">IF(AND(B62&lt;&gt;"",ISNUMBER(F62),OR(G62="Open",G62="In progress",G62="Blocked")),IF(F62&lt;TODAY(),"Overdue",""),"")</f>
      </c>
    </row>
    <row r="63" spans="1:9" ht="20.05" hidden="1" customHeight="1" outlineLevel="2" ns3:dyDescent="0.4">
      <c r="A63" s="15"/>
      <c r="B63" s="15"/>
      <c r="C63" s="13"/>
      <c r="D63" s="12"/>
      <c r="E63" s="13"/>
      <c r="F63" s="33"/>
      <c r="G63" s="13"/>
      <c r="H63" s="11"/>
      <c r="I63" s="16" t="str">
        <f t="shared" ca="1" si="6"/>
      </c>
    </row>
    <row r="64" spans="1:9" ht="20.05" hidden="1" customHeight="1" outlineLevel="2" ns3:dyDescent="0.4">
      <c r="A64" s="15"/>
      <c r="B64" s="15"/>
      <c r="C64" s="13"/>
      <c r="D64" s="12"/>
      <c r="E64" s="13"/>
      <c r="F64" s="33"/>
      <c r="G64" s="13"/>
      <c r="H64" s="11"/>
      <c r="I64" s="16" t="str">
        <f t="shared" ca="1" si="6"/>
      </c>
    </row>
    <row r="65" spans="1:9" ht="20.05" hidden="1" customHeight="1" outlineLevel="2" ns3:dyDescent="0.4">
      <c r="A65" s="15"/>
      <c r="B65" s="15"/>
      <c r="C65" s="13"/>
      <c r="D65" s="12"/>
      <c r="E65" s="13"/>
      <c r="F65" s="33"/>
      <c r="G65" s="13"/>
      <c r="H65" s="11"/>
      <c r="I65" s="16" t="str">
        <f t="shared" ca="1" si="6"/>
      </c>
    </row>
    <row r="66" spans="1:9" ht="20.05" hidden="1" customHeight="1" outlineLevel="2" ns3:dyDescent="0.4">
      <c r="A66" s="15"/>
      <c r="B66" s="15"/>
      <c r="C66" s="13"/>
      <c r="D66" s="12"/>
      <c r="E66" s="13"/>
      <c r="F66" s="33"/>
      <c r="G66" s="13"/>
      <c r="H66" s="11"/>
      <c r="I66" s="16" t="str">
        <f t="shared" ca="1" si="6"/>
      </c>
    </row>
    <row r="67" spans="1:9" ht="20.05" hidden="1" customHeight="1" outlineLevel="2" ns3:dyDescent="0.4">
      <c r="A67" s="15"/>
      <c r="B67" s="15"/>
      <c r="C67" s="13"/>
      <c r="D67" s="12"/>
      <c r="E67" s="13"/>
      <c r="F67" s="33"/>
      <c r="G67" s="13"/>
      <c r="H67" s="11"/>
      <c r="I67" s="16" t="str">
        <f t="shared" ca="1" si="6"/>
      </c>
    </row>
    <row r="68" spans="1:9" ht="20.05" hidden="1" customHeight="1" outlineLevel="2" ns3:dyDescent="0.4">
      <c r="A68" s="15"/>
      <c r="B68" s="15"/>
      <c r="C68" s="13"/>
      <c r="D68" s="12"/>
      <c r="E68" s="13"/>
      <c r="F68" s="33"/>
      <c r="G68" s="13"/>
      <c r="H68" s="11"/>
      <c r="I68" s="16" t="str">
        <f t="shared" ca="1" si="6"/>
      </c>
    </row>
    <row r="69" spans="1:9" ht="20.05" hidden="1" customHeight="1" outlineLevel="2" ns3:dyDescent="0.4">
      <c r="A69" s="15"/>
      <c r="B69" s="15"/>
      <c r="C69" s="13"/>
      <c r="D69" s="12"/>
      <c r="E69" s="13"/>
      <c r="F69" s="33"/>
      <c r="G69" s="13"/>
      <c r="H69" s="11"/>
      <c r="I69" s="16" t="str">
        <f t="shared" ca="1" si="6"/>
      </c>
    </row>
    <row r="70" spans="1:9" ht="20.05" hidden="1" customHeight="1" outlineLevel="2" ns3:dyDescent="0.4">
      <c r="A70" s="15"/>
      <c r="B70" s="15"/>
      <c r="C70" s="13"/>
      <c r="D70" s="12"/>
      <c r="E70" s="13"/>
      <c r="F70" s="33"/>
      <c r="G70" s="13"/>
      <c r="H70" s="11"/>
      <c r="I70" s="16" t="str">
        <f t="shared" ca="1" si="6"/>
      </c>
    </row>
    <row r="71" spans="1:9" ht="20.05" hidden="1" customHeight="1" outlineLevel="2" ns3:dyDescent="0.4">
      <c r="A71" s="15"/>
      <c r="B71" s="15"/>
      <c r="C71" s="13"/>
      <c r="D71" s="12"/>
      <c r="E71" s="13"/>
      <c r="F71" s="33"/>
      <c r="G71" s="13"/>
      <c r="H71" s="11"/>
      <c r="I71" s="16" t="str">
        <f t="shared" ca="1" si="6"/>
      </c>
    </row>
    <row r="72" spans="1:9" ht="22" customHeight="1" outlineLevel="1" collapsed="1" ns3:dyDescent="0.4">
      <c r="A72" s="56" t="str">
        <f ca="1">"Programme 2 · Workstream 2   —   "&amp;(COUNTIF($G$73:$G$82,"Open")+COUNTIF($G$73:$G$82,"In progress")+COUNTIF($G$73:$G$82,"Blocked"))&amp;" open · "&amp;COUNTIF($I$73:$I$82,"Overdue")&amp;" overdue"</f>
      </c>
      <c r="B72" s="57"/>
      <c r="C72" s="57"/>
      <c r="D72" s="57"/>
      <c r="E72" s="57"/>
      <c r="F72" s="57"/>
      <c r="G72" s="57"/>
      <c r="H72" s="57"/>
      <c r="I72" s="58"/>
    </row>
    <row r="73" spans="1:9" ht="20.05" hidden="1" customHeight="1" outlineLevel="2" ns3:dyDescent="0.4">
      <c r="A73" s="15"/>
      <c r="B73" s="15"/>
      <c r="C73" s="13"/>
      <c r="D73" s="12"/>
      <c r="E73" s="13"/>
      <c r="F73" s="33"/>
      <c r="G73" s="13"/>
      <c r="H73" s="11"/>
      <c r="I73" s="16" t="str">
        <f t="shared" ref="I73:I82" ca="1" si="7">IF(AND(B73&lt;&gt;"",ISNUMBER(F73),OR(G73="Open",G73="In progress",G73="Blocked")),IF(F73&lt;TODAY(),"Overdue",""),"")</f>
      </c>
    </row>
    <row r="74" spans="1:9" ht="20.05" hidden="1" customHeight="1" outlineLevel="2" ns3:dyDescent="0.4">
      <c r="A74" s="15"/>
      <c r="B74" s="15"/>
      <c r="C74" s="13"/>
      <c r="D74" s="12"/>
      <c r="E74" s="13"/>
      <c r="F74" s="33"/>
      <c r="G74" s="13"/>
      <c r="H74" s="11"/>
      <c r="I74" s="16" t="str">
        <f t="shared" ca="1" si="7"/>
      </c>
    </row>
    <row r="75" spans="1:9" ht="20.05" hidden="1" customHeight="1" outlineLevel="2" ns3:dyDescent="0.4">
      <c r="A75" s="15"/>
      <c r="B75" s="15"/>
      <c r="C75" s="13"/>
      <c r="D75" s="12"/>
      <c r="E75" s="13"/>
      <c r="F75" s="33"/>
      <c r="G75" s="13"/>
      <c r="H75" s="11"/>
      <c r="I75" s="16" t="str">
        <f t="shared" ca="1" si="7"/>
      </c>
    </row>
    <row r="76" spans="1:9" ht="20.05" hidden="1" customHeight="1" outlineLevel="2" ns3:dyDescent="0.4">
      <c r="A76" s="15"/>
      <c r="B76" s="15"/>
      <c r="C76" s="13"/>
      <c r="D76" s="12"/>
      <c r="E76" s="13"/>
      <c r="F76" s="33"/>
      <c r="G76" s="13"/>
      <c r="H76" s="11"/>
      <c r="I76" s="16" t="str">
        <f t="shared" ca="1" si="7"/>
      </c>
    </row>
    <row r="77" spans="1:9" ht="20.05" hidden="1" customHeight="1" outlineLevel="2" ns3:dyDescent="0.4">
      <c r="A77" s="15"/>
      <c r="B77" s="15"/>
      <c r="C77" s="13"/>
      <c r="D77" s="12"/>
      <c r="E77" s="13"/>
      <c r="F77" s="33"/>
      <c r="G77" s="13"/>
      <c r="H77" s="11"/>
      <c r="I77" s="16" t="str">
        <f t="shared" ca="1" si="7"/>
      </c>
    </row>
    <row r="78" spans="1:9" ht="20.05" hidden="1" customHeight="1" outlineLevel="2" ns3:dyDescent="0.4">
      <c r="A78" s="15"/>
      <c r="B78" s="15"/>
      <c r="C78" s="13"/>
      <c r="D78" s="12"/>
      <c r="E78" s="13"/>
      <c r="F78" s="33"/>
      <c r="G78" s="13"/>
      <c r="H78" s="11"/>
      <c r="I78" s="16" t="str">
        <f t="shared" ca="1" si="7"/>
      </c>
    </row>
    <row r="79" spans="1:9" ht="20.05" hidden="1" customHeight="1" outlineLevel="2" ns3:dyDescent="0.4">
      <c r="A79" s="15"/>
      <c r="B79" s="15"/>
      <c r="C79" s="13"/>
      <c r="D79" s="12"/>
      <c r="E79" s="13"/>
      <c r="F79" s="33"/>
      <c r="G79" s="13"/>
      <c r="H79" s="11"/>
      <c r="I79" s="16" t="str">
        <f t="shared" ca="1" si="7"/>
      </c>
    </row>
    <row r="80" spans="1:9" ht="20.05" hidden="1" customHeight="1" outlineLevel="2" ns3:dyDescent="0.4">
      <c r="A80" s="15"/>
      <c r="B80" s="15"/>
      <c r="C80" s="13"/>
      <c r="D80" s="12"/>
      <c r="E80" s="13"/>
      <c r="F80" s="33"/>
      <c r="G80" s="13"/>
      <c r="H80" s="11"/>
      <c r="I80" s="16" t="str">
        <f t="shared" ca="1" si="7"/>
      </c>
    </row>
    <row r="81" spans="1:9" ht="20.05" hidden="1" customHeight="1" outlineLevel="2" ns3:dyDescent="0.4">
      <c r="A81" s="15"/>
      <c r="B81" s="15"/>
      <c r="C81" s="13"/>
      <c r="D81" s="12"/>
      <c r="E81" s="13"/>
      <c r="F81" s="33"/>
      <c r="G81" s="13"/>
      <c r="H81" s="11"/>
      <c r="I81" s="16" t="str">
        <f t="shared" ca="1" si="7"/>
      </c>
    </row>
    <row r="82" spans="1:9" ht="20.05" hidden="1" customHeight="1" outlineLevel="2" ns3:dyDescent="0.4">
      <c r="A82" s="15"/>
      <c r="B82" s="15"/>
      <c r="C82" s="13"/>
      <c r="D82" s="12"/>
      <c r="E82" s="13"/>
      <c r="F82" s="33"/>
      <c r="G82" s="13"/>
      <c r="H82" s="11"/>
      <c r="I82" s="16" t="str">
        <f t="shared" ca="1" si="7"/>
      </c>
    </row>
    <row r="83" spans="1:9" ht="22" customHeight="1" outlineLevel="1" collapsed="1" ns3:dyDescent="0.4">
      <c r="A83" s="56" t="str">
        <f ca="1">"Programme 2 · Workstream 3   —   "&amp;(COUNTIF($G$84:$G$90,"Open")+COUNTIF($G$84:$G$90,"In progress")+COUNTIF($G$84:$G$90,"Blocked"))&amp;" open · "&amp;COUNTIF($I$84:$I$90,"Overdue")&amp;" overdue"</f>
      </c>
      <c r="B83" s="57"/>
      <c r="C83" s="57"/>
      <c r="D83" s="57"/>
      <c r="E83" s="57"/>
      <c r="F83" s="57"/>
      <c r="G83" s="57"/>
      <c r="H83" s="57"/>
      <c r="I83" s="58"/>
    </row>
    <row r="84" spans="1:9" ht="20.05" hidden="1" customHeight="1" outlineLevel="2" ns3:dyDescent="0.4">
      <c r="A84" s="15"/>
      <c r="B84" s="15"/>
      <c r="C84" s="13"/>
      <c r="D84" s="12"/>
      <c r="E84" s="13"/>
      <c r="F84" s="33"/>
      <c r="G84" s="13"/>
      <c r="H84" s="11"/>
      <c r="I84" s="16" t="str">
        <f t="shared" ref="I84:I90" ca="1" si="8">IF(AND(B84&lt;&gt;"",ISNUMBER(F84),OR(G84="Open",G84="In progress",G84="Blocked")),IF(F84&lt;TODAY(),"Overdue",""),"")</f>
      </c>
    </row>
    <row r="85" spans="1:9" ht="20.05" hidden="1" customHeight="1" outlineLevel="2" ns3:dyDescent="0.4">
      <c r="A85" s="15"/>
      <c r="B85" s="15"/>
      <c r="C85" s="13"/>
      <c r="D85" s="12"/>
      <c r="E85" s="13"/>
      <c r="F85" s="33"/>
      <c r="G85" s="13"/>
      <c r="H85" s="11"/>
      <c r="I85" s="16" t="str">
        <f t="shared" ca="1" si="8"/>
      </c>
    </row>
    <row r="86" spans="1:9" ht="20.05" hidden="1" customHeight="1" outlineLevel="2" ns3:dyDescent="0.4">
      <c r="A86" s="15"/>
      <c r="B86" s="15"/>
      <c r="C86" s="13"/>
      <c r="D86" s="12"/>
      <c r="E86" s="13"/>
      <c r="F86" s="33"/>
      <c r="G86" s="13"/>
      <c r="H86" s="11"/>
      <c r="I86" s="16" t="str">
        <f t="shared" ca="1" si="8"/>
      </c>
    </row>
    <row r="87" spans="1:9" ht="20.05" hidden="1" customHeight="1" outlineLevel="2" ns3:dyDescent="0.4">
      <c r="A87" s="15"/>
      <c r="B87" s="15"/>
      <c r="C87" s="13"/>
      <c r="D87" s="12"/>
      <c r="E87" s="13"/>
      <c r="F87" s="33"/>
      <c r="G87" s="13"/>
      <c r="H87" s="11"/>
      <c r="I87" s="16" t="str">
        <f t="shared" ca="1" si="8"/>
      </c>
    </row>
    <row r="88" spans="1:9" ht="20.05" hidden="1" customHeight="1" outlineLevel="2" ns3:dyDescent="0.4">
      <c r="A88" s="15"/>
      <c r="B88" s="15"/>
      <c r="C88" s="13"/>
      <c r="D88" s="12"/>
      <c r="E88" s="13"/>
      <c r="F88" s="33"/>
      <c r="G88" s="13"/>
      <c r="H88" s="11"/>
      <c r="I88" s="16" t="str">
        <f t="shared" ca="1" si="8"/>
      </c>
    </row>
    <row r="89" spans="1:9" ht="20.05" hidden="1" customHeight="1" outlineLevel="2" ns3:dyDescent="0.4">
      <c r="A89" s="15"/>
      <c r="B89" s="15"/>
      <c r="C89" s="13"/>
      <c r="D89" s="12"/>
      <c r="E89" s="13"/>
      <c r="F89" s="33"/>
      <c r="G89" s="13"/>
      <c r="H89" s="11"/>
      <c r="I89" s="16" t="str">
        <f t="shared" ca="1" si="8"/>
      </c>
    </row>
    <row r="90" spans="1:9" ht="20.05" hidden="1" customHeight="1" outlineLevel="2" ns3:dyDescent="0.4">
      <c r="A90" s="15"/>
      <c r="B90" s="15"/>
      <c r="C90" s="13"/>
      <c r="D90" s="12"/>
      <c r="E90" s="13"/>
      <c r="F90" s="33"/>
      <c r="G90" s="13"/>
      <c r="H90" s="11"/>
      <c r="I90" s="16" t="str">
        <f t="shared" ca="1" si="8"/>
      </c>
    </row>
    <row r="91" spans="1:9" ht="22" customHeight="1" outlineLevel="1" collapsed="1" ns3:dyDescent="0.4">
      <c r="A91" s="56" t="str">
        <f ca="1">"Programme 2 · Smaller initiatives   —   "&amp;(COUNTIF($G$92:$G$98,"Open")+COUNTIF($G$92:$G$98,"In progress")+COUNTIF($G$92:$G$98,"Blocked"))&amp;" open · "&amp;COUNTIF($I$92:$I$98,"Overdue")&amp;" overdue"</f>
      </c>
      <c r="B91" s="57"/>
      <c r="C91" s="57"/>
      <c r="D91" s="57"/>
      <c r="E91" s="57"/>
      <c r="F91" s="57"/>
      <c r="G91" s="57"/>
      <c r="H91" s="57"/>
      <c r="I91" s="58"/>
    </row>
    <row r="92" spans="1:9" ht="20.05" hidden="1" customHeight="1" outlineLevel="2" ns3:dyDescent="0.4">
      <c r="A92" s="15"/>
      <c r="B92" s="15"/>
      <c r="C92" s="13"/>
      <c r="D92" s="12"/>
      <c r="E92" s="13"/>
      <c r="F92" s="33"/>
      <c r="G92" s="13"/>
      <c r="H92" s="11"/>
      <c r="I92" s="16" t="str">
        <f t="shared" ref="I92:I98" ca="1" si="9">IF(AND(B92&lt;&gt;"",ISNUMBER(F92),OR(G92="Open",G92="In progress",G92="Blocked")),IF(F92&lt;TODAY(),"Overdue",""),"")</f>
      </c>
    </row>
    <row r="93" spans="1:9" ht="20.05" hidden="1" customHeight="1" outlineLevel="2" ns3:dyDescent="0.4">
      <c r="A93" s="15"/>
      <c r="B93" s="15"/>
      <c r="C93" s="13"/>
      <c r="D93" s="12"/>
      <c r="E93" s="13"/>
      <c r="F93" s="33"/>
      <c r="G93" s="13"/>
      <c r="H93" s="11"/>
      <c r="I93" s="16" t="str">
        <f t="shared" ca="1" si="9"/>
      </c>
    </row>
    <row r="94" spans="1:9" ht="20.05" hidden="1" customHeight="1" outlineLevel="2" ns3:dyDescent="0.4">
      <c r="A94" s="15"/>
      <c r="B94" s="15"/>
      <c r="C94" s="13"/>
      <c r="D94" s="12"/>
      <c r="E94" s="13"/>
      <c r="F94" s="33"/>
      <c r="G94" s="13"/>
      <c r="H94" s="11"/>
      <c r="I94" s="16" t="str">
        <f t="shared" ca="1" si="9"/>
      </c>
    </row>
    <row r="95" spans="1:9" ht="20.05" hidden="1" customHeight="1" outlineLevel="2" ns3:dyDescent="0.4">
      <c r="A95" s="15"/>
      <c r="B95" s="15"/>
      <c r="C95" s="13"/>
      <c r="D95" s="12"/>
      <c r="E95" s="13"/>
      <c r="F95" s="33"/>
      <c r="G95" s="13"/>
      <c r="H95" s="11"/>
      <c r="I95" s="16" t="str">
        <f t="shared" ca="1" si="9"/>
      </c>
    </row>
    <row r="96" spans="1:9" ht="20.05" hidden="1" customHeight="1" outlineLevel="2" ns3:dyDescent="0.4">
      <c r="A96" s="15"/>
      <c r="B96" s="15"/>
      <c r="C96" s="13"/>
      <c r="D96" s="12"/>
      <c r="E96" s="13"/>
      <c r="F96" s="33"/>
      <c r="G96" s="13"/>
      <c r="H96" s="11"/>
      <c r="I96" s="16" t="str">
        <f t="shared" ca="1" si="9"/>
      </c>
    </row>
    <row r="97" spans="1:9" ht="20.05" hidden="1" customHeight="1" outlineLevel="2" ns3:dyDescent="0.4">
      <c r="A97" s="15"/>
      <c r="B97" s="15"/>
      <c r="C97" s="13"/>
      <c r="D97" s="12"/>
      <c r="E97" s="13"/>
      <c r="F97" s="33"/>
      <c r="G97" s="13"/>
      <c r="H97" s="11"/>
      <c r="I97" s="16" t="str">
        <f t="shared" ca="1" si="9"/>
      </c>
    </row>
    <row r="98" spans="1:9" ht="20.05" hidden="1" customHeight="1" outlineLevel="2" ns3:dyDescent="0.4">
      <c r="A98" s="15"/>
      <c r="B98" s="15"/>
      <c r="C98" s="13"/>
      <c r="D98" s="12"/>
      <c r="E98" s="13"/>
      <c r="F98" s="33"/>
      <c r="G98" s="13"/>
      <c r="H98" s="11"/>
      <c r="I98" s="16" t="str">
        <f t="shared" ca="1" si="9"/>
      </c>
    </row>
    <row r="99" spans="1:9" ht="22" customHeight="1" outlineLevel="1" collapsed="1" ns3:dyDescent="0.4">
      <c r="A99" s="53" t="str">
        <f ca="1">"Programme 2 · Other / new initiative   —   "&amp;(COUNTIF($G$100:$G$106,"Open")+COUNTIF($G$100:$G$106,"In progress")+COUNTIF($G$100:$G$106,"Blocked"))&amp;" open · "&amp;COUNTIF($I$100:$I$106,"Overdue")&amp;" overdue"</f>
      </c>
      <c r="B99" s="54"/>
      <c r="C99" s="54"/>
      <c r="D99" s="54"/>
      <c r="E99" s="54"/>
      <c r="F99" s="54"/>
      <c r="G99" s="54"/>
      <c r="H99" s="54"/>
      <c r="I99" s="55"/>
    </row>
    <row r="100" spans="1:9" ht="20.05" hidden="1" customHeight="1" outlineLevel="2" ns3:dyDescent="0.4">
      <c r="A100" s="15"/>
      <c r="B100" s="15"/>
      <c r="C100" s="13"/>
      <c r="D100" s="12"/>
      <c r="E100" s="13"/>
      <c r="F100" s="33"/>
      <c r="G100" s="13"/>
      <c r="H100" s="11"/>
      <c r="I100" s="16" t="str">
        <f t="shared" ref="I100:I106" ca="1" si="10">IF(AND(B100&lt;&gt;"",ISNUMBER(F100),OR(G100="Open",G100="In progress",G100="Blocked")),IF(F100&lt;TODAY(),"Overdue",""),"")</f>
      </c>
    </row>
    <row r="101" spans="1:9" ht="20.05" hidden="1" customHeight="1" outlineLevel="2" ns3:dyDescent="0.4">
      <c r="A101" s="15"/>
      <c r="B101" s="15"/>
      <c r="C101" s="13"/>
      <c r="D101" s="12"/>
      <c r="E101" s="13"/>
      <c r="F101" s="33"/>
      <c r="G101" s="13"/>
      <c r="H101" s="11"/>
      <c r="I101" s="16" t="str">
        <f t="shared" ca="1" si="10"/>
      </c>
    </row>
    <row r="102" spans="1:9" ht="20.05" hidden="1" customHeight="1" outlineLevel="2" ns3:dyDescent="0.4">
      <c r="A102" s="15"/>
      <c r="B102" s="15"/>
      <c r="C102" s="13"/>
      <c r="D102" s="12"/>
      <c r="E102" s="13"/>
      <c r="F102" s="33"/>
      <c r="G102" s="13"/>
      <c r="H102" s="11"/>
      <c r="I102" s="16" t="str">
        <f t="shared" ca="1" si="10"/>
      </c>
    </row>
    <row r="103" spans="1:9" ht="20.05" hidden="1" customHeight="1" outlineLevel="2" ns3:dyDescent="0.4">
      <c r="A103" s="15"/>
      <c r="B103" s="15"/>
      <c r="C103" s="13"/>
      <c r="D103" s="12"/>
      <c r="E103" s="13"/>
      <c r="F103" s="33"/>
      <c r="G103" s="13"/>
      <c r="H103" s="11"/>
      <c r="I103" s="16" t="str">
        <f t="shared" ca="1" si="10"/>
      </c>
    </row>
    <row r="104" spans="1:9" ht="20.05" hidden="1" customHeight="1" outlineLevel="2" ns3:dyDescent="0.4">
      <c r="A104" s="15"/>
      <c r="B104" s="15"/>
      <c r="C104" s="13"/>
      <c r="D104" s="12"/>
      <c r="E104" s="13"/>
      <c r="F104" s="33"/>
      <c r="G104" s="13"/>
      <c r="H104" s="11"/>
      <c r="I104" s="16" t="str">
        <f t="shared" ca="1" si="10"/>
      </c>
    </row>
    <row r="105" spans="1:9" ht="20.05" hidden="1" customHeight="1" outlineLevel="2" ns3:dyDescent="0.4">
      <c r="A105" s="15"/>
      <c r="B105" s="15"/>
      <c r="C105" s="13"/>
      <c r="D105" s="12"/>
      <c r="E105" s="13"/>
      <c r="F105" s="33"/>
      <c r="G105" s="13"/>
      <c r="H105" s="11"/>
      <c r="I105" s="16" t="str">
        <f t="shared" ca="1" si="10"/>
      </c>
    </row>
    <row r="106" spans="1:9" ht="20.05" hidden="1" customHeight="1" outlineLevel="2" ns3:dyDescent="0.4">
      <c r="A106" s="15"/>
      <c r="B106" s="15"/>
      <c r="C106" s="13"/>
      <c r="D106" s="12"/>
      <c r="E106" s="13"/>
      <c r="F106" s="33"/>
      <c r="G106" s="13"/>
      <c r="H106" s="11"/>
      <c r="I106" s="16" t="str">
        <f t="shared" ca="1" si="10"/>
      </c>
    </row>
    <row r="107" spans="1:9" ht="22" customHeight="1" ns3:dyDescent="0.4">
      <c r="A107" s="59" t="str">
        <f ca="1">"Programme Portfolio 3   —   "&amp;(COUNTIF($G$109:$G$134,"Open")+COUNTIF($G$109:$G$134,"In progress")+COUNTIF($G$109:$G$134,"Blocked"))&amp;" open · "&amp;COUNTIF($I$109:$I$134,"Overdue")&amp;" overdue"</f>
      </c>
      <c r="B107" s="60"/>
      <c r="C107" s="60"/>
      <c r="D107" s="60"/>
      <c r="E107" s="60"/>
      <c r="F107" s="60"/>
      <c r="G107" s="60"/>
      <c r="H107" s="60"/>
      <c r="I107" s="61"/>
    </row>
    <row r="108" spans="1:9" ht="22" customHeight="1" outlineLevel="1" ns3:dyDescent="0.4">
      <c r="A108" s="56" t="str">
        <f ca="1">"Programme 3 · Programme-level   —   "&amp;(COUNTIF($G$109:$G$114,"Open")+COUNTIF($G$109:$G$114,"In progress")+COUNTIF($G$109:$G$114,"Blocked"))&amp;" open · "&amp;COUNTIF($I$109:$I$114,"Overdue")&amp;" overdue"</f>
      </c>
      <c r="B108" s="57"/>
      <c r="C108" s="57"/>
      <c r="D108" s="57"/>
      <c r="E108" s="57"/>
      <c r="F108" s="57"/>
      <c r="G108" s="57"/>
      <c r="H108" s="57"/>
      <c r="I108" s="58"/>
    </row>
    <row r="109" spans="1:9" ht="20.05" hidden="1" customHeight="1" outlineLevel="2" ns3:dyDescent="0.4">
      <c r="A109" s="15"/>
      <c r="B109" s="15"/>
      <c r="C109" s="13"/>
      <c r="D109" s="12"/>
      <c r="E109" s="13"/>
      <c r="F109" s="33"/>
      <c r="G109" s="13"/>
      <c r="H109" s="11"/>
      <c r="I109" s="16" t="str">
        <f t="shared" ref="I109:I114" ca="1" si="11">IF(AND(B109&lt;&gt;"",ISNUMBER(F109),OR(G109="Open",G109="In progress",G109="Blocked")),IF(F109&lt;TODAY(),"Overdue",""),"")</f>
      </c>
    </row>
    <row r="110" spans="1:9" ht="20.05" hidden="1" customHeight="1" outlineLevel="2" ns3:dyDescent="0.4">
      <c r="A110" s="15"/>
      <c r="B110" s="15"/>
      <c r="C110" s="13"/>
      <c r="D110" s="12"/>
      <c r="E110" s="13"/>
      <c r="F110" s="33"/>
      <c r="G110" s="13"/>
      <c r="H110" s="11"/>
      <c r="I110" s="16" t="str">
        <f t="shared" ca="1" si="11"/>
      </c>
    </row>
    <row r="111" spans="1:9" ht="20.05" hidden="1" customHeight="1" outlineLevel="2" ns3:dyDescent="0.4">
      <c r="A111" s="15"/>
      <c r="B111" s="15"/>
      <c r="C111" s="13"/>
      <c r="D111" s="12"/>
      <c r="E111" s="13"/>
      <c r="F111" s="33"/>
      <c r="G111" s="13"/>
      <c r="H111" s="11"/>
      <c r="I111" s="16" t="str">
        <f t="shared" ca="1" si="11"/>
      </c>
    </row>
    <row r="112" spans="1:9" ht="20.05" hidden="1" customHeight="1" outlineLevel="2" ns3:dyDescent="0.4">
      <c r="A112" s="15"/>
      <c r="B112" s="15"/>
      <c r="C112" s="13"/>
      <c r="D112" s="12"/>
      <c r="E112" s="13"/>
      <c r="F112" s="33"/>
      <c r="G112" s="13"/>
      <c r="H112" s="11"/>
      <c r="I112" s="16" t="str">
        <f t="shared" ca="1" si="11"/>
      </c>
    </row>
    <row r="113" spans="1:9" ht="20.05" hidden="1" customHeight="1" outlineLevel="2" ns3:dyDescent="0.4">
      <c r="A113" s="15"/>
      <c r="B113" s="15"/>
      <c r="C113" s="13"/>
      <c r="D113" s="12"/>
      <c r="E113" s="13"/>
      <c r="F113" s="33"/>
      <c r="G113" s="13"/>
      <c r="H113" s="11"/>
      <c r="I113" s="16" t="str">
        <f t="shared" ca="1" si="11"/>
      </c>
    </row>
    <row r="114" spans="1:9" ht="20.05" hidden="1" customHeight="1" outlineLevel="2" ns3:dyDescent="0.4">
      <c r="A114" s="15"/>
      <c r="B114" s="15"/>
      <c r="C114" s="13"/>
      <c r="D114" s="12"/>
      <c r="E114" s="13"/>
      <c r="F114" s="33"/>
      <c r="G114" s="13"/>
      <c r="H114" s="11"/>
      <c r="I114" s="16" t="str">
        <f t="shared" ca="1" si="11"/>
      </c>
    </row>
    <row r="115" spans="1:9" ht="22" customHeight="1" outlineLevel="1" collapsed="1" ns3:dyDescent="0.4">
      <c r="A115" s="56" t="str">
        <f ca="1">"Programme 3 · Training &amp; Competence   —   "&amp;(COUNTIF($G$116:$G$125,"Open")+COUNTIF($G$116:$G$125,"In progress")+COUNTIF($G$116:$G$125,"Blocked"))&amp;" open · "&amp;COUNTIF($I$116:$I$125,"Overdue")&amp;" overdue"</f>
      </c>
      <c r="B115" s="57"/>
      <c r="C115" s="57"/>
      <c r="D115" s="57"/>
      <c r="E115" s="57"/>
      <c r="F115" s="57"/>
      <c r="G115" s="57"/>
      <c r="H115" s="57"/>
      <c r="I115" s="58"/>
    </row>
    <row r="116" spans="1:9" ht="20.05" hidden="1" customHeight="1" outlineLevel="2" ns3:dyDescent="0.4">
      <c r="A116" s="15"/>
      <c r="B116" s="15"/>
      <c r="C116" s="13"/>
      <c r="D116" s="12"/>
      <c r="E116" s="13"/>
      <c r="F116" s="33"/>
      <c r="G116" s="13"/>
      <c r="H116" s="11"/>
      <c r="I116" s="16" t="str">
        <f ca="1">IF(AND(B116&lt;&gt;"",ISNUMBER(F116),OR(G116="Open",G116="In progress",G116="Blocked")),IF(F116&lt;TODAY(),"Overdue",""),"")</f>
      </c>
    </row>
    <row r="117" spans="1:9" ht="20.05" hidden="1" customHeight="1" outlineLevel="2" ns3:dyDescent="0.4">
      <c r="A117" s="15"/>
      <c r="B117" s="15"/>
      <c r="C117" s="13"/>
      <c r="D117" s="12"/>
      <c r="E117" s="13"/>
      <c r="F117" s="33"/>
      <c r="G117" s="13"/>
      <c r="H117" s="11"/>
      <c r="I117" s="16" t="str">
        <f ca="1">IF(AND(B117&lt;&gt;"",ISNUMBER(F117),OR(G117="Open",G117="In progress",G117="Blocked")),IF(F117&lt;TODAY(),"Overdue",""),"")</f>
      </c>
    </row>
    <row r="118" spans="1:9" ht="20.05" hidden="1" customHeight="1" outlineLevel="2" ns3:dyDescent="0.4">
      <c r="A118" s="15"/>
      <c r="B118" s="15"/>
      <c r="C118" s="13"/>
      <c r="D118" s="12"/>
      <c r="E118" s="13"/>
      <c r="F118" s="33"/>
      <c r="G118" s="13"/>
      <c r="H118" s="11"/>
      <c r="I118" s="16" t="str">
        <f t="shared" ref="I118:I125" ca="1" si="12">IF(AND(B118&lt;&gt;"",ISNUMBER(F118),OR(G118="Open",G118="In progress",G118="Blocked")),IF(F118&lt;TODAY(),"Overdue",""),"")</f>
      </c>
    </row>
    <row r="119" spans="1:9" ht="20.05" hidden="1" customHeight="1" outlineLevel="2" ns3:dyDescent="0.4">
      <c r="A119" s="15"/>
      <c r="B119" s="15"/>
      <c r="C119" s="13"/>
      <c r="D119" s="12"/>
      <c r="E119" s="13"/>
      <c r="F119" s="33"/>
      <c r="G119" s="13"/>
      <c r="H119" s="11"/>
      <c r="I119" s="16" t="str">
        <f t="shared" ca="1" si="12"/>
      </c>
    </row>
    <row r="120" spans="1:9" ht="20.05" hidden="1" customHeight="1" outlineLevel="2" ns3:dyDescent="0.4">
      <c r="A120" s="15"/>
      <c r="B120" s="15"/>
      <c r="C120" s="13"/>
      <c r="D120" s="12"/>
      <c r="E120" s="13"/>
      <c r="F120" s="33"/>
      <c r="G120" s="13"/>
      <c r="H120" s="11"/>
      <c r="I120" s="16" t="str">
        <f t="shared" ca="1" si="12"/>
      </c>
    </row>
    <row r="121" spans="1:9" ht="20.05" hidden="1" customHeight="1" outlineLevel="2" ns3:dyDescent="0.4">
      <c r="A121" s="15"/>
      <c r="B121" s="15"/>
      <c r="C121" s="13"/>
      <c r="D121" s="12"/>
      <c r="E121" s="13"/>
      <c r="F121" s="33"/>
      <c r="G121" s="13"/>
      <c r="H121" s="11"/>
      <c r="I121" s="16" t="str">
        <f t="shared" ca="1" si="12"/>
      </c>
    </row>
    <row r="122" spans="1:9" ht="20.05" hidden="1" customHeight="1" outlineLevel="2" ns3:dyDescent="0.4">
      <c r="A122" s="15"/>
      <c r="B122" s="15"/>
      <c r="C122" s="13"/>
      <c r="D122" s="12"/>
      <c r="E122" s="13"/>
      <c r="F122" s="33"/>
      <c r="G122" s="13"/>
      <c r="H122" s="11"/>
      <c r="I122" s="16" t="str">
        <f t="shared" ca="1" si="12"/>
      </c>
    </row>
    <row r="123" spans="1:9" ht="20.05" hidden="1" customHeight="1" outlineLevel="2" ns3:dyDescent="0.4">
      <c r="A123" s="15"/>
      <c r="B123" s="15"/>
      <c r="C123" s="13"/>
      <c r="D123" s="12"/>
      <c r="E123" s="13"/>
      <c r="F123" s="33"/>
      <c r="G123" s="13"/>
      <c r="H123" s="11"/>
      <c r="I123" s="16" t="str">
        <f t="shared" ca="1" si="12"/>
      </c>
    </row>
    <row r="124" spans="1:9" ht="20.05" hidden="1" customHeight="1" outlineLevel="2" ns3:dyDescent="0.4">
      <c r="A124" s="15"/>
      <c r="B124" s="15"/>
      <c r="C124" s="13"/>
      <c r="D124" s="12"/>
      <c r="E124" s="13"/>
      <c r="F124" s="33"/>
      <c r="G124" s="13"/>
      <c r="H124" s="11"/>
      <c r="I124" s="16" t="str">
        <f t="shared" ca="1" si="12"/>
      </c>
    </row>
    <row r="125" spans="1:9" ht="20.05" hidden="1" customHeight="1" outlineLevel="2" ns3:dyDescent="0.4">
      <c r="A125" s="15"/>
      <c r="B125" s="15"/>
      <c r="C125" s="13"/>
      <c r="D125" s="12"/>
      <c r="E125" s="13"/>
      <c r="F125" s="33"/>
      <c r="G125" s="13"/>
      <c r="H125" s="11"/>
      <c r="I125" s="16" t="str">
        <f t="shared" ca="1" si="12"/>
      </c>
    </row>
    <row r="126" spans="1:9" ht="22" customHeight="1" outlineLevel="1" collapsed="1" ns3:dyDescent="0.4">
      <c r="A126" s="53" t="str">
        <f ca="1">"Programme 3 · Other / new initiative   —   "&amp;(COUNTIF($G$127:$G$134,"Open")+COUNTIF($G$127:$G$134,"In progress")+COUNTIF($G$127:$G$134,"Blocked"))&amp;" open · "&amp;COUNTIF($I$127:$I$134,"Overdue")&amp;" overdue"</f>
      </c>
      <c r="B126" s="54"/>
      <c r="C126" s="54"/>
      <c r="D126" s="54"/>
      <c r="E126" s="54"/>
      <c r="F126" s="54"/>
      <c r="G126" s="54"/>
      <c r="H126" s="54"/>
      <c r="I126" s="55"/>
    </row>
    <row r="127" spans="1:9" ht="20.05" hidden="1" customHeight="1" outlineLevel="2" ns3:dyDescent="0.4">
      <c r="A127" s="15"/>
      <c r="B127" s="15"/>
      <c r="C127" s="13"/>
      <c r="D127" s="12"/>
      <c r="E127" s="13"/>
      <c r="F127" s="33"/>
      <c r="G127" s="13"/>
      <c r="H127" s="11"/>
      <c r="I127" s="16" t="str">
        <f t="shared" ref="I127:I134" ca="1" si="13">IF(AND(B127&lt;&gt;"",ISNUMBER(F127),OR(G127="Open",G127="In progress",G127="Blocked")),IF(F127&lt;TODAY(),"Overdue",""),"")</f>
      </c>
    </row>
    <row r="128" spans="1:9" ht="20.05" hidden="1" customHeight="1" outlineLevel="2" ns3:dyDescent="0.4">
      <c r="A128" s="15"/>
      <c r="B128" s="15"/>
      <c r="C128" s="13"/>
      <c r="D128" s="12"/>
      <c r="E128" s="13"/>
      <c r="F128" s="33"/>
      <c r="G128" s="13"/>
      <c r="H128" s="11"/>
      <c r="I128" s="16" t="str">
        <f t="shared" ca="1" si="13"/>
      </c>
    </row>
    <row r="129" spans="1:9" ht="20.05" hidden="1" customHeight="1" outlineLevel="2" ns3:dyDescent="0.4">
      <c r="A129" s="15"/>
      <c r="B129" s="15"/>
      <c r="C129" s="13"/>
      <c r="D129" s="12"/>
      <c r="E129" s="13"/>
      <c r="F129" s="33"/>
      <c r="G129" s="13"/>
      <c r="H129" s="11"/>
      <c r="I129" s="16" t="str">
        <f t="shared" ca="1" si="13"/>
      </c>
    </row>
    <row r="130" spans="1:9" ht="20.05" hidden="1" customHeight="1" outlineLevel="2" ns3:dyDescent="0.4">
      <c r="A130" s="15"/>
      <c r="B130" s="15"/>
      <c r="C130" s="13"/>
      <c r="D130" s="12"/>
      <c r="E130" s="13"/>
      <c r="F130" s="33"/>
      <c r="G130" s="13"/>
      <c r="H130" s="11"/>
      <c r="I130" s="16" t="str">
        <f t="shared" ca="1" si="13"/>
      </c>
    </row>
    <row r="131" spans="1:9" ht="20.05" hidden="1" customHeight="1" outlineLevel="2" ns3:dyDescent="0.4">
      <c r="A131" s="15"/>
      <c r="B131" s="15"/>
      <c r="C131" s="13"/>
      <c r="D131" s="12"/>
      <c r="E131" s="13"/>
      <c r="F131" s="33"/>
      <c r="G131" s="13"/>
      <c r="H131" s="11"/>
      <c r="I131" s="16" t="str">
        <f t="shared" ca="1" si="13"/>
      </c>
    </row>
    <row r="132" spans="1:9" ht="20.05" hidden="1" customHeight="1" outlineLevel="2" ns3:dyDescent="0.4">
      <c r="A132" s="15"/>
      <c r="B132" s="15"/>
      <c r="C132" s="13"/>
      <c r="D132" s="12"/>
      <c r="E132" s="13"/>
      <c r="F132" s="33"/>
      <c r="G132" s="13"/>
      <c r="H132" s="11"/>
      <c r="I132" s="16" t="str">
        <f t="shared" ca="1" si="13"/>
      </c>
    </row>
    <row r="133" spans="1:9" ht="20.05" customHeight="1" outlineLevel="2" ns3:dyDescent="0.4">
      <c r="A133" s="15"/>
      <c r="B133" s="15"/>
      <c r="C133" s="13"/>
      <c r="D133" s="12"/>
      <c r="E133" s="13"/>
      <c r="F133" s="33"/>
      <c r="G133" s="13"/>
      <c r="H133" s="11"/>
      <c r="I133" s="16" t="str">
        <f t="shared" ca="1" si="13"/>
      </c>
    </row>
    <row r="134" spans="1:9" ht="20.05" customHeight="1" outlineLevel="2" ns3:dyDescent="0.4">
      <c r="A134" s="15"/>
      <c r="B134" s="15"/>
      <c r="C134" s="13"/>
      <c r="D134" s="12"/>
      <c r="E134" s="13"/>
      <c r="F134" s="33"/>
      <c r="G134" s="13"/>
      <c r="H134" s="11"/>
      <c r="I134" s="16" t="str">
        <f t="shared" ca="1" si="13"/>
      </c>
    </row>
  </sheetData>
  <mergeCells count="17">
    <mergeCell ref="A83:I83"/>
    <mergeCell ref="A107:I107"/>
    <mergeCell ref="A108:I108"/>
    <mergeCell ref="A115:I115"/>
    <mergeCell ref="A126:I126"/>
    <mergeCell ref="A91:I91"/>
    <mergeCell ref="A99:I99"/>
    <mergeCell ref="A45:I45"/>
    <mergeCell ref="A53:I53"/>
    <mergeCell ref="A54:I54"/>
    <mergeCell ref="A61:I61"/>
    <mergeCell ref="A72:I72"/>
    <mergeCell ref="A4:I4"/>
    <mergeCell ref="A5:I5"/>
    <mergeCell ref="A12:I12"/>
    <mergeCell ref="A23:I23"/>
    <mergeCell ref="A34:I34"/>
  </mergeCells>
  <conditionalFormatting sqref="A6:H11 A13:H22 A24:H33 A35:H44 A46:H52 A55:H60 A62:H71 A73:H82 A84:H90 A92:H98 A100:H106 A109:H114 A116:H125 A127:H134 A4:A5 A12 A23 A34 A45 A53:A54 A61 A72 A83 A91 A99 A107:A108 A115 A126">
    <cfRule type="expression" dxfId="2" priority="81">
      <formula>OR($G4="Done",$G4="Cancelled")</formula>
    </cfRule>
  </conditionalFormatting>
  <conditionalFormatting sqref="G6:G11 G13:G22 G24:G33 G35:G44 G46:G52 G55:G60 G62:G71 G73:G82 G84:G90 G92:G98 G100:G106 G109:G114 G116:G125 G127:G134">
    <cfRule type="cellIs" dxfId="1" priority="2" operator="equal">
      <formula>"Blocked"</formula>
    </cfRule>
  </conditionalFormatting>
  <conditionalFormatting sqref="I6:I11 I13:I22 I24:I33 I35:I44 I46:I52 I55:I60 I62:I71 I73:I82 I84:I90 I92:I98 I100:I106 I109:I114 I116:I125 I127:I134">
    <cfRule type="cellIs" dxfId="0" priority="1" operator="equal">
      <formula>"Overdue"</formula>
    </cfRule>
  </conditionalFormatting>
  <dataValidations count="1">
    <dataValidation type="date" operator="greaterThan" allowBlank="1" showErrorMessage="1" error="Enter a date." sqref="F6:F11 F13:F22 F24:F33 F35:F44 F46:F52 F55:F60 F62:F71 F73:F82 F127:F134 F109:F114 F116:F125 F84:F90 F92:F98 F100:F106" ns2:uid="{00000000-0002-0000-0300-000000000000}">
      <formula1>36526</formula1>
    </dataValidation>
  </dataValidations>
  <pageMargins left="0.7" right="0.7" top="0.75" bottom="0.75" header="0.3" footer="0.3"/>
  <extLst>
    <ext uri="{CCE6A557-97BC-4b89-ADB6-D9C93CAAB3DF}">
      <ns4:dataValidations count="3">
        <ns4:dataValidation type="list" ns2:uid="{00000000-0002-0000-0300-000001000000}">
          <ns4:formula1>
            <ns5:f>Lists!$H$2:$H$5</ns5:f>
          </ns4:formula1>
          <ns5:sqref>C6:C11 C127:C134 C116:C125 C109:C114 C100:C106 C92:C98 C84:C90 C73:C82 C62:C71 C55:C60 C46:C52 C35:C44 C24:C33 C13:C22</ns5:sqref>
        </ns4:dataValidation>
        <ns4:dataValidation type="list" ns2:uid="{00000000-0002-0000-0300-00000F000000}">
          <ns4:formula1>
            <ns5:f>Lists!$C$2:$C$4</ns5:f>
          </ns4:formula1>
          <ns5:sqref>E6:E11 E127:E134 E116:E125 E109:E114 E100:E106 E92:E98 E84:E90 E73:E82 E62:E71 E55:E60 E46:E52 E35:E44 E24:E33 E13:E22</ns5:sqref>
        </ns4:dataValidation>
        <ns4:dataValidation type="list" ns2:uid="{00000000-0002-0000-0300-00001D000000}">
          <ns4:formula1>
            <ns5:f>Lists!$D$2:$D$6</ns5:f>
          </ns4:formula1>
          <ns5:sqref>G6:G11 G127:G134 G116:G125 G109:G114 G100:G106 G92:G98 G84:G90 G73:G82 G62:G71 G55:G60 G46:G52 G35:G44 G24:G33 G13:G22</ns5:sqref>
        </ns4:dataValidation>
      </ns4:dataValidations>
    </ext>
  </extLst>
</worksheet>
</file>

<file path=xl/worksheets/sheet6.xml><?xml version="1.0" encoding="utf-8"?>
<worksheet xmlns="http://schemas.openxmlformats.org/spreadsheetml/2006/main" xmlns:ns1="http://schemas.openxmlformats.org/markup-compatibility/2006" xmlns:ns2="http://schemas.microsoft.com/office/spreadsheetml/2014/revision" xmlns:ns3="http://schemas.microsoft.com/office/spreadsheetml/2009/9/ac" ns1:Ignorable="x14ac xr xr2 xr3" ns2:uid="{00000000-0001-0000-0400-000000000000}">
  <dimension ref="A1:H17"/>
  <sheetViews>
    <sheetView workbookViewId="0">
      <selection activeCell="G23" sqref="G23"/>
    </sheetView>
  </sheetViews>
  <sheetFormatPr defaultRowHeight="14.6" ns3:dyDescent="0.4"/>
  <cols>
    <col min="1" max="4" width="24.3046875" style="17" customWidth="1"/>
    <col min="5" max="5" width="26.84375" style="17" customWidth="1"/>
    <col min="6" max="6" width="39.15234375" style="17" customWidth="1"/>
    <col min="7" max="7" width="23.3046875" style="17" customWidth="1"/>
    <col min="8" max="8" width="11.3828125" style="17" bestFit="1" customWidth="1"/>
    <col min="9" max="16384" width="9.23046875" style="17"/>
  </cols>
  <sheetData>
    <row r="1" spans="1:8" ns3:dyDescent="0.4">
      <c r="A1" s="79" t="s">
        <v>55</v>
      </c>
      <c r="B1" s="79" t="s">
        <v>36</v>
      </c>
      <c r="C1" s="79" t="s">
        <v>56</v>
      </c>
      <c r="D1" s="79" t="s">
        <v>57</v>
      </c>
      <c r="E1" s="79" t="s">
        <v>58</v>
      </c>
      <c r="F1" s="79" t="s">
        <v>59</v>
      </c>
      <c r="G1" s="79" t="s">
        <v>60</v>
      </c>
      <c r="H1" s="79" t="s">
        <v>61</v>
      </c>
    </row>
    <row r="2" spans="1:8" ns3:dyDescent="0.4">
      <c r="A2" s="18" t="s">
        <v>26</v>
      </c>
      <c r="B2" s="18" t="s">
        <v>62</v>
      </c>
      <c r="C2" s="18" t="s">
        <v>63</v>
      </c>
      <c r="D2" s="18" t="s">
        <v>39</v>
      </c>
      <c r="E2" s="18" t="s">
        <v>15</v>
      </c>
      <c r="F2" s="19" t="str">
        <f>'Delivery Overview'!R7</f>
      </c>
      <c r="G2" s="18" t="s">
        <v>25</v>
      </c>
      <c r="H2" s="18" t="s">
        <v>48</v>
      </c>
    </row>
    <row r="3" spans="1:8" ns3:dyDescent="0.4">
      <c r="A3" s="18" t="s">
        <v>27</v>
      </c>
      <c r="B3" s="18" t="s">
        <v>64</v>
      </c>
      <c r="C3" s="18" t="s">
        <v>49</v>
      </c>
      <c r="D3" s="18" t="s">
        <v>40</v>
      </c>
      <c r="E3" s="18" t="s">
        <v>16</v>
      </c>
      <c r="F3" s="19" t="str">
        <f>'Delivery Overview'!R8</f>
      </c>
      <c r="G3" s="18" t="s">
        <v>28</v>
      </c>
      <c r="H3" s="18" t="s">
        <v>54</v>
      </c>
    </row>
    <row r="4" spans="1:8" ns3:dyDescent="0.4">
      <c r="A4" s="18" t="s">
        <v>29</v>
      </c>
      <c r="B4" s="18" t="s">
        <v>65</v>
      </c>
      <c r="C4" s="18" t="s">
        <v>51</v>
      </c>
      <c r="D4" s="18" t="s">
        <v>52</v>
      </c>
      <c r="E4" s="18" t="s">
        <v>17</v>
      </c>
      <c r="F4" s="19" t="str">
        <f>'Delivery Overview'!R9</f>
      </c>
      <c r="G4" s="18" t="s">
        <v>30</v>
      </c>
      <c r="H4" s="18" t="s">
        <v>50</v>
      </c>
    </row>
    <row r="5" spans="1:8" ns3:dyDescent="0.4">
      <c r="A5" s="18" t="s">
        <v>66</v>
      </c>
      <c r="B5" s="18" t="s">
        <v>67</v>
      </c>
      <c r="C5" s="20"/>
      <c r="D5" s="18" t="s">
        <v>68</v>
      </c>
      <c r="E5" s="18" t="s">
        <v>69</v>
      </c>
      <c r="F5" s="19" t="str">
        <f>'Delivery Overview'!R10</f>
      </c>
      <c r="G5" s="20"/>
      <c r="H5" s="18" t="s">
        <v>53</v>
      </c>
    </row>
    <row r="6" spans="1:8" ns3:dyDescent="0.4">
      <c r="A6" s="18" t="s">
        <v>70</v>
      </c>
      <c r="B6" s="18" t="s">
        <v>71</v>
      </c>
      <c r="C6" s="20"/>
      <c r="D6" s="18" t="s">
        <v>72</v>
      </c>
      <c r="E6" s="18" t="s">
        <v>19</v>
      </c>
      <c r="F6" s="19" t="s">
        <v>79</v>
      </c>
      <c r="G6" s="20"/>
      <c r="H6" s="20"/>
    </row>
    <row r="7" spans="1:8" ns3:dyDescent="0.4">
      <c r="A7" s="20"/>
      <c r="B7" s="18" t="s">
        <v>73</v>
      </c>
      <c r="C7" s="20"/>
      <c r="D7" s="20"/>
      <c r="E7" s="18" t="s">
        <v>20</v>
      </c>
      <c r="F7" s="19" t="str">
        <f>'Delivery Overview'!R13</f>
      </c>
      <c r="G7" s="20"/>
      <c r="H7" s="20"/>
    </row>
    <row r="8" spans="1:8" ns3:dyDescent="0.4">
      <c r="A8" s="20"/>
      <c r="B8" s="18" t="s">
        <v>74</v>
      </c>
      <c r="C8" s="20"/>
      <c r="D8" s="20"/>
      <c r="E8" s="18" t="s">
        <v>21</v>
      </c>
      <c r="F8" s="19" t="str">
        <f>'Delivery Overview'!R14</f>
      </c>
      <c r="G8" s="20"/>
      <c r="H8" s="20"/>
    </row>
    <row r="9" spans="1:8" ns3:dyDescent="0.4">
      <c r="A9" s="20"/>
      <c r="B9" s="20"/>
      <c r="C9" s="20"/>
      <c r="D9" s="20"/>
      <c r="E9" s="18" t="s">
        <v>22</v>
      </c>
      <c r="F9" s="19" t="s">
        <v>80</v>
      </c>
      <c r="G9" s="20"/>
      <c r="H9" s="20"/>
    </row>
    <row r="10" spans="1:8" ns3:dyDescent="0.4">
      <c r="A10" s="20"/>
      <c r="B10" s="20"/>
      <c r="C10" s="20"/>
      <c r="D10" s="20"/>
      <c r="E10" s="18" t="s">
        <v>23</v>
      </c>
      <c r="F10" s="19" t="s">
        <v>81</v>
      </c>
      <c r="G10" s="20"/>
      <c r="H10" s="20"/>
    </row>
    <row r="11" spans="1:8" ns3:dyDescent="0.4">
      <c r="A11" s="20"/>
      <c r="B11" s="20"/>
      <c r="C11" s="20"/>
      <c r="D11" s="20"/>
      <c r="E11" s="18" t="s">
        <v>24</v>
      </c>
      <c r="F11" s="19" t="str">
        <f>'Delivery Overview'!R18</f>
      </c>
      <c r="G11" s="20"/>
      <c r="H11" s="20"/>
    </row>
    <row r="12" spans="1:8" ns3:dyDescent="0.4">
      <c r="A12" s="20"/>
      <c r="B12" s="20"/>
      <c r="C12" s="20"/>
      <c r="D12" s="20"/>
      <c r="E12" s="20" t="s">
        <v>75</v>
      </c>
      <c r="F12" s="19" t="s">
        <v>82</v>
      </c>
      <c r="G12" s="20"/>
      <c r="H12" s="20"/>
    </row>
    <row r="13" spans="1:8" ns3:dyDescent="0.4">
      <c r="A13" s="20"/>
      <c r="B13" s="20"/>
      <c r="C13" s="20"/>
      <c r="D13" s="20"/>
      <c r="E13" s="20"/>
      <c r="F13" s="19" t="s">
        <v>83</v>
      </c>
      <c r="G13" s="20"/>
      <c r="H13" s="20"/>
    </row>
    <row r="14" spans="1:8" ns3:dyDescent="0.4">
      <c r="A14" s="20"/>
      <c r="B14" s="20"/>
      <c r="C14" s="20"/>
      <c r="D14" s="20"/>
      <c r="E14" s="20"/>
      <c r="F14" s="18" t="s">
        <v>76</v>
      </c>
      <c r="G14" s="20"/>
      <c r="H14" s="20"/>
    </row>
    <row r="15" spans="1:8" ns3:dyDescent="0.4">
      <c r="A15" s="20"/>
      <c r="B15" s="20"/>
      <c r="C15" s="20"/>
      <c r="D15" s="20"/>
      <c r="E15" s="20"/>
      <c r="F15" s="18" t="s">
        <v>77</v>
      </c>
      <c r="G15" s="20"/>
      <c r="H15" s="20"/>
    </row>
    <row r="16" spans="1:8" ns3:dyDescent="0.4">
      <c r="A16" s="20"/>
      <c r="B16" s="20"/>
      <c r="C16" s="20"/>
      <c r="D16" s="20"/>
      <c r="E16" s="20"/>
      <c r="F16" s="18" t="s">
        <v>78</v>
      </c>
      <c r="G16" s="20"/>
      <c r="H16" s="20"/>
    </row>
    <row r="17" spans="1:8" ns3:dyDescent="0.4">
      <c r="A17" s="21"/>
      <c r="B17" s="21"/>
      <c r="C17" s="21"/>
      <c r="D17" s="21"/>
      <c r="E17" s="21"/>
      <c r="F17" s="80" t="s">
        <v>84</v>
      </c>
      <c r="G17" s="21"/>
      <c r="H17" s="21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Programme Overview</vt:lpstr>
      <vt:lpstr>Delivery Overview</vt:lpstr>
      <vt:lpstr>Actions</vt:lpstr>
      <vt:lpstr>Closed Actions</vt:lpstr>
      <vt:lpstr>RAID</vt:lpstr>
      <vt:lpstr>Lists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William McLean</dc:creator>
  <cp:lastModifiedBy>William McLean</cp:lastModifiedBy>
  <dcterms:created xsi:type="dcterms:W3CDTF">2026-09-29T13:01:33Z</dcterms:created>
  <dcterms:modified xsi:type="dcterms:W3CDTF">2026-09-29T13:20:49Z</dcterms:modified>
</cp:coreProperties>
</file>