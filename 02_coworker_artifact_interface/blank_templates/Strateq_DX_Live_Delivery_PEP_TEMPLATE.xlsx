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651295878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REPORT" sheetId="11" r:id="Re6310f8fb0b54af2"/>
    <x:sheet xmlns:r="http://schemas.openxmlformats.org/officeDocument/2006/relationships" name="INITIATIVES" sheetId="2" r:id="Rc33843247e014d62"/>
    <x:sheet xmlns:r="http://schemas.openxmlformats.org/officeDocument/2006/relationships" name="PEP" sheetId="3" r:id="R51979fac3fb446bb"/>
    <x:sheet xmlns:r="http://schemas.openxmlformats.org/officeDocument/2006/relationships" name="COST" sheetId="5" r:id="Re9970810f92c4c86"/>
    <x:sheet xmlns:r="http://schemas.openxmlformats.org/officeDocument/2006/relationships" name="CONTROL LOG" sheetId="4" r:id="R117876df9f2949f5"/>
    <x:sheet xmlns:r="http://schemas.openxmlformats.org/officeDocument/2006/relationships" name="LISTS" sheetId="9" r:id="R986475ff468d4478"/>
    <x:sheet xmlns:r="http://schemas.openxmlformats.org/officeDocument/2006/relationships" name="COWORKER INPUT" sheetId="8" r:id="R632ce341d72d4071"/>
    <x:sheet xmlns:r="http://schemas.openxmlformats.org/officeDocument/2006/relationships" name="Chart Data" sheetId="12" r:id="Rd7cee9d8a18f458e"/>
  </x:sheets>
  <x:definedNames>
    <x:definedName name="List_Confidence">_xlfn._xlws.FILTER(ControlledListsTable[Confidence],ControlledListsTable[Confidence]&lt;&gt;"")</x:definedName>
    <x:definedName name="List_Control_Position">_xlfn._xlws.FILTER(ControlledListsTable[Control Position],ControlledListsTable[Control Position]&lt;&gt;"")</x:definedName>
    <x:definedName name="List_Control_Type">_xlfn._xlws.FILTER(ControlledListsTable[Control Type],ControlledListsTable[Control Type]&lt;&gt;"")</x:definedName>
    <x:definedName name="List_Cost_Group">_xlfn._xlws.FILTER(ControlledListsTable[Cost Group],ControlledListsTable[Cost Group]&lt;&gt;"")</x:definedName>
    <x:definedName name="List_Cost_Type">_xlfn._xlws.FILTER(ControlledListsTable[Cost Type],ControlledListsTable[Cost Type]&lt;&gt;"")</x:definedName>
    <x:definedName name="List_Delivery_Route">_xlfn._xlws.FILTER(ControlledListsTable[Delivery Route],ControlledListsTable[Delivery Route]&lt;&gt;"")</x:definedName>
    <x:definedName name="List_Digital_Lead_Confirmation">_xlfn._xlws.FILTER(ControlledListsTable[Digital Lead Confirmation],ControlledListsTable[Digital Lead Confirmation]&lt;&gt;"")</x:definedName>
    <x:definedName name="List_Health">_xlfn._xlws.FILTER(ControlledListsTable[Health],ControlledListsTable[Health]&lt;&gt;"")</x:definedName>
    <x:definedName name="List_Initiative_ID">_xlfn._xlws.FILTER(ControlledListsTable[Initiative ID],ControlledListsTable[Initiative ID]&lt;&gt;"")</x:definedName>
    <x:definedName name="List_Lifecycle_Status">_xlfn._xlws.FILTER(ControlledListsTable[Lifecycle Status],ControlledListsTable[Lifecycle Status]&lt;&gt;"")</x:definedName>
    <x:definedName name="List_PEP_Level">_xlfn._xlws.FILTER(ControlledListsTable[PEP Level],ControlledListsTable[PEP Level]&lt;&gt;"")</x:definedName>
    <x:definedName name="List_PEP_Status">_xlfn._xlws.FILTER(ControlledListsTable[PEP Status],ControlledListsTable[PEP Status]&lt;&gt;"")</x:definedName>
    <x:definedName name="List_Yes_No">_xlfn._xlws.FILTER(ControlledListsTable[Yes / No],ControlledListsTable[Yes / No]&lt;&gt;"")</x:definedName>
    <x:definedName name="PEP_Initiative_Parents">_xlfn.ANCHORARRAY(LISTS!$N$5)</x:definedName>
    <x:definedName name="PEP_Milestone_Parents">_xlfn.ANCHORARRAY(LISTS!$O$5)</x:definedName>
    <x:definedName name="PEP_No_Parents">LISTS!$P$5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<x:sst xmlns:x="http://schemas.openxmlformats.org/spreadsheetml/2006/main">
  <x:si>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DIGITAL PORTFOLIO REPORT</x:t>
  </x:si>
  <x:si>
    <x:t xml:space="preserve">TOTAL APPROVED BUDGET</x:t>
  </x:si>
  <x:si>
    <x:t xml:space="preserve">ACTUAL SPEND</x:t>
  </x:si>
  <x:si>
    <x:t xml:space="preserve">AVERAGE PLANNED</x:t>
  </x:si>
  <x:si>
    <x:t xml:space="preserve">AVERAGE ACTUAL</x:t>
  </x:si>
  <x:si>
    <x:t xml:space="preserve">AT RISK / BLOCKED</x:t>
  </x:si>
  <x:si>
    <x:t xml:space="preserve">Initiative ID</x:t>
  </x:si>
  <x:si>
    <x:t xml:space="preserve">Initiative</x:t>
  </x:si>
  <x:si>
    <x:t xml:space="preserve">Status</x:t>
  </x:si>
  <x:si>
    <x:t xml:space="preserve">Health</x:t>
  </x:si>
  <x:si>
    <x:t xml:space="preserve">Baseline finish</x:t>
  </x:si>
  <x:si>
    <x:t xml:space="preserve">Forecast finish</x:t>
  </x:si>
  <x:si>
    <x:t xml:space="preserve">Planned %</x:t>
  </x:si>
  <x:si>
    <x:t xml:space="preserve">Actual %</x:t>
  </x:si>
  <x:si>
    <x:t xml:space="preserve">Variance</x:t>
  </x:si>
  <x:si>
    <x:t xml:space="preserve">Original budget</x:t>
  </x:si>
  <x:si>
    <x:t xml:space="preserve">Approved change</x:t>
  </x:si>
  <x:si>
    <x:t xml:space="preserve">Total budget</x:t>
  </x:si>
  <x:si>
    <x:t xml:space="preserve">Actual spend</x:t>
  </x:si>
  <x:si>
    <x:t xml:space="preserve">Spend %</x:t>
  </x:si>
  <x:si>
    <x:t xml:space="preserve">Remaining budget</x:t>
  </x:si>
  <x:si>
    <x:t xml:space="preserve">Productivity</x:t>
  </x:si>
  <x:si>
    <x:t xml:space="preserve">Illustrative example data for template demonstration; replace source inputs to refresh this report automatically.</x:t>
  </x:si>
  <x:si>
    <x:t xml:space="preserve">EXECUTIVE INSIGHTS</x:t>
  </x:si>
  <x:si>
    <x:t xml:space="preserve">EXECUTIVE ATTENTION</x:t>
  </x:si>
  <x:si>
    <x:t xml:space="preserve">INITIATIVE CONTROL</x:t>
  </x:si>
  <x:si>
    <x:t xml:space="preserve">Initiative title</x:t>
  </x:si>
  <x:si>
    <x:t xml:space="preserve">Sponsor</x:t>
  </x:si>
  <x:si>
    <x:t xml:space="preserve">Digital Champion</x:t>
  </x:si>
  <x:si>
    <x:t xml:space="preserve">Delivery route</x:t>
  </x:si>
  <x:si>
    <x:t xml:space="preserve">Lifecycle Status</x:t>
  </x:si>
  <x:si>
    <x:t xml:space="preserve">Proposed Status / Health change</x:t>
  </x:si>
  <x:si>
    <x:t xml:space="preserve">Digital Lead confirmation</x:t>
  </x:si>
  <x:si>
    <x:t xml:space="preserve">DIG-001</x:t>
  </x:si>
  <x:si>
    <x:t xml:space="preserve">Customer Portal Redesign</x:t>
  </x:si>
  <x:si>
    <x:t xml:space="preserve">Sarah Bennett</x:t>
  </x:si>
  <x:si>
    <x:t xml:space="preserve">Amir Khan</x:t>
  </x:si>
  <x:si>
    <x:t xml:space="preserve">In Delivery</x:t>
  </x:si>
  <x:si>
    <x:t xml:space="preserve">On Track</x:t>
  </x:si>
  <x:si>
    <x:t xml:space="preserve">Confirmed</x:t>
  </x:si>
  <x:si>
    <x:t xml:space="preserve">DIG-002</x:t>
  </x:si>
  <x:si>
    <x:t xml:space="preserve">ERP Finance Migration</x:t>
  </x:si>
  <x:si>
    <x:t xml:space="preserve">James Wilson</x:t>
  </x:si>
  <x:si>
    <x:t xml:space="preserve">Priya Shah</x:t>
  </x:si>
  <x:si>
    <x:t xml:space="preserve">At Risk (Date)</x:t>
  </x:si>
  <x:si>
    <x:t xml:space="preserve">Move forecast finish to 15/01/2027</x:t>
  </x:si>
  <x:si>
    <x:t xml:space="preserve">Pending</x:t>
  </x:si>
  <x:si>
    <x:t xml:space="preserve">DIG-003</x:t>
  </x:si>
  <x:si>
    <x:t xml:space="preserve">Cyber Security Uplift</x:t>
  </x:si>
  <x:si>
    <x:t xml:space="preserve">Helen Brooks</x:t>
  </x:si>
  <x:si>
    <x:t xml:space="preserve">Daniel Okafor</x:t>
  </x:si>
  <x:si>
    <x:t xml:space="preserve">DIG-004</x:t>
  </x:si>
  <x:si>
    <x:t xml:space="preserve">Data Platform Modernisation</x:t>
  </x:si>
  <x:si>
    <x:t xml:space="preserve">Mark Evans</x:t>
  </x:si>
  <x:si>
    <x:t xml:space="preserve">Sofia Rossi</x:t>
  </x:si>
  <x:si>
    <x:t xml:space="preserve">At Risk (Budget)</x:t>
  </x:si>
  <x:si>
    <x:t xml:space="preserve">Increase budget by £120,000</x:t>
  </x:si>
  <x:si>
    <x:t xml:space="preserve">DIG-005</x:t>
  </x:si>
  <x:si>
    <x:t xml:space="preserve">Mobile Workforce App</x:t>
  </x:si>
  <x:si>
    <x:t xml:space="preserve">Laura Chen</x:t>
  </x:si>
  <x:si>
    <x:t xml:space="preserve">Operational / Live</x:t>
  </x:si>
  <x:si>
    <x:t xml:space="preserve">Live</x:t>
  </x:si>
  <x:si>
    <x:t xml:space="preserve">DIG-006</x:t>
  </x:si>
  <x:si>
    <x:t xml:space="preserve">CRM Consolidation</x:t>
  </x:si>
  <x:si>
    <x:t xml:space="preserve">Robert Hayes</x:t>
  </x:si>
  <x:si>
    <x:t xml:space="preserve">Move forecast finish to 12/02/2027</x:t>
  </x:si>
  <x:si>
    <x:t xml:space="preserve">DIG-007</x:t>
  </x:si>
  <x:si>
    <x:t xml:space="preserve">Cloud Landing Zone</x:t>
  </x:si>
  <x:si>
    <x:t xml:space="preserve">DIG-008</x:t>
  </x:si>
  <x:si>
    <x:t xml:space="preserve">Digital Records Programme</x:t>
  </x:si>
  <x:si>
    <x:t xml:space="preserve">Mobilising</x:t>
  </x:si>
  <x:si>
    <x:t xml:space="preserve">DIG-009</x:t>
  </x:si>
  <x:si>
    <x:t xml:space="preserve">Service Desk Automation</x:t>
  </x:si>
  <x:si>
    <x:t xml:space="preserve">DIG-010</x:t>
  </x:si>
  <x:si>
    <x:t xml:space="preserve">Procurement Analytics</x:t>
  </x:si>
  <x:si>
    <x:t xml:space="preserve">Blocked</x:t>
  </x:si>
  <x:si>
    <x:t xml:space="preserve">Change health to Blocked</x:t>
  </x:si>
  <x:si>
    <x:t xml:space="preserve">DIG-011</x:t>
  </x:si>
  <x:si>
    <x:t xml:space="preserve">Identity Access Management</x:t>
  </x:si>
  <x:si>
    <x:t xml:space="preserve">DIG-012</x:t>
  </x:si>
  <x:si>
    <x:t xml:space="preserve">Legacy Application Decommission</x:t>
  </x:si>
  <x:si>
    <x:t xml:space="preserve">Paused (On Hold)</x:t>
  </x:si>
  <x:si>
    <x:t xml:space="preserve">Cancelled / Deferred</x:t>
  </x:si>
  <x:si>
    <x:t xml:space="preserve">Pause pending archive approval</x:t>
  </x:si>
  <x:si>
    <x:t xml:space="preserve">PROJECT EXECUTION PLAN</x:t>
  </x:si>
  <x:si>
    <x:t xml:space="preserve">Planned progress is calculated automatically from baseline start and finish dates using the reporting date. Enter actual progress on activity and variation rows.</x:t>
  </x:si>
  <x:si>
    <x:t xml:space="preserve">Item ID</x:t>
  </x:si>
  <x:si>
    <x:t xml:space="preserve">Level</x:t>
  </x:si>
  <x:si>
    <x:t xml:space="preserve">Parent ID</x:t>
  </x:si>
  <x:si>
    <x:t xml:space="preserve">Deliverable / activity</x:t>
  </x:si>
  <x:si>
    <x:t xml:space="preserve">Owner</x:t>
  </x:si>
  <x:si>
    <x:t xml:space="preserve">Baseline start</x:t>
  </x:si>
  <x:si>
    <x:t xml:space="preserve">Actual % input</x:t>
  </x:si>
  <x:si>
    <x:t xml:space="preserve">Planned % (auto)</x:t>
  </x:si>
  <x:si>
    <x:t xml:space="preserve">Schedule flag</x:t>
  </x:si>
  <x:si>
    <x:t xml:space="preserve">Blocker</x:t>
  </x:si>
  <x:si>
    <x:t xml:space="preserve">Hierarchy check</x:t>
  </x:si>
  <x:si>
    <x:t xml:space="preserve">Milestone</x:t>
  </x:si>
  <x:si>
    <x:t xml:space="preserve">Deliver solution and transition</x:t>
  </x:si>
  <x:si>
    <x:t xml:space="preserve">Activity</x:t>
  </x:si>
  <x:si>
    <x:t xml:space="preserve">Discovery and service design</x:t>
  </x:si>
  <x:si>
    <x:t xml:space="preserve">Portal build and integration</x:t>
  </x:si>
  <x:si>
    <x:t xml:space="preserve">User acceptance and launch</x:t>
  </x:si>
  <x:si>
    <x:t xml:space="preserve">Legacy data quality delaying migration</x:t>
  </x:si>
  <x:si>
    <x:t xml:space="preserve">Chart of accounts design</x:t>
  </x:si>
  <x:si>
    <x:t xml:space="preserve">Data migration and reconciliation</x:t>
  </x:si>
  <x:si>
    <x:t xml:space="preserve">Cutover and training</x:t>
  </x:si>
  <x:si>
    <x:t xml:space="preserve">Security controls assessment</x:t>
  </x:si>
  <x:si>
    <x:t xml:space="preserve">Endpoint and network hardening</x:t>
  </x:si>
  <x:si>
    <x:t xml:space="preserve">Penetration test and remediation</x:t>
  </x:si>
  <x:si>
    <x:t xml:space="preserve">Specialist resource cost above plan</x:t>
  </x:si>
  <x:si>
    <x:t xml:space="preserve">Target architecture</x:t>
  </x:si>
  <x:si>
    <x:t xml:space="preserve">Cloud data pipelines</x:t>
  </x:si>
  <x:si>
    <x:t xml:space="preserve">Analytics migration</x:t>
  </x:si>
  <x:si>
    <x:t xml:space="preserve">Mobile experience design</x:t>
  </x:si>
  <x:si>
    <x:t xml:space="preserve">Application development</x:t>
  </x:si>
  <x:si>
    <x:t xml:space="preserve">Deployment and adoption</x:t>
  </x:si>
  <x:si>
    <x:t xml:space="preserve">Supplier integration capacity constrained</x:t>
  </x:si>
  <x:si>
    <x:t xml:space="preserve">Customer data model</x:t>
  </x:si>
  <x:si>
    <x:t xml:space="preserve">Platform configuration</x:t>
  </x:si>
  <x:si>
    <x:t xml:space="preserve">Migration and business rollout</x:t>
  </x:si>
  <x:si>
    <x:t xml:space="preserve">Network and identity foundation</x:t>
  </x:si>
  <x:si>
    <x:t xml:space="preserve">Security guardrails</x:t>
  </x:si>
  <x:si>
    <x:t xml:space="preserve">Operational handover</x:t>
  </x:si>
  <x:si>
    <x:t xml:space="preserve">Records discovery</x:t>
  </x:si>
  <x:si>
    <x:t xml:space="preserve">Retention model design</x:t>
  </x:si>
  <x:si>
    <x:t xml:space="preserve">Repository implementation</x:t>
  </x:si>
  <x:si>
    <x:t xml:space="preserve">Process and demand analysis</x:t>
  </x:si>
  <x:si>
    <x:t xml:space="preserve">Workflow automation</x:t>
  </x:si>
  <x:si>
    <x:t xml:space="preserve">Knowledge base rollout</x:t>
  </x:si>
  <x:si>
    <x:t xml:space="preserve">Source-system access not approved</x:t>
  </x:si>
  <x:si>
    <x:t xml:space="preserve">Spend data ingestion</x:t>
  </x:si>
  <x:si>
    <x:t xml:space="preserve">Supplier dashboard build</x:t>
  </x:si>
  <x:si>
    <x:t xml:space="preserve">Business validation</x:t>
  </x:si>
  <x:si>
    <x:t xml:space="preserve">Role catalogue design</x:t>
  </x:si>
  <x:si>
    <x:t xml:space="preserve">Access workflow implementation</x:t>
  </x:si>
  <x:si>
    <x:t xml:space="preserve">Control testing</x:t>
  </x:si>
  <x:si>
    <x:t xml:space="preserve">Archive approval pending</x:t>
  </x:si>
  <x:si>
    <x:t xml:space="preserve">Application dependency mapping</x:t>
  </x:si>
  <x:si>
    <x:t xml:space="preserve">Data archive and retention</x:t>
  </x:si>
  <x:si>
    <x:t xml:space="preserve">Shutdown and assurance</x:t>
  </x:si>
  <x:si>
    <x:t xml:space="preserve">DIGITAL COST</x:t>
  </x:si>
  <x:si>
    <x:t xml:space="preserve">Cost group</x:t>
  </x:si>
  <x:si>
    <x:t xml:space="preserve">Cost type</x:t>
  </x:si>
  <x:si>
    <x:t xml:space="preserve">Original budget (£)</x:t>
  </x:si>
  <x:si>
    <x:t xml:space="preserve">Additional Approved Budget</x:t>
  </x:si>
  <x:si>
    <x:t xml:space="preserve">Reporting Year</x:t>
  </x:si>
  <x:si>
    <x:t xml:space="preserve">Actual Cost - Jan</x:t>
  </x:si>
  <x:si>
    <x:t xml:space="preserve">Actual Cost - Feb</x:t>
  </x:si>
  <x:si>
    <x:t xml:space="preserve">Actual Cost - Mar</x:t>
  </x:si>
  <x:si>
    <x:t xml:space="preserve">Actual Cost - Apr</x:t>
  </x:si>
  <x:si>
    <x:t xml:space="preserve">Actual Cost - May</x:t>
  </x:si>
  <x:si>
    <x:t xml:space="preserve">Actual Cost - Jun</x:t>
  </x:si>
  <x:si>
    <x:t xml:space="preserve">Actual Cost - Jul</x:t>
  </x:si>
  <x:si>
    <x:t xml:space="preserve">Actual Cost - Aug</x:t>
  </x:si>
  <x:si>
    <x:t xml:space="preserve">Actual Cost - Sept</x:t>
  </x:si>
  <x:si>
    <x:t xml:space="preserve">Actual Cost - Oct</x:t>
  </x:si>
  <x:si>
    <x:t xml:space="preserve">Actual Cost - Nov</x:t>
  </x:si>
  <x:si>
    <x:t xml:space="preserve">Actual Cost - Dec</x:t>
  </x:si>
  <x:si>
    <x:t xml:space="preserve">Actual Cost - Total</x:t>
  </x:si>
  <x:si>
    <x:t xml:space="preserve">Digital Programme Management</x:t>
  </x:si>
  <x:si>
    <x:t xml:space="preserve">Labour</x:t>
  </x:si>
  <x:si>
    <x:t xml:space="preserve">Digital CTRs</x:t>
  </x:si>
  <x:si>
    <x:t xml:space="preserve">Fees</x:t>
  </x:si>
  <x:si>
    <x:t xml:space="preserve">DELIVERY CONTROL LOG</x:t>
  </x:si>
  <x:si>
    <x:t xml:space="preserve">Control ID</x:t>
  </x:si>
  <x:si>
    <x:t xml:space="preserve">Type</x:t>
  </x:si>
  <x:si>
    <x:t xml:space="preserve">Description</x:t>
  </x:si>
  <x:si>
    <x:t xml:space="preserve">Raised date</x:t>
  </x:si>
  <x:si>
    <x:t xml:space="preserve">Due / review date</x:t>
  </x:si>
  <x:si>
    <x:t xml:space="preserve">Position</x:t>
  </x:si>
  <x:si>
    <x:t xml:space="preserve">Risk</x:t>
  </x:si>
  <x:si>
    <x:t xml:space="preserve">Data migration quality may delay reconciliation</x:t>
  </x:si>
  <x:si>
    <x:t xml:space="preserve">Escalated</x:t>
  </x:si>
  <x:si>
    <x:t xml:space="preserve">Action</x:t>
  </x:si>
  <x:si>
    <x:t xml:space="preserve">Complete cleansing of supplier master records</x:t>
  </x:si>
  <x:si>
    <x:t xml:space="preserve">Finance Data Lead</x:t>
  </x:si>
  <x:si>
    <x:t xml:space="preserve">Open</x:t>
  </x:si>
  <x:si>
    <x:t xml:space="preserve">Evidence requirement</x:t>
  </x:si>
  <x:si>
    <x:t xml:space="preserve">Provide penetration-test closure evidence</x:t>
  </x:si>
  <x:si>
    <x:t xml:space="preserve">Monitoring</x:t>
  </x:si>
  <x:si>
    <x:t xml:space="preserve">Specialist engineering rates exceed business case</x:t>
  </x:si>
  <x:si>
    <x:t xml:space="preserve">Decision</x:t>
  </x:si>
  <x:si>
    <x:t xml:space="preserve">Approve additional platform budget</x:t>
  </x:si>
  <x:si>
    <x:t xml:space="preserve">Dependency</x:t>
  </x:si>
  <x:si>
    <x:t xml:space="preserve">Supplier interface team availability</x:t>
  </x:si>
  <x:si>
    <x:t xml:space="preserve">Agree revised phased migration plan</x:t>
  </x:si>
  <x:si>
    <x:t xml:space="preserve">CRM Product Owner</x:t>
  </x:si>
  <x:si>
    <x:t xml:space="preserve">Assumption</x:t>
  </x:si>
  <x:si>
    <x:t xml:space="preserve">Retention schedules approved by business areas</x:t>
  </x:si>
  <x:si>
    <x:t xml:space="preserve">Complete knowledge article review</x:t>
  </x:si>
  <x:si>
    <x:t xml:space="preserve">Service Desk Lead</x:t>
  </x:si>
  <x:si>
    <x:t xml:space="preserve">Issue</x:t>
  </x:si>
  <x:si>
    <x:t xml:space="preserve">Procurement source-system access unavailable</x:t>
  </x:si>
  <x:si>
    <x:t xml:space="preserve">Approve interim manual data extract</x:t>
  </x:si>
  <x:si>
    <x:t xml:space="preserve">Role catalogue sign-off may slip</x:t>
  </x:si>
  <x:si>
    <x:t xml:space="preserve">Archive solution approval outstanding</x:t>
  </x:si>
  <x:si>
    <x:t xml:space="preserve">Confirm restart or closure route</x:t>
  </x:si>
  <x:si>
    <x:t xml:space="preserve">CONTROLLED LISTS</x:t>
  </x:si>
  <x:si>
    <x:t xml:space="preserve">Control Position</x:t>
  </x:si>
  <x:si>
    <x:t xml:space="preserve">Delivery Route</x:t>
  </x:si>
  <x:si>
    <x:t xml:space="preserve">PEP Status</x:t>
  </x:si>
  <x:si>
    <x:t xml:space="preserve">Yes / No</x:t>
  </x:si>
  <x:si>
    <x:t xml:space="preserve">Digital Lead Confirmation</x:t>
  </x:si>
  <x:si>
    <x:t xml:space="preserve">PEP Level</x:t>
  </x:si>
  <x:si>
    <x:t xml:space="preserve">Confidence</x:t>
  </x:si>
  <x:si>
    <x:t xml:space="preserve">Control Type</x:t>
  </x:si>
  <x:si>
    <x:t xml:space="preserve">Cost Group</x:t>
  </x:si>
  <x:si>
    <x:t xml:space="preserve">Cost Type</x:t>
  </x:si>
  <x:si>
    <x:t xml:space="preserve">PEP Initiative Parent IDs</x:t>
  </x:si>
  <x:si>
    <x:t xml:space="preserve">PEP Milestone Parent IDs</x:t>
  </x:si>
  <x:si>
    <x:t xml:space="preserve">PEP No Parent</x:t>
  </x:si>
  <x:si>
    <x:t xml:space="preserve">Open for updates</x:t>
  </x:si>
  <x:si>
    <x:t xml:space="preserve">Yes</x:t>
  </x:si>
  <x:si>
    <x:t xml:space="preserve">High</x:t>
  </x:si>
  <x:si>
    <x:t xml:space="preserve">Frozen for reporting</x:t>
  </x:si>
  <x:si>
    <x:t xml:space="preserve">No</x:t>
  </x:si>
  <x:si>
    <x:t xml:space="preserve">Medium</x:t>
  </x:si>
  <x:si>
    <x:t xml:space="preserve">Approved snapshot</x:t>
  </x:si>
  <x:si>
    <x:t xml:space="preserve">Rejected</x:t>
  </x:si>
  <x:si>
    <x:t xml:space="preserve">Low</x:t>
  </x:si>
  <x:si>
    <x:t xml:space="preserve">Other</x:t>
  </x:si>
  <x:si>
    <x:t xml:space="preserve">Closed</x:t>
  </x:si>
  <x:si>
    <x:t xml:space="preserve">Superseded</x:t>
  </x:si>
  <x:si>
    <x:t xml:space="preserve">Not required</x:t>
  </x:si>
  <x:si>
    <x:t xml:space="preserve">Variation</x:t>
  </x:si>
  <x:si>
    <x:t xml:space="preserve">Pending confirmation</x:t>
  </x:si>
  <x:si>
    <x:t xml:space="preserve">Change</x:t>
  </x:si>
  <x:si>
    <x:t xml:space="preserve">Reporting date</x:t>
  </x:si>
  <x:si>
    <x:t xml:space="preserve">Late items</x:t>
  </x:si>
  <x:si>
    <x:t xml:space="preserve">Open controls</x:t>
  </x:si>
  <x:si>
    <x:t xml:space="preserve">PEP hierarchy issues</x:t>
  </x:si>
  <x:si>
    <x:t xml:space="preserve">Proposed change</x:t>
  </x:si>
  <x:si>
    <x:t xml:space="preserve">Original labour budget</x:t>
  </x:si>
  <x:si>
    <x:t xml:space="preserve">Approved labour change</x:t>
  </x:si>
  <x:si>
    <x:t xml:space="preserve">Approved labour budget</x:t>
  </x:si>
  <x:si>
    <x:t xml:space="preserve">Actual labour cost</x:t>
  </x:si>
  <x:si>
    <x:t xml:space="preserve">Labour variance</x:t>
  </x:si>
  <x:si>
    <x:t xml:space="preserve">Labour % spent</x:t>
  </x:si>
  <x:si>
    <x:t xml:space="preserve">Original fees budget</x:t>
  </x:si>
  <x:si>
    <x:t xml:space="preserve">Approved fees change</x:t>
  </x:si>
  <x:si>
    <x:t xml:space="preserve">Approved fees budget</x:t>
  </x:si>
  <x:si>
    <x:t xml:space="preserve">Actual fees cost</x:t>
  </x:si>
  <x:si>
    <x:t xml:space="preserve">Fees variance</x:t>
  </x:si>
  <x:si>
    <x:t xml:space="preserve">Productivity ratio</x:t>
  </x:si>
  <x:si>
    <x:t xml:space="preserve">Count</x:t>
  </x:si>
</x:sst>
</file>

<file path=xl/styles.xml><?xml version="1.0" encoding="utf-8"?>
<x:styleSheet xmlns:x="http://schemas.openxmlformats.org/spreadsheetml/2006/main">
  <x:numFmts count="10">
    <x:numFmt numFmtId="164" formatCode="\£#,##0;[Red]\-\£#,##0;\–"/>
    <x:numFmt numFmtId="166" formatCode="0.0%"/>
    <x:numFmt numFmtId="167" formatCode="0.0"/>
    <x:numFmt numFmtId="169" formatCode="0.00\x"/>
    <x:numFmt numFmtId="170" formatCode="\£#,##0"/>
    <x:numFmt numFmtId="200" formatCode="dd/mm/yyyy"/>
    <x:numFmt numFmtId="201" formatCode="£#,##0;[Red]-£#,##0;–"/>
    <x:numFmt numFmtId="202" formatCode="0.00x"/>
    <x:numFmt numFmtId="203" formatCode="0.0&quot;%&quot;"/>
    <x:numFmt numFmtId="204" formatCode="0.00"/>
  </x:numFmts>
  <x:fonts count="16">
    <x:font>
      <x:sz val="11"/>
      <x:name val="Carlito"/>
    </x:font>
    <x:font>
      <x:sz val="10"/>
      <x:name val="Aptos"/>
    </x:font>
    <x:font>
      <x:sz val="10"/>
      <x:color rgb="FF243447"/>
      <x:name val="Aptos"/>
    </x:font>
    <x:font>
      <x:b/>
      <x:sz val="20"/>
      <x:color rgb="FFFFFFFF"/>
      <x:name val="Aptos"/>
    </x:font>
    <x:font>
      <x:b/>
      <x:sz val="10"/>
      <x:color rgb="FF17365D"/>
      <x:name val="Aptos"/>
    </x:font>
    <x:font>
      <x:sz val="11"/>
      <x:color rgb="FF000000"/>
      <x:name val="Carlito"/>
    </x:font>
    <x:font>
      <x:b/>
      <x:sz val="20"/>
      <x:color rgb="FF000000"/>
      <x:name val="Aptos"/>
    </x:font>
    <x:font>
      <x:i/>
      <x:sz val="9"/>
      <x:color rgb="FF667085"/>
      <x:name val="Aptos"/>
    </x:font>
    <x:font>
      <x:b/>
      <x:sz val="11"/>
      <x:color rgb="FF17365D"/>
      <x:name val="Carlito"/>
    </x:font>
    <x:font>
      <x:i/>
      <x:sz val="10"/>
      <x:color rgb="FF526273"/>
      <x:name val="Aptos"/>
    </x:font>
    <x:font>
      <x:b/>
      <x:sz val="18"/>
      <x:color rgb="FF17365D"/>
      <x:name val="Aptos"/>
    </x:font>
    <x:font>
      <x:i/>
      <x:sz val="11"/>
      <x:color rgb="FF6B5300"/>
      <x:name val="Carlito"/>
    </x:font>
    <x:font>
      <x:b/>
      <x:sz val="14"/>
      <x:color rgb="FFFFFFFF"/>
      <x:name val="Carlito"/>
    </x:font>
    <x:font>
      <x:sz val="12"/>
      <x:color rgb="FF243447"/>
      <x:name val="Carlito"/>
    </x:font>
    <x:font>
      <x:b/>
      <x:sz val="10"/>
      <x:color rgb="FF1F4E79"/>
      <x:name val="Aptos"/>
    </x:font>
    <x:font>
      <x:sz val="10"/>
      <x:color rgb="FF1F2937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7FA"/>
      </x:patternFill>
    </x:fill>
    <x:fill>
      <x:patternFill patternType="solid">
        <x:fgColor rgb="FFFFF4CE"/>
      </x:patternFill>
    </x:fill>
    <x:fill>
      <x:patternFill patternType="solid">
        <x:fgColor rgb="FFD9E4F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4">
    <x:border/>
    <x:border>
      <x:bottom style="medium">
        <x:color rgb="FF16858B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7F8FA4"/>
      </x:bottom>
    </x:border>
    <x:border>
      <x:left style="thin">
        <x:color rgb="FFFFFFFF"/>
      </x:left>
      <x:right style="thin">
        <x:color rgb="FFFFFFFF"/>
      </x:right>
      <x:bottom style="thin">
        <x:color rgb="FF7F8FA4"/>
      </x:bottom>
    </x:border>
    <x:border>
      <x:left style="thin">
        <x:color rgb="FFFFFFFF"/>
      </x:left>
      <x:top style="thin">
        <x:color rgb="FFFFFFFF"/>
      </x:top>
      <x:bottom style="thin">
        <x:color rgb="FF7F8FA4"/>
      </x:bottom>
    </x:border>
    <x:border>
      <x:top style="thin">
        <x:color rgb="FFD0D5DD"/>
      </x:top>
      <x:bottom style="hair">
        <x:color rgb="FFE1E6ED"/>
      </x:bottom>
    </x:border>
    <x:border>
      <x:bottom style="hair">
        <x:color rgb="FFE1E6ED"/>
      </x:bottom>
    </x:border>
    <x:border>
      <x:top style="thin">
        <x:color rgb="FFFFFFFF"/>
      </x:top>
      <x:bottom style="thin">
        <x:color rgb="FF7F8FA4"/>
      </x:bottom>
    </x:border>
    <x:border>
      <x:right style="thin">
        <x:color rgb="FFFFFFFF"/>
      </x:right>
      <x:top style="thin">
        <x:color rgb="FFFFFFFF"/>
      </x:top>
      <x:bottom style="thin">
        <x:color rgb="FF7F8FA4"/>
      </x:bottom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28">
    <x:xf numFmtId="0" fontId="0" fillId="0" borderId="0" xfId="0"/>
    <x:xf numFmtId="0" fontId="0" fillId="0" borderId="0" xfId="0" applyAlignment="1">
      <x:alignment horizontal="center"/>
    </x:xf>
    <x:xf numFmtId="0" fontId="5" fillId="0" borderId="0" xfId="0" applyFont="1"/>
    <x:xf numFmtId="0" fontId="4" fillId="6" borderId="6" xfId="0" applyFont="1" applyFill="1" applyBorder="1" applyAlignment="1">
      <x:alignment horizontal="center" vertical="center" wrapText="1"/>
    </x:xf>
    <x:xf numFmtId="0" fontId="4" fillId="6" borderId="9" xfId="0" applyFont="1" applyFill="1" applyBorder="1" applyAlignment="1">
      <x:alignment horizontal="center" vertical="center" wrapText="1"/>
    </x:xf>
    <x:xf numFmtId="0" fontId="4" fillId="6" borderId="10" xfId="0" applyFont="1" applyFill="1" applyBorder="1" applyAlignment="1">
      <x:alignment horizontal="center" vertical="center" wrapText="1"/>
    </x:xf>
    <x:xf numFmtId="0" fontId="2" fillId="9" borderId="3" xfId="0" applyFont="1" applyFill="1" applyBorder="1" applyAlignment="1">
      <x:alignment vertical="center" wrapText="1"/>
    </x:xf>
    <x:xf numFmtId="166" fontId="2" fillId="9" borderId="3" xfId="0" applyNumberFormat="1" applyFont="1" applyFill="1" applyBorder="1" applyAlignment="1">
      <x:alignment vertical="center" wrapText="1"/>
    </x:xf>
    <x:xf numFmtId="0" fontId="6" fillId="5" borderId="0" xfId="0" applyFont="1" applyFill="1" applyAlignment="1">
      <x:alignment vertical="center"/>
    </x:xf>
    <x:xf numFmtId="0" fontId="6" fillId="5" borderId="0" xfId="0" applyFont="1" applyFill="1" applyAlignment="1">
      <x:alignment horizontal="center" vertical="center"/>
    </x:xf>
    <x:xf numFmtId="0" fontId="0" fillId="5" borderId="1" xfId="0" applyFill="1" applyBorder="1"/>
    <x:xf numFmtId="0" fontId="0" fillId="5" borderId="1" xfId="0" applyFill="1" applyBorder="1" applyAlignment="1">
      <x:alignment horizontal="center"/>
    </x:xf>
    <x:xf numFmtId="0" fontId="2" fillId="9" borderId="2" xfId="0" applyFont="1" applyFill="1" applyBorder="1" applyAlignment="1">
      <x:alignment vertical="center" wrapText="1"/>
    </x:xf>
    <x:xf numFmtId="166" fontId="2" fillId="9" borderId="2" xfId="0" applyNumberFormat="1" applyFont="1" applyFill="1" applyBorder="1" applyAlignment="1">
      <x:alignment vertical="center" wrapText="1"/>
    </x:xf>
    <x:xf numFmtId="0" fontId="2" fillId="7" borderId="2" xfId="0" applyFont="1" applyFill="1" applyBorder="1" applyAlignment="1">
      <x:alignment vertical="center" wrapText="1"/>
    </x:xf>
    <x:xf numFmtId="0" fontId="2" fillId="7" borderId="2" xfId="0" applyFont="1" applyFill="1" applyBorder="1" applyAlignment="1">
      <x:alignment horizontal="center" vertical="center" wrapText="1"/>
    </x:xf>
    <x:xf numFmtId="0" fontId="2" fillId="8" borderId="2" xfId="0" applyFont="1" applyFill="1" applyBorder="1" applyAlignment="1">
      <x:alignment vertical="center" wrapText="1"/>
    </x:xf>
    <x:xf numFmtId="166" fontId="2" fillId="8" borderId="2" xfId="0" applyNumberFormat="1" applyFont="1" applyFill="1" applyBorder="1" applyAlignment="1">
      <x:alignment vertical="center" wrapText="1"/>
    </x:xf>
    <x:xf numFmtId="14" fontId="2" fillId="8" borderId="2" xfId="0" applyNumberFormat="1" applyFont="1" applyFill="1" applyBorder="1" applyAlignment="1">
      <x:alignment vertical="center" wrapText="1"/>
    </x:xf>
    <x:xf numFmtId="0" fontId="2" fillId="7" borderId="3" xfId="0" applyFont="1" applyFill="1" applyBorder="1" applyAlignment="1">
      <x:alignment vertical="center" wrapText="1"/>
    </x:xf>
    <x:xf numFmtId="0" fontId="2" fillId="7" borderId="3" xfId="0" applyFont="1" applyFill="1" applyBorder="1" applyAlignment="1">
      <x:alignment horizontal="center" vertical="center" wrapText="1"/>
    </x:xf>
    <x:xf numFmtId="0" fontId="2" fillId="8" borderId="3" xfId="0" applyFont="1" applyFill="1" applyBorder="1" applyAlignment="1">
      <x:alignment vertical="center" wrapText="1"/>
    </x:xf>
    <x:xf numFmtId="166" fontId="2" fillId="8" borderId="3" xfId="0" applyNumberFormat="1" applyFont="1" applyFill="1" applyBorder="1" applyAlignment="1">
      <x:alignment vertical="center" wrapText="1"/>
    </x:xf>
    <x:xf numFmtId="14" fontId="2" fillId="8" borderId="3" xfId="0" applyNumberFormat="1" applyFont="1" applyFill="1" applyBorder="1" applyAlignment="1">
      <x:alignment vertical="center" wrapText="1"/>
    </x:xf>
    <x:xf numFmtId="0" fontId="6" fillId="0" borderId="0" xfId="0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4" fillId="4" borderId="4" xfId="0" applyFont="1" applyFill="1" applyBorder="1" applyAlignment="1">
      <x:alignment horizontal="center" vertical="center" wrapText="1"/>
    </x:xf>
    <x:xf numFmtId="0" fontId="2" fillId="8" borderId="2" xfId="0" applyFont="1" applyFill="1" applyBorder="1" applyAlignment="1">
      <x:alignment horizontal="left" vertical="center" wrapText="1"/>
    </x:xf>
    <x:xf numFmtId="0" fontId="2" fillId="7" borderId="2" xfId="0" applyFont="1" applyFill="1" applyBorder="1" applyAlignment="1">
      <x:alignment horizontal="left" vertical="center" wrapText="1"/>
    </x:xf>
    <x:xf numFmtId="14" fontId="2" fillId="8" borderId="2" xfId="0" applyNumberFormat="1" applyFont="1" applyFill="1" applyBorder="1" applyAlignment="1">
      <x:alignment horizontal="left" vertical="center" wrapText="1"/>
    </x:xf>
    <x:xf numFmtId="0" fontId="2" fillId="8" borderId="3" xfId="0" applyFont="1" applyFill="1" applyBorder="1" applyAlignment="1">
      <x:alignment horizontal="left" vertical="center" wrapText="1"/>
    </x:xf>
    <x:xf numFmtId="0" fontId="2" fillId="7" borderId="3" xfId="0" applyFont="1" applyFill="1" applyBorder="1" applyAlignment="1">
      <x:alignment horizontal="left" vertical="center" wrapText="1"/>
    </x:xf>
    <x:xf numFmtId="14" fontId="2" fillId="8" borderId="3" xfId="0" applyNumberFormat="1" applyFont="1" applyFill="1" applyBorder="1" applyAlignment="1">
      <x:alignment horizontal="left" vertical="center" wrapText="1"/>
    </x:xf>
    <x:xf numFmtId="0" fontId="2" fillId="8" borderId="7" xfId="0" applyFont="1" applyFill="1" applyBorder="1" applyAlignment="1">
      <x:alignment horizontal="left" vertical="center" wrapText="1"/>
    </x:xf>
    <x:xf numFmtId="0" fontId="2" fillId="7" borderId="7" xfId="0" applyFont="1" applyFill="1" applyBorder="1" applyAlignment="1">
      <x:alignment horizontal="left" vertical="center" wrapText="1"/>
    </x:xf>
    <x:xf numFmtId="14" fontId="2" fillId="8" borderId="7" xfId="0" applyNumberFormat="1" applyFont="1" applyFill="1" applyBorder="1" applyAlignment="1">
      <x:alignment horizontal="left" vertical="center" wrapText="1"/>
    </x:xf>
    <x:xf numFmtId="164" fontId="2" fillId="9" borderId="2" xfId="0" applyNumberFormat="1" applyFont="1" applyFill="1" applyBorder="1" applyAlignment="1">
      <x:alignment vertical="center" wrapText="1"/>
    </x:xf>
    <x:xf numFmtId="164" fontId="2" fillId="9" borderId="3" xfId="0" applyNumberFormat="1" applyFont="1" applyFill="1" applyBorder="1" applyAlignment="1">
      <x:alignment vertical="center" wrapText="1"/>
    </x:xf>
    <x:xf numFmtId="164" fontId="2" fillId="8" borderId="2" xfId="0" applyNumberFormat="1" applyFont="1" applyFill="1" applyBorder="1" applyAlignment="1">
      <x:alignment vertical="center" wrapText="1"/>
    </x:xf>
    <x:xf numFmtId="1" fontId="2" fillId="8" borderId="2" xfId="0" applyNumberFormat="1" applyFont="1" applyFill="1" applyBorder="1" applyAlignment="1">
      <x:alignment vertical="center" wrapText="1"/>
    </x:xf>
    <x:xf numFmtId="164" fontId="2" fillId="8" borderId="3" xfId="0" applyNumberFormat="1" applyFont="1" applyFill="1" applyBorder="1" applyAlignment="1">
      <x:alignment vertical="center" wrapText="1"/>
    </x:xf>
    <x:xf numFmtId="1" fontId="2" fillId="8" borderId="3" xfId="0" applyNumberFormat="1" applyFont="1" applyFill="1" applyBorder="1" applyAlignment="1">
      <x:alignment vertical="center" wrapText="1"/>
    </x:xf>
    <x:xf numFmtId="0" fontId="1" fillId="2" borderId="0" xfId="0" applyFont="1" applyFill="1" applyAlignment="1">
      <x:alignment horizontal="center" vertical="center"/>
    </x:xf>
    <x:xf numFmtId="1" fontId="2" fillId="8" borderId="2" xfId="0" applyNumberFormat="1" applyFont="1" applyFill="1" applyBorder="1" applyAlignment="1">
      <x:alignment horizontal="center" vertical="center" wrapText="1"/>
    </x:xf>
    <x:xf numFmtId="1" fontId="2" fillId="8" borderId="3" xfId="0" applyNumberFormat="1" applyFont="1" applyFill="1" applyBorder="1" applyAlignment="1">
      <x:alignment horizontal="center" vertical="center" wrapText="1"/>
    </x:xf>
    <x:xf numFmtId="0" fontId="2" fillId="7" borderId="8" xfId="0" applyFont="1" applyFill="1" applyBorder="1" applyAlignment="1">
      <x:alignment horizontal="left" vertical="center" wrapText="1"/>
    </x:xf>
    <x:xf numFmtId="0" fontId="4" fillId="4" borderId="5" xfId="0" applyFont="1" applyFill="1" applyBorder="1" applyAlignment="1">
      <x:alignment horizontal="center" vertical="center" wrapText="1"/>
    </x:xf>
    <x:xf numFmtId="14" fontId="2" fillId="9" borderId="2" xfId="0" applyNumberFormat="1" applyFont="1" applyFill="1" applyBorder="1" applyAlignment="1">
      <x:alignment vertical="center" wrapText="1"/>
    </x:xf>
    <x:xf numFmtId="167" fontId="2" fillId="9" borderId="2" xfId="0" applyNumberFormat="1" applyFont="1" applyFill="1" applyBorder="1" applyAlignment="1">
      <x:alignment vertical="center" wrapText="1"/>
    </x:xf>
    <x:xf numFmtId="14" fontId="2" fillId="9" borderId="3" xfId="0" applyNumberFormat="1" applyFont="1" applyFill="1" applyBorder="1" applyAlignment="1">
      <x:alignment vertical="center" wrapText="1"/>
    </x:xf>
    <x:xf numFmtId="167" fontId="2" fillId="9" borderId="3" xfId="0" applyNumberFormat="1" applyFont="1" applyFill="1" applyBorder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2" fillId="9" borderId="2" xfId="0" applyFont="1" applyFill="1" applyBorder="1" applyAlignment="1">
      <x:alignment horizontal="left" vertical="center" wrapText="1"/>
    </x:xf>
    <x:xf numFmtId="0" fontId="0" fillId="9" borderId="0" xfId="0" applyFill="1"/>
    <x:xf numFmtId="0" fontId="2" fillId="9" borderId="0" xfId="0" applyFont="1" applyFill="1" applyAlignment="1">
      <x:alignment horizontal="left" vertical="center"/>
    </x:xf>
    <x:xf numFmtId="0" fontId="2" fillId="8" borderId="0" xfId="0" applyFont="1" applyFill="1" applyAlignment="1">
      <x:alignment horizontal="left" vertical="center"/>
    </x:xf>
    <x:xf numFmtId="0" fontId="7" fillId="5" borderId="0" xfId="0" applyFont="1" applyFill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1" fillId="2" borderId="1" xfId="0" applyFont="1" applyFill="1" applyBorder="1" applyAlignment="1">
      <x:alignment vertical="center"/>
    </x:xf>
    <x:xf numFmtId="0" fontId="1" fillId="2" borderId="0" xfId="0" applyFont="1" applyFill="1" applyAlignment="1">
      <x:alignment vertical="center"/>
    </x:xf>
    <x:xf numFmtId="0" fontId="6" fillId="5" borderId="0" xfId="0" applyFont="1" applyFill="1" applyAlignment="1">
      <x:alignment vertical="center"/>
    </x:xf>
    <x:xf numFmtId="0" fontId="0" fillId="0" borderId="0" xfId="0"/>
    <x:xf numFmtId="0" fontId="0" fillId="5" borderId="1" xfId="0" applyFill="1" applyBorder="1"/>
    <x:xf numFmtId="169" fontId="2" fillId="9" borderId="2" xfId="0" applyNumberFormat="1" applyFont="1" applyFill="1" applyBorder="1" applyAlignment="1">
      <x:alignment vertical="center" wrapText="1"/>
    </x:xf>
    <x:xf numFmtId="169" fontId="2" fillId="9" borderId="3" xfId="0" applyNumberFormat="1" applyFont="1" applyFill="1" applyBorder="1" applyAlignment="1">
      <x:alignment vertical="center" wrapText="1"/>
    </x:xf>
    <x:xf numFmtId="0" fontId="2" fillId="9" borderId="2" xfId="0" applyFont="1" applyFill="1" applyBorder="1" applyAlignment="1">
      <x:alignment horizontal="center" vertical="center" wrapText="1"/>
    </x:xf>
    <x:xf numFmtId="0" fontId="2" fillId="9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3" fillId="10" borderId="0" xfId="0" applyFont="1" applyFill="1" applyAlignment="1">
      <x:alignment vertical="center"/>
    </x:xf>
    <x:xf numFmtId="0" fontId="9" fillId="0" borderId="0" xfId="0" applyFont="1" applyAlignment="1">
      <x:alignment vertical="center"/>
    </x:xf>
    <x:xf numFmtId="0" fontId="4" fillId="9" borderId="0" xfId="0" applyFont="1" applyFill="1" applyAlignment="1">
      <x:alignment horizontal="center" vertical="center"/>
    </x:xf>
    <x:xf numFmtId="0" fontId="10" fillId="11" borderId="0" xfId="0" applyFont="1" applyFill="1" applyAlignment="1">
      <x:alignment horizontal="center" vertical="center"/>
    </x:xf>
    <x:xf numFmtId="170" fontId="10" fillId="11" borderId="0" xfId="0" applyNumberFormat="1" applyFont="1" applyFill="1" applyAlignment="1">
      <x:alignment horizontal="center" vertical="center"/>
    </x:xf>
    <x:xf numFmtId="166" fontId="10" fillId="11" borderId="0" xfId="0" applyNumberFormat="1" applyFont="1" applyFill="1" applyAlignment="1">
      <x:alignment horizontal="center" vertical="center"/>
    </x:xf>
    <x:xf numFmtId="1" fontId="10" fillId="11" borderId="0" xfId="0" applyNumberFormat="1" applyFont="1" applyFill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0" fillId="0" borderId="0" xfId="0" applyAlignment="1">
      <x:alignment wrapText="1"/>
    </x:xf>
    <x:xf numFmtId="0" fontId="11" fillId="12" borderId="0" xfId="0" applyFont="1" applyFill="1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166" fontId="1" fillId="0" borderId="0" xfId="0" applyNumberFormat="1" applyFont="1" applyAlignment="1">
      <x:alignment horizontal="center" vertical="center"/>
    </x:xf>
    <x:xf numFmtId="170" fontId="1" fillId="0" borderId="0" xfId="0" applyNumberFormat="1" applyFont="1" applyAlignment="1">
      <x:alignment horizontal="center" vertical="center"/>
    </x:xf>
    <x:xf numFmtId="169" fontId="1" fillId="0" borderId="0" xfId="0" applyNumberFormat="1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0" fontId="12" fillId="10" borderId="0" xfId="0" applyFont="1" applyFill="1"/>
    <x:xf numFmtId="0" fontId="8" fillId="9" borderId="0" xfId="0" applyFont="1" applyFill="1"/>
    <x:xf numFmtId="0" fontId="13" fillId="11" borderId="0" xfId="0" applyFont="1" applyFill="1"/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14" fillId="13" borderId="11" xfId="0" applyNumberFormat="1" applyFont="1" applyFill="1" applyBorder="1" applyAlignment="1">
      <x:alignment wrapText="1"/>
    </x:xf>
    <x:xf numFmtId="0" fontId="14" fillId="13" borderId="11" xfId="0" applyNumberFormat="1" applyFont="1" applyFill="1" applyBorder="1" applyAlignment="1">
      <x:alignment horizontal="center" wrapText="1"/>
    </x:xf>
    <x:xf numFmtId="0" fontId="14" fillId="13" borderId="1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wrapText="1"/>
    </x:xf>
    <x:xf numFmtId="0" fontId="15" fillId="14" borderId="12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vertical="top" wrapText="1"/>
    </x:xf>
    <x:xf numFmtId="0" fontId="15" fillId="14" borderId="12" xfId="0" applyNumberFormat="1" applyFont="1" applyFill="1" applyBorder="1" applyAlignment="1">
      <x:alignment vertical="top" wrapText="1"/>
    </x:xf>
    <x:xf numFmtId="166" fontId="2" fillId="2" borderId="2" xfId="0" applyNumberFormat="1" applyFont="1" applyFill="1" applyBorder="1" applyAlignment="1">
      <x:alignment vertical="center" wrapText="1"/>
    </x:xf>
    <x:xf numFmtId="166" fontId="2" fillId="2" borderId="3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166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13" xfId="0" applyNumberFormat="1" applyFont="1" applyFill="1" applyBorder="1"/>
    <x:xf numFmtId="0" fontId="14" fillId="13" borderId="13" xfId="0" applyNumberFormat="1" applyFont="1" applyFill="1" applyBorder="1" applyAlignment="1">
      <x:alignment wrapText="1"/>
    </x:xf>
    <x:xf numFmtId="0" fontId="14" fillId="13" borderId="13" xfId="0" applyNumberFormat="1" applyFont="1" applyFill="1" applyBorder="1" applyAlignment="1">
      <x:alignment horizontal="center" wrapText="1"/>
    </x:xf>
    <x:xf numFmtId="0" fontId="14" fillId="13" borderId="13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12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12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200" fontId="2" fillId="9" borderId="2" xfId="0" applyNumberFormat="1" applyFont="1" applyFill="1" applyBorder="1" applyAlignment="1">
      <x:alignment vertical="center" wrapText="1"/>
    </x:xf>
    <x:xf numFmtId="200" fontId="2" fillId="9" borderId="3" xfId="0" applyNumberFormat="1" applyFont="1" applyFill="1" applyBorder="1" applyAlignment="1">
      <x:alignment vertical="center" wrapText="1"/>
    </x:xf>
    <x:xf numFmtId="203" fontId="2" fillId="9" borderId="2" xfId="0" applyNumberFormat="1" applyFont="1" applyFill="1" applyBorder="1" applyAlignment="1">
      <x:alignment vertical="center" wrapText="1"/>
    </x:xf>
    <x:xf numFmtId="203" fontId="2" fillId="9" borderId="3" xfId="0" applyNumberFormat="1" applyFont="1" applyFill="1" applyBorder="1" applyAlignment="1">
      <x:alignment vertical="center" wrapText="1"/>
    </x:xf>
    <x:xf numFmtId="201" fontId="2" fillId="9" borderId="2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4" fontId="2" fillId="9" borderId="2" xfId="0" applyNumberFormat="1" applyFont="1" applyFill="1" applyBorder="1" applyAlignment="1">
      <x:alignment vertical="center" wrapText="1"/>
    </x:xf>
    <x:xf numFmtId="204" fontId="2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5">
    <x:dxf>
      <x:font>
        <x:sz val="10"/>
        <x:name val="Aptos"/>
      </x:font>
      <x:numFmt numFmtId="169" formatCode="0.00\x"/>
    </x:dxf>
    <x:dxf>
      <x:font>
        <x:sz val="10"/>
        <x:name val="Aptos"/>
      </x:font>
      <x:numFmt numFmtId="170" formatCode="\£#,##0"/>
    </x:dxf>
    <x:dxf>
      <x:font>
        <x:sz val="10"/>
        <x:name val="Aptos"/>
      </x:font>
      <x:numFmt numFmtId="166" formatCode="0.0%"/>
    </x:dxf>
    <x:dxf>
      <x:font>
        <x:sz val="10"/>
        <x:name val="Aptos"/>
      </x:font>
      <x:numFmt numFmtId="170" formatCode="\£#,##0"/>
    </x:dxf>
    <x:dxf>
      <x:font>
        <x:sz val="10"/>
        <x:name val="Aptos"/>
      </x:font>
      <x:numFmt numFmtId="170" formatCode="\£#,##0"/>
    </x:dxf>
    <x:dxf>
      <x:font>
        <x:sz val="10"/>
        <x:name val="Aptos"/>
      </x:font>
      <x:numFmt numFmtId="170" formatCode="\£#,##0"/>
    </x:dxf>
    <x:dxf>
      <x:font>
        <x:sz val="10"/>
        <x:name val="Aptos"/>
      </x:font>
      <x:numFmt numFmtId="170" formatCode="\£#,##0"/>
    </x:dxf>
    <x:dxf>
      <x:font>
        <x:sz val="10"/>
        <x:name val="Aptos"/>
      </x:font>
      <x:numFmt numFmtId="166" formatCode="0.0%"/>
    </x:dxf>
    <x:dxf>
      <x:font>
        <x:sz val="10"/>
        <x:name val="Aptos"/>
      </x:font>
      <x:numFmt numFmtId="166" formatCode="0.0%"/>
    </x:dxf>
    <x:dxf>
      <x:font>
        <x:sz val="10"/>
        <x:name val="Aptos"/>
      </x:font>
      <x:numFmt numFmtId="166" formatCode="0.0%"/>
    </x:dxf>
    <x:dxf>
      <x:font>
        <x:sz val="10"/>
        <x:name val="Aptos"/>
      </x:font>
      <x:numFmt numFmtId="19" formatCode="dd/mm/yyyy"/>
    </x:dxf>
    <x:dxf>
      <x:font>
        <x:sz val="10"/>
        <x:name val="Aptos"/>
      </x:font>
      <x:numFmt numFmtId="19" formatCode="dd/mm/yyyy"/>
    </x:dxf>
    <x:dxf>
      <x:font>
        <x:sz val="10"/>
        <x:name val="Aptos"/>
      </x:font>
    </x:dxf>
    <x:dxf>
      <x:font>
        <x:color rgb="FF1E6B34"/>
      </x:font>
      <x:fill>
        <x:patternFill>
          <x:bgColor indexed="64"/>
        </x:patternFill>
      </x:fill>
    </x:dxf>
    <x:dxf>
      <x:font>
        <x:b/>
        <x:color rgb="FFB42318"/>
      </x:font>
      <x:fill>
        <x:patternFill>
          <x:bgColor indexed="64"/>
        </x:patternFill>
      </x:fill>
    </x:dxf>
    <x:dxf>
      <x:font>
        <x:b/>
        <x:color rgb="FF1E6B34"/>
      </x:font>
      <x:fill>
        <x:patternFill>
          <x:bgColor indexed="64"/>
        </x:patternFill>
      </x:fill>
    </x:dxf>
    <x:dxf>
      <x:font>
        <x:b/>
        <x:color rgb="FFB42318"/>
      </x:font>
      <x:fill>
        <x:patternFill>
          <x:bgColor indexed="64"/>
        </x:patternFill>
      </x:fill>
    </x:dxf>
    <x:dxf>
      <x:font>
        <x:sz val="10"/>
        <x:name val="Aptos"/>
      </x:font>
    </x:dxf>
    <x:dxf>
      <x:font>
        <x:sz val="10"/>
        <x:name val="Aptos"/>
      </x:font>
    </x:dxf>
    <x:dxf>
      <x:font>
        <x:sz val="10"/>
        <x:name val="Aptos"/>
      </x:font>
    </x:dxf>
    <x:dxf>
      <x:font>
        <x:sz val="10"/>
        <x:name val="Aptos"/>
      </x:font>
    </x:dxf>
    <x:dxf>
      <x:font>
        <x:sz val="10"/>
        <x:name val="Aptos"/>
      </x:font>
    </x:dxf>
    <x:dxf>
      <x:numFmt numFmtId="0" formatCode="General"/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numFmt numFmtId="166" formatCode="0.0%"/>
      <x:fill>
        <x:patternFill>
          <x:bgColor indexed="64"/>
        </x:patternFill>
      </x:fill>
    </x:dxf>
    <x:dxf>
      <x:numFmt numFmtId="166" formatCode="0.0%"/>
      <x:fill>
        <x:patternFill>
          <x:bgColor indexed="64"/>
        </x:patternFill>
      </x:fill>
    </x:dxf>
    <x:dxf>
      <x:numFmt numFmtId="166" formatCode="0.0%"/>
      <x:fill>
        <x:patternFill>
          <x:bgColor indexed="64"/>
        </x:patternFill>
      </x:fill>
    </x:dxf>
    <x:dxf>
      <x:numFmt numFmtId="166" formatCode="0.0%"/>
      <x:fill>
        <x:patternFill>
          <x:bgColor indexed="64"/>
        </x:patternFill>
      </x:fill>
    </x:dxf>
    <x:dxf>
      <x:numFmt numFmtId="19" formatCode="dd/mm/yyyy"/>
      <x:fill>
        <x:patternFill>
          <x:bgColor indexed="64"/>
        </x:patternFill>
      </x:fill>
    </x:dxf>
    <x:dxf>
      <x:numFmt numFmtId="19" formatCode="dd/mm/yyyy"/>
      <x:fill>
        <x:patternFill>
          <x:bgColor indexed="64"/>
        </x:patternFill>
      </x:fill>
    </x:dxf>
    <x:dxf>
      <x:numFmt numFmtId="19" formatCode="dd/mm/yyyy"/>
      <x:fill>
        <x:patternFill>
          <x:bgColor indexed="64"/>
        </x:patternFill>
      </x:fill>
    </x:dxf>
    <x:dxf>
      <x:numFmt numFmtId="0" formatCode="General"/>
      <x:fill>
        <x:patternFill>
          <x:bgColor indexed="64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9E2F3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border>
        <x:top style="thin">
          <x:color rgb="FFFFFFFF"/>
        </x:top>
        <x:bottom style="hair">
          <x:color rgb="FFE1E6ED"/>
        </x:bottom>
      </x:border>
    </x:dxf>
    <x:dxf>
      <x:font>
        <x:u val="none"/>
        <x:sz val="10"/>
        <x:color rgb="FF243447"/>
        <x:name val="Aptos"/>
        <x:scheme val="none"/>
      </x:font>
      <x:fill>
        <x:patternFill>
          <x:bgColor indexed="64"/>
        </x:patternFill>
      </x:fill>
    </x:dxf>
    <x:dxf>
      <x:border>
        <x:bottom style="thin">
          <x:color rgb="FF7F8FA4"/>
        </x:bottom>
      </x:border>
    </x:dxf>
    <x:dxf>
      <x:font>
        <x:b/>
        <x:u val="none"/>
        <x:sz val="10"/>
        <x:color rgb="FF17365D"/>
        <x:name val="Aptos"/>
        <x:scheme val="none"/>
      </x:font>
      <x:fill>
        <x:patternFill>
          <x:bgColor indexed="64"/>
        </x:patternFill>
      </x:fill>
      <x:border>
        <x:left style="thin">
          <x:color rgb="FFFFFFFF"/>
        </x:left>
        <x:right style="thin">
          <x:color rgb="FFFFFFFF"/>
        </x:right>
        <x:top/>
        <x:bottom/>
      </x:border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numFmt numFmtId="1" formatCode="0"/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border>
        <x:bottom style="thin">
          <x:color rgb="FF7F8FA4"/>
        </x:bottom>
      </x:border>
    </x:dxf>
    <x:dxf/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/>
    <x:dxf/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font>
        <x:sz val="10"/>
        <x:color rgb="FF243447"/>
        <x:name val="Aptos"/>
      </x:font>
      <x:fill>
        <x:patternFill>
          <x:bgColor indexed="64"/>
        </x:patternFill>
      </x:fill>
    </x:dxf>
    <x:dxf>
      <x:border>
        <x:bottom style="thin">
          <x:color rgb="FF7F8FA4"/>
        </x:bottom>
      </x:border>
    </x:dxf>
    <x:dxf/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793b73b01464d" /><Relationship Type="http://schemas.openxmlformats.org/officeDocument/2006/relationships/theme" Target="/xl/theme/theme1.xml" Id="R4e8c0e65b3d94e2e" /><Relationship Type="http://schemas.openxmlformats.org/officeDocument/2006/relationships/sheetMetadata" Target="/xl/metadata1.xml" Id="R4beef2dd38c3428a" /><Relationship Type="http://schemas.openxmlformats.org/officeDocument/2006/relationships/sharedStrings" Target="/xl/sharedStrings.xml" Id="R52e57bcedd11448b" /><Relationship Type="http://schemas.openxmlformats.org/officeDocument/2006/relationships/worksheet" Target="/xl/worksheets/sheet1.xml" Id="Re6310f8fb0b54af2" /><Relationship Type="http://schemas.openxmlformats.org/officeDocument/2006/relationships/worksheet" Target="/xl/worksheets/sheet2.xml" Id="Rc33843247e014d62" /><Relationship Type="http://schemas.openxmlformats.org/officeDocument/2006/relationships/worksheet" Target="/xl/worksheets/sheet3.xml" Id="R51979fac3fb446bb" /><Relationship Type="http://schemas.openxmlformats.org/officeDocument/2006/relationships/worksheet" Target="/xl/worksheets/sheet4.xml" Id="Re9970810f92c4c86" /><Relationship Type="http://schemas.openxmlformats.org/officeDocument/2006/relationships/worksheet" Target="/xl/worksheets/sheet5.xml" Id="R117876df9f2949f5" /><Relationship Type="http://schemas.openxmlformats.org/officeDocument/2006/relationships/worksheet" Target="/xl/worksheets/sheet6.xml" Id="R986475ff468d4478" /><Relationship Type="http://schemas.openxmlformats.org/officeDocument/2006/relationships/worksheet" Target="/xl/worksheets/sheet7.xml" Id="R632ce341d72d4071" /><Relationship Type="http://schemas.openxmlformats.org/officeDocument/2006/relationships/worksheet" Target="/xl/worksheets/sheet8.xml" Id="Rd7cee9d8a18f45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2318d3c6f24e61" /><Relationship Type="http://schemas.openxmlformats.org/officeDocument/2006/relationships/chart" Target="/xl/drawings/charts/chart2.xml" Id="Rfc1b9d167c68439f" /><Relationship Type="http://schemas.openxmlformats.org/officeDocument/2006/relationships/chart" Target="/xl/drawings/charts/chart3.xml" Id="Rf75863f2b81247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78b33bfc2e7a4b0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.png" Id="R4ebf974158ac4a4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3.png" Id="R5435e4c09d6c4d4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4.png" Id="R07d1e196a7a445b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5.png" Id="R9dc29148059b46f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6.png" Id="Rac1d2ca1a61046ff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Planned vs Actual Progress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'PORTFOLIO REPORT'!$G$8</c:f>
              <c:strCache>
                <c:ptCount val="1"/>
                <c:pt idx="0">
                  <c:v>Planned %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'PORTFOLIO REPORT'!$B$9:$B$20</c:f>
              <c:strCache>
                <c:ptCount val="12"/>
                <c:pt idx="0">
                  <c:v>Customer Portal Redesign</c:v>
                </c:pt>
                <c:pt idx="1">
                  <c:v>ERP Finance Migration</c:v>
                </c:pt>
                <c:pt idx="2">
                  <c:v>Cyber Security Uplift</c:v>
                </c:pt>
                <c:pt idx="3">
                  <c:v>Data Platform Modernisation</c:v>
                </c:pt>
                <c:pt idx="4">
                  <c:v>Mobile Workforce App</c:v>
                </c:pt>
                <c:pt idx="5">
                  <c:v>CRM Consolidation</c:v>
                </c:pt>
                <c:pt idx="6">
                  <c:v>Cloud Landing Zone</c:v>
                </c:pt>
                <c:pt idx="7">
                  <c:v>Digital Records Programme</c:v>
                </c:pt>
                <c:pt idx="8">
                  <c:v>Service Desk Automation</c:v>
                </c:pt>
                <c:pt idx="9">
                  <c:v>Procurement Analytics</c:v>
                </c:pt>
                <c:pt idx="10">
                  <c:v>Identity Access Management</c:v>
                </c:pt>
                <c:pt idx="11">
                  <c:v>Legacy Application Decommission</c:v>
                </c:pt>
              </c:strCache>
            </c:strRef>
          </c:cat>
          <c:val>
            <c:numRef>
              <c:f>'PORTFOLIO REPORT'!$G$9:$G$20</c:f>
              <c:numCache>
                <c:formatCode>0.0%</c:formatCode>
                <c:ptCount val="12"/>
                <c:pt idx="0">
                  <c:v>0.6360153256704981</c:v>
                </c:pt>
                <c:pt idx="1">
                  <c:v>0.8456375838926175</c:v>
                </c:pt>
                <c:pt idx="2">
                  <c:v>0.725925925925926</c:v>
                </c:pt>
                <c:pt idx="3">
                  <c:v>0.40181268882175225</c:v>
                </c:pt>
                <c:pt idx="4">
                  <c:v>1</c:v>
                </c:pt>
                <c:pt idx="5">
                  <c:v>0.7344262295081967</c:v>
                </c:pt>
                <c:pt idx="6">
                  <c:v>1</c:v>
                </c:pt>
                <c:pt idx="7">
                  <c:v>0.14093959731543623</c:v>
                </c:pt>
                <c:pt idx="8">
                  <c:v>0.7520661157024794</c:v>
                </c:pt>
                <c:pt idx="9">
                  <c:v>0.8341968911917098</c:v>
                </c:pt>
                <c:pt idx="10">
                  <c:v>0.43388429752066116</c:v>
                </c:pt>
                <c:pt idx="11">
                  <c:v>0.6885245901639344</c:v>
                </c:pt>
              </c:numCache>
            </c:numRef>
          </c:val>
        </c:ser>
        <c:ser>
          <c:idx val="1"/>
          <c:order val="1"/>
          <c:tx>
            <c:strRef>
              <c:f>'PORTFOLIO REPORT'!$H$8</c:f>
              <c:strCache>
                <c:ptCount val="1"/>
                <c:pt idx="0">
                  <c:v>Actual %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'PORTFOLIO REPORT'!$B$9:$B$20</c:f>
              <c:strCache>
                <c:ptCount val="12"/>
                <c:pt idx="0">
                  <c:v>Customer Portal Redesign</c:v>
                </c:pt>
                <c:pt idx="1">
                  <c:v>ERP Finance Migration</c:v>
                </c:pt>
                <c:pt idx="2">
                  <c:v>Cyber Security Uplift</c:v>
                </c:pt>
                <c:pt idx="3">
                  <c:v>Data Platform Modernisation</c:v>
                </c:pt>
                <c:pt idx="4">
                  <c:v>Mobile Workforce App</c:v>
                </c:pt>
                <c:pt idx="5">
                  <c:v>CRM Consolidation</c:v>
                </c:pt>
                <c:pt idx="6">
                  <c:v>Cloud Landing Zone</c:v>
                </c:pt>
                <c:pt idx="7">
                  <c:v>Digital Records Programme</c:v>
                </c:pt>
                <c:pt idx="8">
                  <c:v>Service Desk Automation</c:v>
                </c:pt>
                <c:pt idx="9">
                  <c:v>Procurement Analytics</c:v>
                </c:pt>
                <c:pt idx="10">
                  <c:v>Identity Access Management</c:v>
                </c:pt>
                <c:pt idx="11">
                  <c:v>Legacy Application Decommission</c:v>
                </c:pt>
              </c:strCache>
            </c:strRef>
          </c:cat>
          <c:val>
            <c:numRef>
              <c:f>'PORTFOLIO REPORT'!$H$9:$H$20</c:f>
              <c:numCache>
                <c:formatCode>0.0%</c:formatCode>
                <c:ptCount val="12"/>
                <c:pt idx="0">
                  <c:v>0.65</c:v>
                </c:pt>
                <c:pt idx="1">
                  <c:v>0.5833333333333334</c:v>
                </c:pt>
                <c:pt idx="2">
                  <c:v>0.8166666666666668</c:v>
                </c:pt>
                <c:pt idx="3">
                  <c:v>0.35</c:v>
                </c:pt>
                <c:pt idx="4">
                  <c:v>1</c:v>
                </c:pt>
                <c:pt idx="5">
                  <c:v>0.45</c:v>
                </c:pt>
                <c:pt idx="6">
                  <c:v>1</c:v>
                </c:pt>
                <c:pt idx="7">
                  <c:v>0.13333333333333333</c:v>
                </c:pt>
                <c:pt idx="8">
                  <c:v>0.7333333333333334</c:v>
                </c:pt>
                <c:pt idx="9">
                  <c:v>0.3666666666666667</c:v>
                </c:pt>
                <c:pt idx="10">
                  <c:v>0.45</c:v>
                </c:pt>
                <c:pt idx="11">
                  <c:v>0.2333333333333333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3123584"/>
        <c:axId val="693122624"/>
      </c:barChart>
      <c:catAx>
        <c:axId val="69312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93122624"/>
        <c:crosses val="autoZero"/>
        <c:lblOffset val="100"/>
      </c:catAx>
      <c:valAx>
        <c:axId val="693122624"/>
        <c:scaling>
          <c:orientation val="minMax"/>
          <c:max val="1"/>
          <c:min val="0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Completion</a:t>
                </a:r>
              </a:p>
            </c:rich>
          </c:tx>
          <c:overlay val="0"/>
          <c:txPr>
            <a:bodyPr xmlns:a="http://schemas.openxmlformats.org/drawingml/2006/main" rot="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9312358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Approved Budget vs Actual Spend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REPORT'!$L$8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'PORTFOLIO REPORT'!$A$9:$A$20</c:f>
              <c:strCache>
                <c:ptCount val="12"/>
                <c:pt idx="0">
                  <c:v>DIG-001</c:v>
                </c:pt>
                <c:pt idx="1">
                  <c:v>DIG-002</c:v>
                </c:pt>
                <c:pt idx="2">
                  <c:v>DIG-003</c:v>
                </c:pt>
                <c:pt idx="3">
                  <c:v>DIG-004</c:v>
                </c:pt>
                <c:pt idx="4">
                  <c:v>DIG-005</c:v>
                </c:pt>
                <c:pt idx="5">
                  <c:v>DIG-006</c:v>
                </c:pt>
                <c:pt idx="6">
                  <c:v>DIG-007</c:v>
                </c:pt>
                <c:pt idx="7">
                  <c:v>DIG-008</c:v>
                </c:pt>
                <c:pt idx="8">
                  <c:v>DIG-009</c:v>
                </c:pt>
                <c:pt idx="9">
                  <c:v>DIG-010</c:v>
                </c:pt>
                <c:pt idx="10">
                  <c:v>DIG-011</c:v>
                </c:pt>
                <c:pt idx="11">
                  <c:v>DIG-012</c:v>
                </c:pt>
              </c:strCache>
            </c:strRef>
          </c:cat>
          <c:val>
            <c:numRef>
              <c:f>'PORTFOLIO REPORT'!$L$9:$L$20</c:f>
              <c:numCache>
                <c:formatCode>\£#,##0</c:formatCode>
                <c:ptCount val="12"/>
                <c:pt idx="0">
                  <c:v>600000</c:v>
                </c:pt>
                <c:pt idx="1">
                  <c:v>1020000</c:v>
                </c:pt>
                <c:pt idx="2">
                  <c:v>500000</c:v>
                </c:pt>
                <c:pt idx="3">
                  <c:v>1380000</c:v>
                </c:pt>
                <c:pt idx="4">
                  <c:v>500000</c:v>
                </c:pt>
                <c:pt idx="5">
                  <c:v>925000</c:v>
                </c:pt>
                <c:pt idx="6">
                  <c:v>450000</c:v>
                </c:pt>
                <c:pt idx="7">
                  <c:v>680000</c:v>
                </c:pt>
                <c:pt idx="8">
                  <c:v>475000</c:v>
                </c:pt>
                <c:pt idx="9">
                  <c:v>505000</c:v>
                </c:pt>
                <c:pt idx="10">
                  <c:v>725000</c:v>
                </c:pt>
                <c:pt idx="11">
                  <c:v>545000</c:v>
                </c:pt>
              </c:numCache>
            </c:numRef>
          </c:val>
        </c:ser>
        <c:ser>
          <c:idx val="1"/>
          <c:order val="1"/>
          <c:tx>
            <c:strRef>
              <c:f>'PORTFOLIO REPORT'!$M$8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strRef>
              <c:f>'PORTFOLIO REPORT'!$A$9:$A$20</c:f>
              <c:strCache>
                <c:ptCount val="12"/>
                <c:pt idx="0">
                  <c:v>DIG-001</c:v>
                </c:pt>
                <c:pt idx="1">
                  <c:v>DIG-002</c:v>
                </c:pt>
                <c:pt idx="2">
                  <c:v>DIG-003</c:v>
                </c:pt>
                <c:pt idx="3">
                  <c:v>DIG-004</c:v>
                </c:pt>
                <c:pt idx="4">
                  <c:v>DIG-005</c:v>
                </c:pt>
                <c:pt idx="5">
                  <c:v>DIG-006</c:v>
                </c:pt>
                <c:pt idx="6">
                  <c:v>DIG-007</c:v>
                </c:pt>
                <c:pt idx="7">
                  <c:v>DIG-008</c:v>
                </c:pt>
                <c:pt idx="8">
                  <c:v>DIG-009</c:v>
                </c:pt>
                <c:pt idx="9">
                  <c:v>DIG-010</c:v>
                </c:pt>
                <c:pt idx="10">
                  <c:v>DIG-011</c:v>
                </c:pt>
                <c:pt idx="11">
                  <c:v>DIG-012</c:v>
                </c:pt>
              </c:strCache>
            </c:strRef>
          </c:cat>
          <c:val>
            <c:numRef>
              <c:f>'PORTFOLIO REPORT'!$M$9:$M$20</c:f>
              <c:numCache>
                <c:formatCode>\£#,##0</c:formatCode>
                <c:ptCount val="12"/>
                <c:pt idx="0">
                  <c:v>333000</c:v>
                </c:pt>
                <c:pt idx="1">
                  <c:v>648000</c:v>
                </c:pt>
                <c:pt idx="2">
                  <c:v>339000</c:v>
                </c:pt>
                <c:pt idx="3">
                  <c:v>511000</c:v>
                </c:pt>
                <c:pt idx="4">
                  <c:v>489000</c:v>
                </c:pt>
                <c:pt idx="5">
                  <c:v>428000</c:v>
                </c:pt>
                <c:pt idx="6">
                  <c:v>444000</c:v>
                </c:pt>
                <c:pt idx="7">
                  <c:v>100000</c:v>
                </c:pt>
                <c:pt idx="8">
                  <c:v>303000</c:v>
                </c:pt>
                <c:pt idx="9">
                  <c:v>198000</c:v>
                </c:pt>
                <c:pt idx="10">
                  <c:v>285000</c:v>
                </c:pt>
                <c:pt idx="11">
                  <c:v>138000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573744"/>
        <c:axId val="573571344"/>
      </c:barChart>
      <c:catAx>
        <c:axId val="5735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27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73571344"/>
        <c:crosses val="autoZero"/>
        <c:lblOffset val="100"/>
      </c:catAx>
      <c:valAx>
        <c:axId val="573571344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£ millions</a:t>
                </a:r>
              </a:p>
            </c:rich>
          </c:tx>
          <c:overlay val="0"/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£#,##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7357374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Portfolio Health Mix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'Chart Data'!$B$1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Pt>
            <c:idx val="4"/>
            <c: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Pt>
            <c:idx val="5"/>
            <c: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</a:ln>
            </c:spPr>
          </c:dPt>
          <c:dLbls>
            <c:numFmt formatCode="0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'Chart Data'!$A$2:$A$7</c:f>
              <c:strCache>
                <c:ptCount val="6"/>
                <c:pt idx="0">
                  <c:v>On Track</c:v>
                </c:pt>
                <c:pt idx="1">
                  <c:v>Live</c:v>
                </c:pt>
                <c:pt idx="2">
                  <c:v>At Risk (Date)</c:v>
                </c:pt>
                <c:pt idx="3">
                  <c:v>At Risk (Budget)</c:v>
                </c:pt>
                <c:pt idx="4">
                  <c:v>Blocked</c:v>
                </c:pt>
                <c:pt idx="5">
                  <c:v>Cancelled / Deferred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163285</xdr:rowOff>
    </xdr:from>
    <xdr:to>
      <xdr:col>8</xdr:col>
      <xdr:colOff>9525</xdr:colOff>
      <xdr:row>42</xdr:row>
      <xdr:rowOff>141514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2318d3c6f24e61"/>
        </a:graphicData>
      </a:graphic>
    </xdr:graphicFrame>
    <xdr:clientData/>
  </xdr:twoCellAnchor>
  <xdr:twoCellAnchor>
    <xdr:from>
      <xdr:col>8</xdr:col>
      <xdr:colOff>12246</xdr:colOff>
      <xdr:row>24</xdr:row>
      <xdr:rowOff>163285</xdr:rowOff>
    </xdr:from>
    <xdr:to>
      <xdr:col>16</xdr:col>
      <xdr:colOff>34018</xdr:colOff>
      <xdr:row>42</xdr:row>
      <xdr:rowOff>141514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1b9d167c68439f"/>
        </a:graphicData>
      </a:graphic>
    </xdr:graphicFrame>
    <xdr:clientData/>
  </xdr:twoCellAnchor>
  <xdr:twoCellAnchor>
    <xdr:from>
      <xdr:col>0</xdr:col>
      <xdr:colOff>0</xdr:colOff>
      <xdr:row>43</xdr:row>
      <xdr:rowOff>133349</xdr:rowOff>
    </xdr:from>
    <xdr:to>
      <xdr:col>8</xdr:col>
      <xdr:colOff>9525</xdr:colOff>
      <xdr:row>60</xdr:row>
      <xdr:rowOff>112938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5863f2b812475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0</xdr:colOff>
      <xdr:row>0</xdr:row>
      <xdr:rowOff>28575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b33bfc2e7a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14</xdr:col>
      <xdr:colOff>0</xdr:colOff>
      <xdr:row>0</xdr:row>
      <xdr:rowOff>9525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f974158ac4a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16</xdr:col>
      <xdr:colOff>297657</xdr:colOff>
      <xdr:row>0</xdr:row>
      <xdr:rowOff>65655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5e4c09d6c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8</xdr:col>
      <xdr:colOff>0</xdr:colOff>
      <xdr:row>0</xdr:row>
      <xdr:rowOff>28575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d1e196a7a445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9</xdr:col>
      <xdr:colOff>0</xdr:colOff>
      <xdr:row>0</xdr:row>
      <xdr:rowOff>28575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c29148059b46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23</xdr:col>
      <xdr:colOff>0</xdr:colOff>
      <xdr:row>0</xdr:row>
      <xdr:rowOff>9525</xdr:rowOff>
    </xdr:from>
    <xdr:ext cx="1571625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1d2ca1a610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4" name="PortfolioReportTable" displayName="PortfolioReportTable" ref="A8:P20" totalsRowShown="0" dataDxfId="21">
  <x:autoFilter ref="A8:P20"/>
  <x:tableColumns count="16">
    <x:tableColumn id="1" name="Initiative ID" dataDxfId="20">
      <x:calculatedColumnFormula>'CLAUDE INPUT'!B5</x:calculatedColumnFormula>
    </x:tableColumn>
    <x:tableColumn id="2" name="Initiative" dataDxfId="19">
      <x:calculatedColumnFormula>'CLAUDE INPUT'!C5</x:calculatedColumnFormula>
    </x:tableColumn>
    <x:tableColumn id="3" name="Status" dataDxfId="18">
      <x:calculatedColumnFormula>'CLAUDE INPUT'!D5</x:calculatedColumnFormula>
    </x:tableColumn>
    <x:tableColumn id="4" name="Health" dataDxfId="12">
      <x:calculatedColumnFormula>'CLAUDE INPUT'!E5</x:calculatedColumnFormula>
    </x:tableColumn>
    <x:tableColumn id="5" name="Baseline finish" dataDxfId="11">
      <x:calculatedColumnFormula>'CLAUDE INPUT'!I5</x:calculatedColumnFormula>
    </x:tableColumn>
    <x:tableColumn id="6" name="Forecast finish" dataDxfId="10">
      <x:calculatedColumnFormula>'CLAUDE INPUT'!J5</x:calculatedColumnFormula>
    </x:tableColumn>
    <x:tableColumn id="7" name="Planned %" dataDxfId="9">
      <x:calculatedColumnFormula>'CLAUDE INPUT'!F5/100</x:calculatedColumnFormula>
    </x:tableColumn>
    <x:tableColumn id="8" name="Actual %" dataDxfId="8">
      <x:calculatedColumnFormula>'CLAUDE INPUT'!G5/100</x:calculatedColumnFormula>
    </x:tableColumn>
    <x:tableColumn id="9" name="Variance" dataDxfId="7">
      <x:calculatedColumnFormula>'CLAUDE INPUT'!H5/100</x:calculatedColumnFormula>
    </x:tableColumn>
    <x:tableColumn id="10" name="Original budget" dataDxfId="6">
      <x:calculatedColumnFormula>'CLAUDE INPUT'!P5+'CLAUDE INPUT'!V5</x:calculatedColumnFormula>
    </x:tableColumn>
    <x:tableColumn id="11" name="Approved change" dataDxfId="5">
      <x:calculatedColumnFormula>'CLAUDE INPUT'!Q5+'CLAUDE INPUT'!W5</x:calculatedColumnFormula>
    </x:tableColumn>
    <x:tableColumn id="12" name="Total budget" dataDxfId="4">
      <x:calculatedColumnFormula>'CLAUDE INPUT'!R5+'CLAUDE INPUT'!X5</x:calculatedColumnFormula>
    </x:tableColumn>
    <x:tableColumn id="13" name="Actual spend" dataDxfId="3">
      <x:calculatedColumnFormula>'CLAUDE INPUT'!S5+'CLAUDE INPUT'!Y5</x:calculatedColumnFormula>
    </x:tableColumn>
    <x:tableColumn id="14" name="Spend %" dataDxfId="2">
      <x:calculatedColumnFormula>IFERROR(M9/L9,0)</x:calculatedColumnFormula>
    </x:tableColumn>
    <x:tableColumn id="15" name="Remaining budget" dataDxfId="1">
      <x:calculatedColumnFormula>'CLAUDE INPUT'!T5+'CLAUDE INPUT'!Z5</x:calculatedColumnFormula>
    </x:tableColumn>
    <x:tableColumn id="16" name="Productivity" dataDxfId="0">
      <x:calculatedColumnFormula>'CLAUDE INPUT'!AA5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InitiativesTable" displayName="InitiativesTable" ref="A4:Q54" headerRowCount="1" totalsRowCount="0" totalsRowShown="0">
  <x:tableColumns count="17">
    <x:tableColumn id="1" name="Initiative ID"/>
    <x:tableColumn id="2" name="Initiative title"/>
    <x:tableColumn id="3" name="Sponsor"/>
    <x:tableColumn id="4" name="Digital Champion"/>
    <x:tableColumn id="5" name="Delivery route"/>
    <x:tableColumn id="6" name="Lifecycle Status"/>
    <x:tableColumn id="7" name="Health"/>
    <x:tableColumn id="8" name="Baseline finish"/>
    <x:tableColumn id="9" name="Forecast finish"/>
    <x:tableColumn id="10" name="Proposed Status / Health change"/>
    <x:tableColumn id="11" name="Digital Lead confirmation"/>
    <x:tableColumn id="12" name="Delivery group"/>
    <x:tableColumn id="13" name="Entry basis"/>
    <x:tableColumn id="14" name="Delivery model"/>
    <x:tableColumn id="15" name="Detailed plan owner"/>
    <x:tableColumn id="16" name="Budget / cost owner"/>
    <x:tableColumn id="17" name="Digital financial reporting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PEPTable" displayName="PEPTable" ref="A4:P204" headerRowCount="1" totalsRowCount="0" totalsRowShown="0">
  <x:tableColumns count="16">
    <x:tableColumn id="1" name="Item ID"/>
    <x:tableColumn id="2" name="Initiative ID"/>
    <x:tableColumn id="3" name="Level"/>
    <x:tableColumn id="4" name="Parent ID"/>
    <x:tableColumn id="5" name="Deliverable / activity"/>
    <x:tableColumn id="6" name="Owner"/>
    <x:tableColumn id="7" name="Baseline start"/>
    <x:tableColumn id="8" name="Baseline finish"/>
    <x:tableColumn id="9" name="Forecast finish"/>
    <x:tableColumn id="10" name="Actual % input"/>
    <x:tableColumn id="11" name="Planned % (auto)"/>
    <x:tableColumn id="12" name="Actual %"/>
    <x:tableColumn id="13" name="Variance"/>
    <x:tableColumn id="14" name="Schedule flag"/>
    <x:tableColumn id="15" name="Blocker"/>
    <x:tableColumn id="16" name="Hierarchy 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CostTable" displayName="CostTable" ref="A4:T104" headerRowCount="1" totalsRowCount="0" totalsRowShown="0">
  <x:tableColumns count="20">
    <x:tableColumn id="1" name="Initiative ID"/>
    <x:tableColumn id="2" name="Initiative"/>
    <x:tableColumn id="3" name="Cost group"/>
    <x:tableColumn id="4" name="Cost type"/>
    <x:tableColumn id="5" name="Original budget (£)"/>
    <x:tableColumn id="6" name="Additional Approved Budget"/>
    <x:tableColumn id="7" name="Reporting Year"/>
    <x:tableColumn id="8" name="Actual Cost - Jan"/>
    <x:tableColumn id="9" name="Actual Cost - Feb"/>
    <x:tableColumn id="10" name="Actual Cost - Mar"/>
    <x:tableColumn id="11" name="Actual Cost - Apr"/>
    <x:tableColumn id="12" name="Actual Cost - May"/>
    <x:tableColumn id="13" name="Actual Cost - Jun"/>
    <x:tableColumn id="14" name="Actual Cost - Jul"/>
    <x:tableColumn id="15" name="Actual Cost - Aug"/>
    <x:tableColumn id="16" name="Actual Cost - Sept"/>
    <x:tableColumn id="17" name="Actual Cost - Oct"/>
    <x:tableColumn id="18" name="Actual Cost - Nov"/>
    <x:tableColumn id="19" name="Actual Cost - Dec"/>
    <x:tableColumn id="20" name="Actual Cost - To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ControlLogTable" displayName="ControlLogTable" ref="A4:H204" headerRowCount="1" totalsRowCount="0" totalsRowShown="0">
  <x:tableColumns count="8">
    <x:tableColumn id="1" name="Control ID"/>
    <x:tableColumn id="2" name="Initiative ID"/>
    <x:tableColumn id="3" name="Type"/>
    <x:tableColumn id="4" name="Description"/>
    <x:tableColumn id="5" name="Owner"/>
    <x:tableColumn id="6" name="Raised date"/>
    <x:tableColumn id="7" name="Due / review date"/>
    <x:tableColumn id="8" name="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ControlledListsTable" displayName="ControlledListsTable" ref="A4:M54" headerRowCount="1" totalsRowCount="0" totalsRowShown="0">
  <x:tableColumns count="13">
    <x:tableColumn id="1" name="Lifecycle Status"/>
    <x:tableColumn id="2" name="Health"/>
    <x:tableColumn id="3" name="Control Position"/>
    <x:tableColumn id="4" name="Delivery Route"/>
    <x:tableColumn id="5" name="PEP Status"/>
    <x:tableColumn id="6" name="Yes / No"/>
    <x:tableColumn id="7" name="Digital Lead Confirmation"/>
    <x:tableColumn id="8" name="PEP Level"/>
    <x:tableColumn id="9" name="Confidence"/>
    <x:tableColumn id="10" name="Control Type"/>
    <x:tableColumn id="11" name="Cost Group"/>
    <x:tableColumn id="12" name="Cost Type"/>
    <x:tableColumn id="13" name="Initiative I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98d63b1778433e" /><Relationship Type="http://schemas.openxmlformats.org/officeDocument/2006/relationships/table" Target="/xl/tables/table1.xml" Id="R831c9b671dec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f485df6f3d34e3c" /><Relationship Type="http://schemas.openxmlformats.org/officeDocument/2006/relationships/table" Target="/xl/tables/table2.xml" Id="R911633043a684e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f2d9d5aa18e4d7b" /><Relationship Type="http://schemas.openxmlformats.org/officeDocument/2006/relationships/table" Target="/xl/tables/table3.xml" Id="Rf8d943349e7f47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ab927120ea243d4" /><Relationship Type="http://schemas.openxmlformats.org/officeDocument/2006/relationships/table" Target="/xl/tables/table4.xml" Id="R2206df255146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7f3ce1a28e84b3e" /><Relationship Type="http://schemas.openxmlformats.org/officeDocument/2006/relationships/table" Target="/xl/tables/table5.xml" Id="Rb426f3a3a08942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6abc7ccd94e45ad" /><Relationship Type="http://schemas.openxmlformats.org/officeDocument/2006/relationships/table" Target="/xl/tables/table6.xml" Id="R98cf3b3ef5dd45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98032c2edd04c4b" /></Relationships>
</file>

<file path=xl/worksheets/sheet1.xml><?xml version="1.0" encoding="utf-8"?>
<x:worksheet xmlns:x="http://schemas.openxmlformats.org/spreadsheetml/2006/main">
  <x:sheetFormatPr defaultRowHeight="14.149999618530273"/>
  <x:cols>
    <x:col min="1" max="1" width="12" customWidth="1"/>
    <x:col min="2" max="2" width="29.140625" customWidth="1"/>
    <x:col min="3" max="4" width="15.35546875" customWidth="1"/>
    <x:col min="5" max="16" width="11.28515625" style="1" customWidth="1"/>
  </x:cols>
  <x:sheetData>
    <x:row r="1" ht="26.149999618530273">
      <x:c r="A1" s="68" t="s">
        <x:v>0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</x:row>
    <x:row r="2">
      <x:c r="A2" s="69" t="str">
        <x:f>"Portfolio position | Reporting date "&amp;TEXT(TODAY(),"d mmmm yyyy")&amp;" | Live links to initiative, PEP, cost and control data"</x:f>
        <x:v>Portfolio position | Reporting date 14 September 2026 | Live links to initiative, PEP, cost and control data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</x:row>
    <x:row r="3">
      <x:c r="A3" s="67"/>
      <x:c r="B3" s="67"/>
      <x:c r="C3" s="67"/>
      <x:c r="D3" s="67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</x:row>
    <x:row r="4">
      <x:c r="A4" s="70" t="s">
        <x:v>1</x:v>
      </x:c>
      <x:c r="B4" s="70"/>
      <x:c r="C4" s="70"/>
      <x:c r="D4" s="70" t="s">
        <x:v>2</x:v>
      </x:c>
      <x:c r="E4" s="70"/>
      <x:c r="F4" s="70"/>
      <x:c r="G4" s="70" t="s">
        <x:v>3</x:v>
      </x:c>
      <x:c r="H4" s="70"/>
      <x:c r="I4" s="70"/>
      <x:c r="J4" s="70" t="s">
        <x:v>4</x:v>
      </x:c>
      <x:c r="K4" s="70"/>
      <x:c r="L4" s="70"/>
      <x:c r="M4" s="70" t="s">
        <x:v>5</x:v>
      </x:c>
      <x:c r="N4" s="70"/>
      <x:c r="O4" s="70"/>
      <x:c r="P4" s="70"/>
    </x:row>
    <x:row r="5">
      <x:c r="A5" s="72" t="n">
        <x:f>IF(COUNT($L$9:$L$20)=0,"",SUM($L$9:$L$20))</x:f>
        <x:v>8305000</x:v>
      </x:c>
      <x:c r="B5" s="71"/>
      <x:c r="C5" s="71"/>
      <x:c r="D5" s="72" t="n">
        <x:f>IF(COUNT($M$9:$M$20)=0,"",SUM($M$9:$M$20))</x:f>
        <x:v>4216000</x:v>
      </x:c>
      <x:c r="E5" s="71"/>
      <x:c r="F5" s="71"/>
      <x:c r="G5" s="73" t="n">
        <x:f ca="1">IFERROR(AVERAGE($G$9:$G$20),"")</x:f>
        <x:v>0.6801496129610208</x:v>
      </x:c>
      <x:c r="H5" s="71"/>
      <x:c r="I5" s="71"/>
      <x:c r="J5" s="73" t="n">
        <x:f>IFERROR(AVERAGE($H$9:$H$20),"")</x:f>
        <x:v>0.563888888888889</x:v>
      </x:c>
      <x:c r="K5" s="71"/>
      <x:c r="L5" s="71"/>
      <x:c r="M5" s="74" t="n">
        <x:f>COUNTIF($D$9:$D$20,"At Risk (Budget)")+COUNTIF($D$9:$D$20,"At Risk (Date)")+COUNTIF($D$9:$D$20,"Blocked")</x:f>
        <x:v>4</x:v>
      </x:c>
      <x:c r="N5" s="71"/>
      <x:c r="O5" s="71"/>
      <x:c r="P5" s="71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</x:row>
    <x:row r="7">
      <x:c r="A7" s="67"/>
      <x:c r="B7" s="67"/>
      <x:c r="C7" s="67"/>
      <x:c r="D7" s="67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</x:row>
    <x:row r="8" s="77" customFormat="1" ht="25.75">
      <x:c r="A8" s="76" t="s">
        <x:v>6</x:v>
      </x:c>
      <x:c r="B8" s="76" t="s">
        <x:v>7</x:v>
      </x:c>
      <x:c r="C8" s="76" t="s">
        <x:v>8</x:v>
      </x:c>
      <x:c r="D8" s="76" t="s">
        <x:v>9</x:v>
      </x:c>
      <x:c r="E8" s="80" t="s">
        <x:v>10</x:v>
      </x:c>
      <x:c r="F8" s="80" t="s">
        <x:v>11</x:v>
      </x:c>
      <x:c r="G8" s="80" t="s">
        <x:v>12</x:v>
      </x:c>
      <x:c r="H8" s="80" t="s">
        <x:v>13</x:v>
      </x:c>
      <x:c r="I8" s="80" t="s">
        <x:v>14</x:v>
      </x:c>
      <x:c r="J8" s="80" t="s">
        <x:v>15</x:v>
      </x:c>
      <x:c r="K8" s="80" t="s">
        <x:v>16</x:v>
      </x:c>
      <x:c r="L8" s="80" t="s">
        <x:v>17</x:v>
      </x:c>
      <x:c r="M8" s="80" t="s">
        <x:v>18</x:v>
      </x:c>
      <x:c r="N8" s="80" t="s">
        <x:v>19</x:v>
      </x:c>
      <x:c r="O8" s="80" t="s">
        <x:v>20</x:v>
      </x:c>
      <x:c r="P8" s="80" t="s">
        <x:v>21</x:v>
      </x:c>
    </x:row>
    <x:row r="9">
      <x:c r="A9" s="75" t="str">
        <x:f>IF('COWORKER INPUT'!$B$5="","",'COWORKER INPUT'!$B$5)</x:f>
        <x:v>DIG-001</x:v>
      </x:c>
      <x:c r="B9" s="75" t="str">
        <x:f>IF($A9="","",'COWORKER INPUT'!$C$5)</x:f>
        <x:v>Customer Portal Redesign</x:v>
      </x:c>
      <x:c r="C9" s="75" t="str">
        <x:f>IF($A9="","",'COWORKER INPUT'!$D$5)</x:f>
        <x:v>In Delivery</x:v>
      </x:c>
      <x:c r="D9" s="75" t="str">
        <x:f>IF($A9="","",'COWORKER INPUT'!$E$5)</x:f>
        <x:v>On Track</x:v>
      </x:c>
      <x:c r="E9" s="103" t="n">
        <x:f>IF($A9="","",'COWORKER INPUT'!$I$5)</x:f>
        <x:v>46374</x:v>
      </x:c>
      <x:c r="F9" s="103" t="n">
        <x:f>IF($A9="","",'COWORKER INPUT'!$J$5)</x:f>
        <x:v>46374</x:v>
      </x:c>
      <x:c r="G9" s="104" t="n">
        <x:f ca="1">IF(OR($A9="",'COWORKER INPUT'!$F$5=""),"",'COWORKER INPUT'!$F$5/100)</x:f>
        <x:v>0.6325757575757576</x:v>
      </x:c>
      <x:c r="H9" s="104" t="n">
        <x:f>IF(OR($A9="",'COWORKER INPUT'!$G$5=""),"",'COWORKER INPUT'!$G$5/100)</x:f>
        <x:v>0.65</x:v>
      </x:c>
      <x:c r="I9" s="104" t="n">
        <x:f ca="1">IF(OR($G9="",$H9=""),"",$H9-$G9)</x:f>
        <x:v>0.017424242424242453</x:v>
      </x:c>
      <x:c r="J9" s="105" t="n">
        <x:f>IF($A9="","",IF(AND('COWORKER INPUT'!$P$5="",'COWORKER INPUT'!$V$5=""),"",N('COWORKER INPUT'!$P$5)+N('COWORKER INPUT'!$V$5)))</x:f>
        <x:v>580000</x:v>
      </x:c>
      <x:c r="K9" s="105" t="n">
        <x:f>IF($A9="","",IF(AND('COWORKER INPUT'!$Q$5="",'COWORKER INPUT'!$W$5=""),"",N('COWORKER INPUT'!$Q$5)+N('COWORKER INPUT'!$W$5)))</x:f>
        <x:v>20000</x:v>
      </x:c>
      <x:c r="L9" s="105" t="n">
        <x:f>IF($A9="","",IF(AND($J9="",$K9=""),"",N($J9)+N($K9)))</x:f>
        <x:v>600000</x:v>
      </x:c>
      <x:c r="M9" s="105" t="n">
        <x:f>IF($A9="","",IF(AND('COWORKER INPUT'!$S$5="",'COWORKER INPUT'!$Y$5=""),"",N('COWORKER INPUT'!$S$5)+N('COWORKER INPUT'!$Y$5)))</x:f>
        <x:v>333000</x:v>
      </x:c>
      <x:c r="N9" s="104" t="n">
        <x:f>IF(OR($A9="",$L9="",$L9=0,$M9=""),"",$M9/$L9)</x:f>
        <x:v>0.555</x:v>
      </x:c>
      <x:c r="O9" s="105" t="n">
        <x:f>IF(OR($A9="",$L9="",$M9=""),"",$L9-$M9)</x:f>
        <x:v>267000</x:v>
      </x:c>
      <x:c r="P9" s="106" t="n">
        <x:f>IF($A9="","",'COWORKER INPUT'!$AA$5)</x:f>
        <x:v>1.1673469387755104</x:v>
      </x:c>
    </x:row>
    <x:row r="10">
      <x:c r="A10" s="75" t="str">
        <x:f>IF('COWORKER INPUT'!$B$6="","",'COWORKER INPUT'!$B$6)</x:f>
        <x:v>DIG-002</x:v>
      </x:c>
      <x:c r="B10" s="75" t="str">
        <x:f>IF($A10="","",'COWORKER INPUT'!$C$6)</x:f>
        <x:v>ERP Finance Migration</x:v>
      </x:c>
      <x:c r="C10" s="75" t="str">
        <x:f>IF($A10="","",'COWORKER INPUT'!$D$6)</x:f>
        <x:v>In Delivery</x:v>
      </x:c>
      <x:c r="D10" s="75" t="str">
        <x:f>IF($A10="","",'COWORKER INPUT'!$E$6)</x:f>
        <x:v>At Risk (Date)</x:v>
      </x:c>
      <x:c r="E10" s="103" t="n">
        <x:f>IF($A10="","",'COWORKER INPUT'!$I$6)</x:f>
        <x:v>46325</x:v>
      </x:c>
      <x:c r="F10" s="103" t="n">
        <x:f>IF($A10="","",'COWORKER INPUT'!$J$6)</x:f>
        <x:v>46402</x:v>
      </x:c>
      <x:c r="G10" s="104" t="n">
        <x:f ca="1">IF(OR($A10="",'COWORKER INPUT'!$F$6=""),"",'COWORKER INPUT'!$F$6/100)</x:f>
        <x:v>0.8419243986254296</x:v>
      </x:c>
      <x:c r="H10" s="104" t="n">
        <x:f>IF(OR($A10="",'COWORKER INPUT'!$G$6=""),"",'COWORKER INPUT'!$G$6/100)</x:f>
        <x:v>0.5833333333333334</x:v>
      </x:c>
      <x:c r="I10" s="104" t="n">
        <x:f ca="1">IF(OR($G10="",$H10=""),"",$H10-$G10)</x:f>
        <x:v>-0.2585910652920962</x:v>
      </x:c>
      <x:c r="J10" s="105" t="n">
        <x:f>IF($A10="","",IF(AND('COWORKER INPUT'!$P$6="",'COWORKER INPUT'!$V$6=""),"",N('COWORKER INPUT'!$P$6)+N('COWORKER INPUT'!$V$6)))</x:f>
        <x:v>920000</x:v>
      </x:c>
      <x:c r="K10" s="105" t="n">
        <x:f>IF($A10="","",IF(AND('COWORKER INPUT'!$Q$6="",'COWORKER INPUT'!$W$6=""),"",N('COWORKER INPUT'!$Q$6)+N('COWORKER INPUT'!$W$6)))</x:f>
        <x:v>100000</x:v>
      </x:c>
      <x:c r="L10" s="105" t="n">
        <x:f>IF($A10="","",IF(AND($J10="",$K10=""),"",N($J10)+N($K10)))</x:f>
        <x:v>1020000</x:v>
      </x:c>
      <x:c r="M10" s="105" t="n">
        <x:f>IF($A10="","",IF(AND('COWORKER INPUT'!$S$6="",'COWORKER INPUT'!$Y$6=""),"",N('COWORKER INPUT'!$S$6)+N('COWORKER INPUT'!$Y$6)))</x:f>
        <x:v>648000</x:v>
      </x:c>
      <x:c r="N10" s="104" t="n">
        <x:f>IF(OR($A10="",$L10="",$L10=0,$M10=""),"",$M10/$L10)</x:f>
        <x:v>0.6352941176470588</x:v>
      </x:c>
      <x:c r="O10" s="105" t="n">
        <x:f>IF(OR($A10="",$L10="",$M10=""),"",$L10-$M10)</x:f>
        <x:v>372000</x:v>
      </x:c>
      <x:c r="P10" s="106" t="n">
        <x:f>IF($A10="","",'COWORKER INPUT'!$AA$6)</x:f>
        <x:v>0.9330861581920905</x:v>
      </x:c>
    </x:row>
    <x:row r="11">
      <x:c r="A11" s="75" t="str">
        <x:f>IF('COWORKER INPUT'!$B$7="","",'COWORKER INPUT'!$B$7)</x:f>
        <x:v>DIG-003</x:v>
      </x:c>
      <x:c r="B11" s="75" t="str">
        <x:f>IF($A11="","",'COWORKER INPUT'!$C$7)</x:f>
        <x:v>Cyber Security Uplift</x:v>
      </x:c>
      <x:c r="C11" s="75" t="str">
        <x:f>IF($A11="","",'COWORKER INPUT'!$D$7)</x:f>
        <x:v>In Delivery</x:v>
      </x:c>
      <x:c r="D11" s="75" t="str">
        <x:f>IF($A11="","",'COWORKER INPUT'!$E$7)</x:f>
        <x:v>On Track</x:v>
      </x:c>
      <x:c r="E11" s="103" t="n">
        <x:f>IF($A11="","",'COWORKER INPUT'!$I$7)</x:f>
        <x:v>46353</x:v>
      </x:c>
      <x:c r="F11" s="103" t="n">
        <x:f>IF($A11="","",'COWORKER INPUT'!$J$7)</x:f>
        <x:v>46353</x:v>
      </x:c>
      <x:c r="G11" s="104" t="n">
        <x:f ca="1">IF(OR($A11="",'COWORKER INPUT'!$F$7=""),"",'COWORKER INPUT'!$F$7/100)</x:f>
        <x:v>0.7196969696969697</x:v>
      </x:c>
      <x:c r="H11" s="104" t="n">
        <x:f>IF(OR($A11="",'COWORKER INPUT'!$G$7=""),"",'COWORKER INPUT'!$G$7/100)</x:f>
        <x:v>0.8166666666666668</x:v>
      </x:c>
      <x:c r="I11" s="104" t="n">
        <x:f ca="1">IF(OR($G11="",$H11=""),"",$H11-$G11)</x:f>
        <x:v>0.09696969696969704</x:v>
      </x:c>
      <x:c r="J11" s="105" t="n">
        <x:f>IF($A11="","",IF(AND('COWORKER INPUT'!$P$7="",'COWORKER INPUT'!$V$7=""),"",N('COWORKER INPUT'!$P$7)+N('COWORKER INPUT'!$V$7)))</x:f>
        <x:v>500000</x:v>
      </x:c>
      <x:c r="K11" s="105" t="str">
        <x:f>IF($A11="","",IF(AND('COWORKER INPUT'!$Q$7="",'COWORKER INPUT'!$W$7=""),"",N('COWORKER INPUT'!$Q$7)+N('COWORKER INPUT'!$W$7)))</x:f>
      </x:c>
      <x:c r="L11" s="105" t="n">
        <x:f>IF($A11="","",IF(AND($J11="",$K11=""),"",N($J11)+N($K11)))</x:f>
        <x:v>500000</x:v>
      </x:c>
      <x:c r="M11" s="105" t="n">
        <x:f>IF($A11="","",IF(AND('COWORKER INPUT'!$S$7="",'COWORKER INPUT'!$Y$7=""),"",N('COWORKER INPUT'!$S$7)+N('COWORKER INPUT'!$Y$7)))</x:f>
        <x:v>339000</x:v>
      </x:c>
      <x:c r="N11" s="104" t="n">
        <x:f>IF(OR($A11="",$L11="",$L11=0,$M11=""),"",$M11/$L11)</x:f>
        <x:v>0.678</x:v>
      </x:c>
      <x:c r="O11" s="105" t="n">
        <x:f>IF(OR($A11="",$L11="",$M11=""),"",$L11-$M11)</x:f>
        <x:v>161000</x:v>
      </x:c>
      <x:c r="P11" s="106" t="n">
        <x:f>IF($A11="","",'COWORKER INPUT'!$AA$7)</x:f>
        <x:v>1.1613149847094801</x:v>
      </x:c>
    </x:row>
    <x:row r="12">
      <x:c r="A12" s="75" t="str">
        <x:f>IF('COWORKER INPUT'!$B$8="","",'COWORKER INPUT'!$B$8)</x:f>
        <x:v>DIG-004</x:v>
      </x:c>
      <x:c r="B12" s="75" t="str">
        <x:f>IF($A12="","",'COWORKER INPUT'!$C$8)</x:f>
        <x:v>Data Platform Modernisation</x:v>
      </x:c>
      <x:c r="C12" s="75" t="str">
        <x:f>IF($A12="","",'COWORKER INPUT'!$D$8)</x:f>
        <x:v>In Delivery</x:v>
      </x:c>
      <x:c r="D12" s="75" t="str">
        <x:f>IF($A12="","",'COWORKER INPUT'!$E$8)</x:f>
        <x:v>At Risk (Budget)</x:v>
      </x:c>
      <x:c r="E12" s="103" t="n">
        <x:f>IF($A12="","",'COWORKER INPUT'!$I$8)</x:f>
        <x:v>46477</x:v>
      </x:c>
      <x:c r="F12" s="103" t="n">
        <x:f>IF($A12="","",'COWORKER INPUT'!$J$8)</x:f>
        <x:v>46477</x:v>
      </x:c>
      <x:c r="G12" s="104" t="n">
        <x:f ca="1">IF(OR($A12="",'COWORKER INPUT'!$F$8=""),"",'COWORKER INPUT'!$F$8/100)</x:f>
        <x:v>0.40178571428571425</x:v>
      </x:c>
      <x:c r="H12" s="104" t="n">
        <x:f>IF(OR($A12="",'COWORKER INPUT'!$G$8=""),"",'COWORKER INPUT'!$G$8/100)</x:f>
        <x:v>0.35</x:v>
      </x:c>
      <x:c r="I12" s="104" t="n">
        <x:f ca="1">IF(OR($G12="",$H12=""),"",$H12-$G12)</x:f>
        <x:v>-0.05178571428571427</x:v>
      </x:c>
      <x:c r="J12" s="105" t="n">
        <x:f>IF($A12="","",IF(AND('COWORKER INPUT'!$P$8="",'COWORKER INPUT'!$V$8=""),"",N('COWORKER INPUT'!$P$8)+N('COWORKER INPUT'!$V$8)))</x:f>
        <x:v>1180000</x:v>
      </x:c>
      <x:c r="K12" s="105" t="n">
        <x:f>IF($A12="","",IF(AND('COWORKER INPUT'!$Q$8="",'COWORKER INPUT'!$W$8=""),"",N('COWORKER INPUT'!$Q$8)+N('COWORKER INPUT'!$W$8)))</x:f>
        <x:v>200000</x:v>
      </x:c>
      <x:c r="L12" s="105" t="n">
        <x:f>IF($A12="","",IF(AND($J12="",$K12=""),"",N($J12)+N($K12)))</x:f>
        <x:v>1380000</x:v>
      </x:c>
      <x:c r="M12" s="105" t="n">
        <x:f>IF($A12="","",IF(AND('COWORKER INPUT'!$S$8="",'COWORKER INPUT'!$Y$8=""),"",N('COWORKER INPUT'!$S$8)+N('COWORKER INPUT'!$Y$8)))</x:f>
        <x:v>511000</x:v>
      </x:c>
      <x:c r="N12" s="104" t="n">
        <x:f>IF(OR($A12="",$L12="",$L12=0,$M12=""),"",$M12/$L12)</x:f>
        <x:v>0.37028985507246376</x:v>
      </x:c>
      <x:c r="O12" s="105" t="n">
        <x:f>IF(OR($A12="",$L12="",$M12=""),"",$L12-$M12)</x:f>
        <x:v>869000</x:v>
      </x:c>
      <x:c r="P12" s="106" t="n">
        <x:f>IF($A12="","",'COWORKER INPUT'!$AA$8)</x:f>
        <x:v>0.9777777777777776</x:v>
      </x:c>
    </x:row>
    <x:row r="13">
      <x:c r="A13" s="75" t="str">
        <x:f>IF('COWORKER INPUT'!$B$9="","",'COWORKER INPUT'!$B$9)</x:f>
        <x:v>DIG-005</x:v>
      </x:c>
      <x:c r="B13" s="75" t="str">
        <x:f>IF($A13="","",'COWORKER INPUT'!$C$9)</x:f>
        <x:v>Mobile Workforce App</x:v>
      </x:c>
      <x:c r="C13" s="75" t="str">
        <x:f>IF($A13="","",'COWORKER INPUT'!$D$9)</x:f>
        <x:v>Operational / Live</x:v>
      </x:c>
      <x:c r="D13" s="75" t="str">
        <x:f>IF($A13="","",'COWORKER INPUT'!$E$9)</x:f>
        <x:v>Live</x:v>
      </x:c>
      <x:c r="E13" s="103" t="n">
        <x:f>IF($A13="","",'COWORKER INPUT'!$I$9)</x:f>
        <x:v>46262</x:v>
      </x:c>
      <x:c r="F13" s="103" t="n">
        <x:f>IF($A13="","",'COWORKER INPUT'!$J$9)</x:f>
        <x:v>46262</x:v>
      </x:c>
      <x:c r="G13" s="104" t="n">
        <x:f ca="1">IF(OR($A13="",'COWORKER INPUT'!$F$9=""),"",'COWORKER INPUT'!$F$9/100)</x:f>
        <x:v>1</x:v>
      </x:c>
      <x:c r="H13" s="104" t="n">
        <x:f>IF(OR($A13="",'COWORKER INPUT'!$G$9=""),"",'COWORKER INPUT'!$G$9/100)</x:f>
        <x:v>1</x:v>
      </x:c>
      <x:c r="I13" s="104" t="n">
        <x:f ca="1">IF(OR($G13="",$H13=""),"",$H13-$G13)</x:f>
        <x:v>0</x:v>
      </x:c>
      <x:c r="J13" s="105" t="n">
        <x:f>IF($A13="","",IF(AND('COWORKER INPUT'!$P$9="",'COWORKER INPUT'!$V$9=""),"",N('COWORKER INPUT'!$P$9)+N('COWORKER INPUT'!$V$9)))</x:f>
        <x:v>500000</x:v>
      </x:c>
      <x:c r="K13" s="105" t="str">
        <x:f>IF($A13="","",IF(AND('COWORKER INPUT'!$Q$9="",'COWORKER INPUT'!$W$9=""),"",N('COWORKER INPUT'!$Q$9)+N('COWORKER INPUT'!$W$9)))</x:f>
      </x:c>
      <x:c r="L13" s="105" t="n">
        <x:f>IF($A13="","",IF(AND($J13="",$K13=""),"",N($J13)+N($K13)))</x:f>
        <x:v>500000</x:v>
      </x:c>
      <x:c r="M13" s="105" t="n">
        <x:f>IF($A13="","",IF(AND('COWORKER INPUT'!$S$9="",'COWORKER INPUT'!$Y$9=""),"",N('COWORKER INPUT'!$S$9)+N('COWORKER INPUT'!$Y$9)))</x:f>
        <x:v>489000</x:v>
      </x:c>
      <x:c r="N13" s="104" t="n">
        <x:f>IF(OR($A13="",$L13="",$L13=0,$M13=""),"",$M13/$L13)</x:f>
        <x:v>0.978</x:v>
      </x:c>
      <x:c r="O13" s="105" t="n">
        <x:f>IF(OR($A13="",$L13="",$M13=""),"",$L13-$M13)</x:f>
        <x:v>11000</x:v>
      </x:c>
      <x:c r="P13" s="106" t="n">
        <x:f>IF($A13="","",'COWORKER INPUT'!$AA$9)</x:f>
        <x:v>1.0227272727272727</x:v>
      </x:c>
    </x:row>
    <x:row r="14">
      <x:c r="A14" s="75" t="str">
        <x:f>IF('COWORKER INPUT'!$B$10="","",'COWORKER INPUT'!$B$10)</x:f>
        <x:v>DIG-006</x:v>
      </x:c>
      <x:c r="B14" s="75" t="str">
        <x:f>IF($A14="","",'COWORKER INPUT'!$C$10)</x:f>
        <x:v>CRM Consolidation</x:v>
      </x:c>
      <x:c r="C14" s="75" t="str">
        <x:f>IF($A14="","",'COWORKER INPUT'!$D$10)</x:f>
        <x:v>In Delivery</x:v>
      </x:c>
      <x:c r="D14" s="75" t="str">
        <x:f>IF($A14="","",'COWORKER INPUT'!$E$10)</x:f>
        <x:v>At Risk (Date)</x:v>
      </x:c>
      <x:c r="E14" s="103" t="n">
        <x:f>IF($A14="","",'COWORKER INPUT'!$I$10)</x:f>
        <x:v>46360</x:v>
      </x:c>
      <x:c r="F14" s="103" t="n">
        <x:f>IF($A14="","",'COWORKER INPUT'!$J$10)</x:f>
        <x:v>46430</x:v>
      </x:c>
      <x:c r="G14" s="104" t="n">
        <x:f ca="1">IF(OR($A14="",'COWORKER INPUT'!$F$10=""),"",'COWORKER INPUT'!$F$10/100)</x:f>
        <x:v>0.73</x:v>
      </x:c>
      <x:c r="H14" s="104" t="n">
        <x:f>IF(OR($A14="",'COWORKER INPUT'!$G$10=""),"",'COWORKER INPUT'!$G$10/100)</x:f>
        <x:v>0.45</x:v>
      </x:c>
      <x:c r="I14" s="104" t="n">
        <x:f ca="1">IF(OR($G14="",$H14=""),"",$H14-$G14)</x:f>
        <x:v>-0.27999999999999997</x:v>
      </x:c>
      <x:c r="J14" s="105" t="n">
        <x:f>IF($A14="","",IF(AND('COWORKER INPUT'!$P$10="",'COWORKER INPUT'!$V$10=""),"",N('COWORKER INPUT'!$P$10)+N('COWORKER INPUT'!$V$10)))</x:f>
        <x:v>850000</x:v>
      </x:c>
      <x:c r="K14" s="105" t="n">
        <x:f>IF($A14="","",IF(AND('COWORKER INPUT'!$Q$10="",'COWORKER INPUT'!$W$10=""),"",N('COWORKER INPUT'!$Q$10)+N('COWORKER INPUT'!$W$10)))</x:f>
        <x:v>75000</x:v>
      </x:c>
      <x:c r="L14" s="105" t="n">
        <x:f>IF($A14="","",IF(AND($J14="",$K14=""),"",N($J14)+N($K14)))</x:f>
        <x:v>925000</x:v>
      </x:c>
      <x:c r="M14" s="105" t="n">
        <x:f>IF($A14="","",IF(AND('COWORKER INPUT'!$S$10="",'COWORKER INPUT'!$Y$10=""),"",N('COWORKER INPUT'!$S$10)+N('COWORKER INPUT'!$Y$10)))</x:f>
        <x:v>428000</x:v>
      </x:c>
      <x:c r="N14" s="104" t="n">
        <x:f>IF(OR($A14="",$L14="",$L14=0,$M14=""),"",$M14/$L14)</x:f>
        <x:v>0.4627027027027027</x:v>
      </x:c>
      <x:c r="O14" s="105" t="n">
        <x:f>IF(OR($A14="",$L14="",$M14=""),"",$L14-$M14)</x:f>
        <x:v>497000</x:v>
      </x:c>
      <x:c r="P14" s="106" t="n">
        <x:f>IF($A14="","",'COWORKER INPUT'!$AA$10)</x:f>
        <x:v>0.9912587412587412</x:v>
      </x:c>
    </x:row>
    <x:row r="15">
      <x:c r="A15" s="75" t="str">
        <x:f>IF('COWORKER INPUT'!$B$11="","",'COWORKER INPUT'!$B$11)</x:f>
        <x:v>DIG-007</x:v>
      </x:c>
      <x:c r="B15" s="75" t="str">
        <x:f>IF($A15="","",'COWORKER INPUT'!$C$11)</x:f>
        <x:v>Cloud Landing Zone</x:v>
      </x:c>
      <x:c r="C15" s="75" t="str">
        <x:f>IF($A15="","",'COWORKER INPUT'!$D$11)</x:f>
        <x:v>Operational / Live</x:v>
      </x:c>
      <x:c r="D15" s="75" t="str">
        <x:f>IF($A15="","",'COWORKER INPUT'!$E$11)</x:f>
        <x:v>Live</x:v>
      </x:c>
      <x:c r="E15" s="103" t="n">
        <x:f>IF($A15="","",'COWORKER INPUT'!$I$11)</x:f>
        <x:v>46234</x:v>
      </x:c>
      <x:c r="F15" s="103" t="n">
        <x:f>IF($A15="","",'COWORKER INPUT'!$J$11)</x:f>
        <x:v>46234</x:v>
      </x:c>
      <x:c r="G15" s="104" t="n">
        <x:f ca="1">IF(OR($A15="",'COWORKER INPUT'!$F$11=""),"",'COWORKER INPUT'!$F$11/100)</x:f>
        <x:v>1</x:v>
      </x:c>
      <x:c r="H15" s="104" t="n">
        <x:f>IF(OR($A15="",'COWORKER INPUT'!$G$11=""),"",'COWORKER INPUT'!$G$11/100)</x:f>
        <x:v>1</x:v>
      </x:c>
      <x:c r="I15" s="104" t="n">
        <x:f ca="1">IF(OR($G15="",$H15=""),"",$H15-$G15)</x:f>
        <x:v>0</x:v>
      </x:c>
      <x:c r="J15" s="105" t="n">
        <x:f>IF($A15="","",IF(AND('COWORKER INPUT'!$P$11="",'COWORKER INPUT'!$V$11=""),"",N('COWORKER INPUT'!$P$11)+N('COWORKER INPUT'!$V$11)))</x:f>
        <x:v>450000</x:v>
      </x:c>
      <x:c r="K15" s="105" t="str">
        <x:f>IF($A15="","",IF(AND('COWORKER INPUT'!$Q$11="",'COWORKER INPUT'!$W$11=""),"",N('COWORKER INPUT'!$Q$11)+N('COWORKER INPUT'!$W$11)))</x:f>
      </x:c>
      <x:c r="L15" s="105" t="n">
        <x:f>IF($A15="","",IF(AND($J15="",$K15=""),"",N($J15)+N($K15)))</x:f>
        <x:v>450000</x:v>
      </x:c>
      <x:c r="M15" s="105" t="n">
        <x:f>IF($A15="","",IF(AND('COWORKER INPUT'!$S$11="",'COWORKER INPUT'!$Y$11=""),"",N('COWORKER INPUT'!$S$11)+N('COWORKER INPUT'!$Y$11)))</x:f>
        <x:v>444000</x:v>
      </x:c>
      <x:c r="N15" s="104" t="n">
        <x:f>IF(OR($A15="",$L15="",$L15=0,$M15=""),"",$M15/$L15)</x:f>
        <x:v>0.9866666666666667</x:v>
      </x:c>
      <x:c r="O15" s="105" t="n">
        <x:f>IF(OR($A15="",$L15="",$M15=""),"",$L15-$M15)</x:f>
        <x:v>6000</x:v>
      </x:c>
      <x:c r="P15" s="106" t="n">
        <x:f>IF($A15="","",'COWORKER INPUT'!$AA$11)</x:f>
        <x:v>1.0144927536231882</x:v>
      </x:c>
    </x:row>
    <x:row r="16">
      <x:c r="A16" s="75" t="str">
        <x:f>IF('COWORKER INPUT'!$B$12="","",'COWORKER INPUT'!$B$12)</x:f>
        <x:v>DIG-008</x:v>
      </x:c>
      <x:c r="B16" s="75" t="str">
        <x:f>IF($A16="","",'COWORKER INPUT'!$C$12)</x:f>
        <x:v>Digital Records Programme</x:v>
      </x:c>
      <x:c r="C16" s="75" t="str">
        <x:f>IF($A16="","",'COWORKER INPUT'!$D$12)</x:f>
        <x:v>Mobilising</x:v>
      </x:c>
      <x:c r="D16" s="75" t="str">
        <x:f>IF($A16="","",'COWORKER INPUT'!$E$12)</x:f>
        <x:v>On Track</x:v>
      </x:c>
      <x:c r="E16" s="103" t="n">
        <x:f>IF($A16="","",'COWORKER INPUT'!$I$12)</x:f>
        <x:v>46535</x:v>
      </x:c>
      <x:c r="F16" s="103" t="n">
        <x:f>IF($A16="","",'COWORKER INPUT'!$J$12)</x:f>
        <x:v>46535</x:v>
      </x:c>
      <x:c r="G16" s="104" t="n">
        <x:f ca="1">IF(OR($A16="",'COWORKER INPUT'!$F$12=""),"",'COWORKER INPUT'!$F$12/100)</x:f>
        <x:v>0.14285714285714285</x:v>
      </x:c>
      <x:c r="H16" s="104" t="n">
        <x:f>IF(OR($A16="",'COWORKER INPUT'!$G$12=""),"",'COWORKER INPUT'!$G$12/100)</x:f>
        <x:v>0.13333333333333333</x:v>
      </x:c>
      <x:c r="I16" s="104" t="n">
        <x:f ca="1">IF(OR($G16="",$H16=""),"",$H16-$G16)</x:f>
        <x:v>-0.009523809523809518</x:v>
      </x:c>
      <x:c r="J16" s="105" t="n">
        <x:f>IF($A16="","",IF(AND('COWORKER INPUT'!$P$12="",'COWORKER INPUT'!$V$12=""),"",N('COWORKER INPUT'!$P$12)+N('COWORKER INPUT'!$V$12)))</x:f>
        <x:v>680000</x:v>
      </x:c>
      <x:c r="K16" s="105" t="str">
        <x:f>IF($A16="","",IF(AND('COWORKER INPUT'!$Q$12="",'COWORKER INPUT'!$W$12=""),"",N('COWORKER INPUT'!$Q$12)+N('COWORKER INPUT'!$W$12)))</x:f>
      </x:c>
      <x:c r="L16" s="105" t="n">
        <x:f>IF($A16="","",IF(AND($J16="",$K16=""),"",N($J16)+N($K16)))</x:f>
        <x:v>680000</x:v>
      </x:c>
      <x:c r="M16" s="105" t="n">
        <x:f>IF($A16="","",IF(AND('COWORKER INPUT'!$S$12="",'COWORKER INPUT'!$Y$12=""),"",N('COWORKER INPUT'!$S$12)+N('COWORKER INPUT'!$Y$12)))</x:f>
        <x:v>100000</x:v>
      </x:c>
      <x:c r="N16" s="104" t="n">
        <x:f>IF(OR($A16="",$L16="",$L16=0,$M16=""),"",$M16/$L16)</x:f>
        <x:v>0.14705882352941177</x:v>
      </x:c>
      <x:c r="O16" s="105" t="n">
        <x:f>IF(OR($A16="",$L16="",$M16=""),"",$L16-$M16)</x:f>
        <x:v>580000</x:v>
      </x:c>
      <x:c r="P16" s="106" t="n">
        <x:f>IF($A16="","",'COWORKER INPUT'!$AA$12)</x:f>
        <x:v>0.8695652173913044</x:v>
      </x:c>
    </x:row>
    <x:row r="17">
      <x:c r="A17" s="75" t="str">
        <x:f>IF('COWORKER INPUT'!$B$13="","",'COWORKER INPUT'!$B$13)</x:f>
        <x:v>DIG-009</x:v>
      </x:c>
      <x:c r="B17" s="75" t="str">
        <x:f>IF($A17="","",'COWORKER INPUT'!$C$13)</x:f>
        <x:v>Service Desk Automation</x:v>
      </x:c>
      <x:c r="C17" s="75" t="str">
        <x:f>IF($A17="","",'COWORKER INPUT'!$D$13)</x:f>
        <x:v>In Delivery</x:v>
      </x:c>
      <x:c r="D17" s="75" t="str">
        <x:f>IF($A17="","",'COWORKER INPUT'!$E$13)</x:f>
        <x:v>On Track</x:v>
      </x:c>
      <x:c r="E17" s="103" t="n">
        <x:f>IF($A17="","",'COWORKER INPUT'!$I$13)</x:f>
        <x:v>46339</x:v>
      </x:c>
      <x:c r="F17" s="103" t="n">
        <x:f>IF($A17="","",'COWORKER INPUT'!$J$13)</x:f>
        <x:v>46346</x:v>
      </x:c>
      <x:c r="G17" s="104" t="n">
        <x:f ca="1">IF(OR($A17="",'COWORKER INPUT'!$F$13=""),"",'COWORKER INPUT'!$F$13/100)</x:f>
        <x:v>0.7468354430379747</x:v>
      </x:c>
      <x:c r="H17" s="104" t="n">
        <x:f>IF(OR($A17="",'COWORKER INPUT'!$G$13=""),"",'COWORKER INPUT'!$G$13/100)</x:f>
        <x:v>0.7333333333333334</x:v>
      </x:c>
      <x:c r="I17" s="104" t="n">
        <x:f ca="1">IF(OR($G17="",$H17=""),"",$H17-$G17)</x:f>
        <x:v>-0.013502109704641274</x:v>
      </x:c>
      <x:c r="J17" s="105" t="n">
        <x:f>IF($A17="","",IF(AND('COWORKER INPUT'!$P$13="",'COWORKER INPUT'!$V$13=""),"",N('COWORKER INPUT'!$P$13)+N('COWORKER INPUT'!$V$13)))</x:f>
        <x:v>460000</x:v>
      </x:c>
      <x:c r="K17" s="105" t="n">
        <x:f>IF($A17="","",IF(AND('COWORKER INPUT'!$Q$13="",'COWORKER INPUT'!$W$13=""),"",N('COWORKER INPUT'!$Q$13)+N('COWORKER INPUT'!$W$13)))</x:f>
        <x:v>15000</x:v>
      </x:c>
      <x:c r="L17" s="105" t="n">
        <x:f>IF($A17="","",IF(AND($J17="",$K17=""),"",N($J17)+N($K17)))</x:f>
        <x:v>475000</x:v>
      </x:c>
      <x:c r="M17" s="105" t="n">
        <x:f>IF($A17="","",IF(AND('COWORKER INPUT'!$S$13="",'COWORKER INPUT'!$Y$13=""),"",N('COWORKER INPUT'!$S$13)+N('COWORKER INPUT'!$Y$13)))</x:f>
        <x:v>303000</x:v>
      </x:c>
      <x:c r="N17" s="104" t="n">
        <x:f>IF(OR($A17="",$L17="",$L17=0,$M17=""),"",$M17/$L17)</x:f>
        <x:v>0.6378947368421053</x:v>
      </x:c>
      <x:c r="O17" s="105" t="n">
        <x:f>IF(OR($A17="",$L17="",$M17=""),"",$L17-$M17)</x:f>
        <x:v>172000</x:v>
      </x:c>
      <x:c r="P17" s="106" t="n">
        <x:f>IF($A17="","",'COWORKER INPUT'!$AA$13)</x:f>
        <x:v>1.1458333333333335</x:v>
      </x:c>
    </x:row>
    <x:row r="18">
      <x:c r="A18" s="75" t="str">
        <x:f>IF('COWORKER INPUT'!$B$14="","",'COWORKER INPUT'!$B$14)</x:f>
        <x:v>DIG-010</x:v>
      </x:c>
      <x:c r="B18" s="75" t="str">
        <x:f>IF($A18="","",'COWORKER INPUT'!$C$14)</x:f>
        <x:v>Procurement Analytics</x:v>
      </x:c>
      <x:c r="C18" s="75" t="str">
        <x:f>IF($A18="","",'COWORKER INPUT'!$D$14)</x:f>
        <x:v>In Delivery</x:v>
      </x:c>
      <x:c r="D18" s="75" t="str">
        <x:f>IF($A18="","",'COWORKER INPUT'!$E$14)</x:f>
        <x:v>Blocked</x:v>
      </x:c>
      <x:c r="E18" s="103" t="n">
        <x:f>IF($A18="","",'COWORKER INPUT'!$I$14)</x:f>
        <x:v>46311</x:v>
      </x:c>
      <x:c r="F18" s="103" t="n">
        <x:f>IF($A18="","",'COWORKER INPUT'!$J$14)</x:f>
        <x:v>46367</x:v>
      </x:c>
      <x:c r="G18" s="104" t="n">
        <x:f ca="1">IF(OR($A18="",'COWORKER INPUT'!$F$14=""),"",'COWORKER INPUT'!$F$14/100)</x:f>
        <x:v>0.8306878306878306</x:v>
      </x:c>
      <x:c r="H18" s="104" t="n">
        <x:f>IF(OR($A18="",'COWORKER INPUT'!$G$14=""),"",'COWORKER INPUT'!$G$14/100)</x:f>
        <x:v>0.3666666666666667</x:v>
      </x:c>
      <x:c r="I18" s="104" t="n">
        <x:f ca="1">IF(OR($G18="",$H18=""),"",$H18-$G18)</x:f>
        <x:v>-0.4640211640211639</x:v>
      </x:c>
      <x:c r="J18" s="105" t="n">
        <x:f>IF($A18="","",IF(AND('COWORKER INPUT'!$P$14="",'COWORKER INPUT'!$V$14=""),"",N('COWORKER INPUT'!$P$14)+N('COWORKER INPUT'!$V$14)))</x:f>
        <x:v>475000</x:v>
      </x:c>
      <x:c r="K18" s="105" t="n">
        <x:f>IF($A18="","",IF(AND('COWORKER INPUT'!$Q$14="",'COWORKER INPUT'!$W$14=""),"",N('COWORKER INPUT'!$Q$14)+N('COWORKER INPUT'!$W$14)))</x:f>
        <x:v>30000</x:v>
      </x:c>
      <x:c r="L18" s="105" t="n">
        <x:f>IF($A18="","",IF(AND($J18="",$K18=""),"",N($J18)+N($K18)))</x:f>
        <x:v>505000</x:v>
      </x:c>
      <x:c r="M18" s="105" t="n">
        <x:f>IF($A18="","",IF(AND('COWORKER INPUT'!$S$14="",'COWORKER INPUT'!$Y$14=""),"",N('COWORKER INPUT'!$S$14)+N('COWORKER INPUT'!$Y$14)))</x:f>
        <x:v>198000</x:v>
      </x:c>
      <x:c r="N18" s="104" t="n">
        <x:f>IF(OR($A18="",$L18="",$L18=0,$M18=""),"",$M18/$L18)</x:f>
        <x:v>0.3920792079207921</x:v>
      </x:c>
      <x:c r="O18" s="105" t="n">
        <x:f>IF(OR($A18="",$L18="",$M18=""),"",$L18-$M18)</x:f>
        <x:v>307000</x:v>
      </x:c>
      <x:c r="P18" s="106" t="n">
        <x:f>IF($A18="","",'COWORKER INPUT'!$AA$14)</x:f>
        <x:v>0.9657738095238095</x:v>
      </x:c>
    </x:row>
    <x:row r="19">
      <x:c r="A19" s="75" t="str">
        <x:f>IF('COWORKER INPUT'!$B$15="","",'COWORKER INPUT'!$B$15)</x:f>
        <x:v>DIG-011</x:v>
      </x:c>
      <x:c r="B19" s="75" t="str">
        <x:f>IF($A19="","",'COWORKER INPUT'!$C$15)</x:f>
        <x:v>Identity Access Management</x:v>
      </x:c>
      <x:c r="C19" s="75" t="str">
        <x:f>IF($A19="","",'COWORKER INPUT'!$D$15)</x:f>
        <x:v>In Delivery</x:v>
      </x:c>
      <x:c r="D19" s="75" t="str">
        <x:f>IF($A19="","",'COWORKER INPUT'!$E$15)</x:f>
        <x:v>On Track</x:v>
      </x:c>
      <x:c r="E19" s="103" t="n">
        <x:f>IF($A19="","",'COWORKER INPUT'!$I$15)</x:f>
        <x:v>46416</x:v>
      </x:c>
      <x:c r="F19" s="103" t="n">
        <x:f>IF($A19="","",'COWORKER INPUT'!$J$15)</x:f>
        <x:v>46416</x:v>
      </x:c>
      <x:c r="G19" s="104" t="n">
        <x:f ca="1">IF(OR($A19="",'COWORKER INPUT'!$F$15=""),"",'COWORKER INPUT'!$F$15/100)</x:f>
        <x:v>0.43209876543209874</x:v>
      </x:c>
      <x:c r="H19" s="104" t="n">
        <x:f>IF(OR($A19="",'COWORKER INPUT'!$G$15=""),"",'COWORKER INPUT'!$G$15/100)</x:f>
        <x:v>0.45</x:v>
      </x:c>
      <x:c r="I19" s="104" t="n">
        <x:f ca="1">IF(OR($G19="",$H19=""),"",$H19-$G19)</x:f>
        <x:v>0.01790123456790127</x:v>
      </x:c>
      <x:c r="J19" s="105" t="n">
        <x:f>IF($A19="","",IF(AND('COWORKER INPUT'!$P$15="",'COWORKER INPUT'!$V$15=""),"",N('COWORKER INPUT'!$P$15)+N('COWORKER INPUT'!$V$15)))</x:f>
        <x:v>725000</x:v>
      </x:c>
      <x:c r="K19" s="105" t="str">
        <x:f>IF($A19="","",IF(AND('COWORKER INPUT'!$Q$15="",'COWORKER INPUT'!$W$15=""),"",N('COWORKER INPUT'!$Q$15)+N('COWORKER INPUT'!$W$15)))</x:f>
      </x:c>
      <x:c r="L19" s="105" t="n">
        <x:f>IF($A19="","",IF(AND($J19="",$K19=""),"",N($J19)+N($K19)))</x:f>
        <x:v>725000</x:v>
      </x:c>
      <x:c r="M19" s="105" t="n">
        <x:f>IF($A19="","",IF(AND('COWORKER INPUT'!$S$15="",'COWORKER INPUT'!$Y$15=""),"",N('COWORKER INPUT'!$S$15)+N('COWORKER INPUT'!$Y$15)))</x:f>
        <x:v>285000</x:v>
      </x:c>
      <x:c r="N19" s="104" t="n">
        <x:f>IF(OR($A19="",$L19="",$L19=0,$M19=""),"",$M19/$L19)</x:f>
        <x:v>0.3931034482758621</x:v>
      </x:c>
      <x:c r="O19" s="105" t="n">
        <x:f>IF(OR($A19="",$L19="",$M19=""),"",$L19-$M19)</x:f>
        <x:v>440000</x:v>
      </x:c>
      <x:c r="P19" s="106" t="n">
        <x:f>IF($A19="","",'COWORKER INPUT'!$AA$15)</x:f>
        <x:v>1.125</x:v>
      </x:c>
    </x:row>
    <x:row r="20">
      <x:c r="A20" s="75" t="str">
        <x:f>IF('COWORKER INPUT'!$B$16="","",'COWORKER INPUT'!$B$16)</x:f>
        <x:v>DIG-012</x:v>
      </x:c>
      <x:c r="B20" s="75" t="str">
        <x:f>IF($A20="","",'COWORKER INPUT'!$C$16)</x:f>
        <x:v>Legacy Application Decommission</x:v>
      </x:c>
      <x:c r="C20" s="75" t="str">
        <x:f>IF($A20="","",'COWORKER INPUT'!$D$16)</x:f>
        <x:v>Paused (On Hold)</x:v>
      </x:c>
      <x:c r="D20" s="75" t="str">
        <x:f>IF($A20="","",'COWORKER INPUT'!$E$16)</x:f>
        <x:v>Cancelled / Deferred</x:v>
      </x:c>
      <x:c r="E20" s="103" t="n">
        <x:f>IF($A20="","",'COWORKER INPUT'!$I$16)</x:f>
        <x:v>46374</x:v>
      </x:c>
      <x:c r="F20" s="103" t="n">
        <x:f>IF($A20="","",'COWORKER INPUT'!$J$16)</x:f>
        <x:v>46472</x:v>
      </x:c>
      <x:c r="G20" s="104" t="n">
        <x:f ca="1">IF(OR($A20="",'COWORKER INPUT'!$F$16=""),"",'COWORKER INPUT'!$F$16/100)</x:f>
        <x:v>0.6833333333333332</x:v>
      </x:c>
      <x:c r="H20" s="104" t="n">
        <x:f>IF(OR($A20="",'COWORKER INPUT'!$G$16=""),"",'COWORKER INPUT'!$G$16/100)</x:f>
        <x:v>0.2333333333333333</x:v>
      </x:c>
      <x:c r="I20" s="104" t="n">
        <x:f ca="1">IF(OR($G20="",$H20=""),"",$H20-$G20)</x:f>
        <x:v>-0.44999999999999996</x:v>
      </x:c>
      <x:c r="J20" s="105" t="n">
        <x:f>IF($A20="","",IF(AND('COWORKER INPUT'!$P$16="",'COWORKER INPUT'!$V$16=""),"",N('COWORKER INPUT'!$P$16)+N('COWORKER INPUT'!$V$16)))</x:f>
        <x:v>545000</x:v>
      </x:c>
      <x:c r="K20" s="105" t="str">
        <x:f>IF($A20="","",IF(AND('COWORKER INPUT'!$Q$16="",'COWORKER INPUT'!$W$16=""),"",N('COWORKER INPUT'!$Q$16)+N('COWORKER INPUT'!$W$16)))</x:f>
      </x:c>
      <x:c r="L20" s="105" t="n">
        <x:f>IF($A20="","",IF(AND($J20="",$K20=""),"",N($J20)+N($K20)))</x:f>
        <x:v>545000</x:v>
      </x:c>
      <x:c r="M20" s="105" t="n">
        <x:f>IF($A20="","",IF(AND('COWORKER INPUT'!$S$16="",'COWORKER INPUT'!$Y$16=""),"",N('COWORKER INPUT'!$S$16)+N('COWORKER INPUT'!$Y$16)))</x:f>
        <x:v>138000</x:v>
      </x:c>
      <x:c r="N20" s="104" t="n">
        <x:f>IF(OR($A20="",$L20="",$L20=0,$M20=""),"",$M20/$L20)</x:f>
        <x:v>0.25321100917431194</x:v>
      </x:c>
      <x:c r="O20" s="105" t="n">
        <x:f>IF(OR($A20="",$L20="",$M20=""),"",$L20-$M20)</x:f>
        <x:v>407000</x:v>
      </x:c>
      <x:c r="P20" s="106" t="n">
        <x:f>IF($A20="","",'COWORKER INPUT'!$AA$16)</x:f>
        <x:v>0.9381443298969071</x:v>
      </x:c>
    </x:row>
    <x:row r="22" ht="24" customHeight="1">
      <x:c r="A22" s="78" t="s">
        <x:v>22</x:v>
      </x:c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</x:row>
    <x:row r="24" ht="26.049999237060547" customHeight="1">
      <x:c r="A24" s="85" t="s">
        <x:v>23</x:v>
      </x:c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</x:row>
    <x:row r="45">
      <x:c r="I45" s="86" t="s">
        <x:v>24</x:v>
      </x:c>
      <x:c r="J45" s="86"/>
      <x:c r="K45" s="86"/>
      <x:c r="L45" s="86"/>
      <x:c r="M45" s="86"/>
      <x:c r="N45" s="86"/>
      <x:c r="O45" s="86"/>
      <x:c r="P45" s="86"/>
    </x:row>
    <x:row r="46" ht="25" customHeight="1">
      <x:c r="I46" s="87" t="str">
        <x:f ca="1">IF(OR(COUNT($G$9:$G$20)=0,COUNT($H$9:$H$20)=0),"No governed delivery progress is available.",IF(AVERAGE($H$9:$H$20)&lt;AVERAGE($G$9:$G$20),"Delivery is "&amp;TEXT(AVERAGE($G$9:$G$20)-AVERAGE($H$9:$H$20),"0.0%")&amp;" behind plan overall.",IF(AVERAGE($H$9:$H$20)&gt;AVERAGE($G$9:$G$20),"Delivery is "&amp;TEXT(AVERAGE($H$9:$H$20)-AVERAGE($G$9:$G$20),"0.0%")&amp;" ahead of plan overall.","Delivery is on plan overall.")))</x:f>
        <x:v>Delivery is 11.6% behind plan overall.</x:v>
      </x:c>
      <x:c r="J46" s="87"/>
      <x:c r="K46" s="87"/>
      <x:c r="L46" s="87"/>
      <x:c r="M46" s="87"/>
      <x:c r="N46" s="87"/>
      <x:c r="O46" s="87"/>
      <x:c r="P46" s="87"/>
    </x:row>
    <x:row r="47" ht="25" customHeight="1">
      <x:c r="I47" s="87" t="str">
        <x:f ca="1">IF(COUNT($I$9:$I$20)=0,"No delivery variance is available.",TEXT(COUNTIF($I$9:$I$20,"&lt;-0.1"),"0")&amp;" initiatives are more than 10 percentage points behind plan.")</x:f>
        <x:v>4 initiatives are more than 10 percentage points behind plan.</x:v>
      </x:c>
      <x:c r="J47" s="87"/>
      <x:c r="K47" s="87"/>
      <x:c r="L47" s="87"/>
      <x:c r="M47" s="87"/>
      <x:c r="N47" s="87"/>
      <x:c r="O47" s="87"/>
      <x:c r="P47" s="87"/>
    </x:row>
    <x:row r="48" ht="25" customHeight="1">
      <x:c r="I48" s="87" t="str">
        <x:f>IF(OR(COUNT($L$9:$L$20)=0,SUM($L$9:$L$20)=0),"Financial reporting is not configured for the displayed initiatives.","Portfolio spend is "&amp;TEXT(SUM($M$9:$M$20)/SUM($L$9:$L$20),"0.0%")&amp;" of approved budget.")</x:f>
        <x:v>Portfolio spend is 50.8% of approved budget.</x:v>
      </x:c>
      <x:c r="J48" s="87"/>
      <x:c r="K48" s="87"/>
      <x:c r="L48" s="87"/>
      <x:c r="M48" s="87"/>
      <x:c r="N48" s="87"/>
      <x:c r="O48" s="87"/>
      <x:c r="P48" s="87"/>
    </x:row>
    <x:row r="49" ht="25" customHeight="1">
      <x:c r="I49" s="87" t="str">
        <x:f ca="1">IF(COUNT($I$9:$I$20)=0,"No delivery gap is available.","Largest delivery gap: "&amp;INDEX($B$9:$B$20,MATCH(MIN($I$9:$I$20),$I$9:$I$20,0))&amp;" ("&amp;TEXT(MIN($I$9:$I$20),"0.0%")&amp;").")</x:f>
        <x:v>Largest delivery gap: Procurement Analytics (-46.4%).</x:v>
      </x:c>
      <x:c r="J49" s="87"/>
      <x:c r="K49" s="87"/>
      <x:c r="L49" s="87"/>
      <x:c r="M49" s="87"/>
      <x:c r="N49" s="87"/>
      <x:c r="O49" s="87"/>
      <x:c r="P49" s="87"/>
    </x:row>
  </x:sheetData>
  <x:mergeCells>
    <x:mergeCell ref="A24:P24"/>
    <x:mergeCell ref="I45:P45"/>
    <x:mergeCell ref="I46:P46"/>
    <x:mergeCell ref="I47:P47"/>
    <x:mergeCell ref="I48:P48"/>
    <x:mergeCell ref="I49:P49"/>
    <x:mergeCell ref="A5:C6"/>
    <x:mergeCell ref="D5:F6"/>
    <x:mergeCell ref="G5:I6"/>
    <x:mergeCell ref="J5:L6"/>
    <x:mergeCell ref="M5:P6"/>
    <x:mergeCell ref="A22:P22"/>
    <x:mergeCell ref="A1:P1"/>
    <x:mergeCell ref="A2:P2"/>
    <x:mergeCell ref="A4:C4"/>
    <x:mergeCell ref="D4:F4"/>
    <x:mergeCell ref="G4:I4"/>
    <x:mergeCell ref="J4:L4"/>
    <x:mergeCell ref="M4:P4"/>
  </x:mergeCells>
  <x:conditionalFormatting sqref="I9:I20">
    <x:cfRule type="expression" dxfId="16" priority="1">
      <x:formula>$I9&lt;0</x:formula>
    </x:cfRule>
  </x:conditionalFormatting>
  <x:conditionalFormatting sqref="I9:I20">
    <x:cfRule type="expression" dxfId="15" priority="2">
      <x:formula>$I9&gt;0</x:formula>
    </x:cfRule>
  </x:conditionalFormatting>
  <x:conditionalFormatting sqref="D9:D20">
    <x:cfRule type="expression" dxfId="14" priority="3">
      <x:formula>OR(ISNUMBER(SEARCH("At Risk",$D9)),$D9="Blocked",$D9="Cancelled / Deferred")</x:formula>
    </x:cfRule>
  </x:conditionalFormatting>
  <x:conditionalFormatting sqref="D9:D20">
    <x:cfRule type="expression" dxfId="13" priority="4">
      <x:formula>OR($D9="On Track",$D9="Live")</x:formula>
    </x:cfRule>
  </x:conditionalFormatting>
  <x:conditionalFormatting sqref="N9:N20"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{3C1F65B6-4F5E-4E55-B29F-5681BACD84C2}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198d63b1778433e"/>
  <x:tableParts count="1">
    <x:tablePart xmlns:r="http://schemas.openxmlformats.org/officeDocument/2006/relationships" r:id="R831c9b671dec4a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C1F65B6-4F5E-4E55-B29F-5681BACD84C2}">
            <x14:dataBar minLength="0" maxLength="100" negativeBarColorSameAsPositive="1">
              <x14:cfvo type="min"/>
              <x14:cfvo type="max"/>
              <x14:fillColor rgb="FF638EC6"/>
            </x14:dataBar>
          </x14:cfRule>
          <xm:sqref>N9:N20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1" width="13" customWidth="1"/>
    <x:col min="2" max="2" width="25" customWidth="1"/>
    <x:col min="3" max="7" width="17.5" customWidth="1"/>
    <x:col min="8" max="9" width="14.640625" customWidth="1"/>
    <x:col min="10" max="10" width="25.85546875" customWidth="1"/>
    <x:col min="11" max="11" width="18.35546875" customWidth="1"/>
    <x:col min="12" max="12" width="18" hidden="0" customWidth="1"/>
    <x:col min="13" max="13" width="28" hidden="0" customWidth="1"/>
    <x:col min="14" max="14" width="36" hidden="0" customWidth="1"/>
    <x:col min="15" max="15" width="24" hidden="0" customWidth="1"/>
    <x:col min="16" max="16" width="24" hidden="0" customWidth="1"/>
    <x:col min="17" max="17" width="32" hidden="0" customWidth="1"/>
  </x:cols>
  <x:sheetData>
    <x:row r="1" ht="34" customHeight="1">
      <x:c r="A1" s="57" t="s">
        <x:v>25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/>
      <x:c r="M1"/>
      <x:c r="N1"/>
      <x:c r="O1"/>
      <x:c r="P1"/>
      <x:c r="Q1"/>
    </x:row>
    <x:row r="2" ht="8.050000190734863" customHeight="1">
      <x:c r="A2" s="58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/>
      <x:c r="M2"/>
      <x:c r="N2"/>
      <x:c r="O2"/>
      <x:c r="P2"/>
      <x:c r="Q2"/>
    </x:row>
    <x:row r="3" ht="8.050000190734863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/>
      <x:c r="M3"/>
      <x:c r="N3"/>
      <x:c r="O3"/>
      <x:c r="P3"/>
      <x:c r="Q3"/>
    </x:row>
    <x:row r="4" ht="38.04999923706055" customHeight="1">
      <x:c r="A4" s="26" t="s">
        <x:v>6</x:v>
      </x:c>
      <x:c r="B4" s="26" t="s">
        <x:v>26</x:v>
      </x:c>
      <x:c r="C4" s="26" t="s">
        <x:v>27</x:v>
      </x:c>
      <x:c r="D4" s="26" t="s">
        <x:v>28</x:v>
      </x:c>
      <x:c r="E4" s="26" t="s">
        <x:v>29</x:v>
      </x:c>
      <x:c r="F4" s="26" t="s">
        <x:v>30</x:v>
      </x:c>
      <x:c r="G4" s="26" t="s">
        <x:v>9</x:v>
      </x:c>
      <x:c r="H4" s="26" t="s">
        <x:v>10</x:v>
      </x:c>
      <x:c r="I4" s="26" t="s">
        <x:v>11</x:v>
      </x:c>
      <x:c r="J4" s="26" t="s">
        <x:v>31</x:v>
      </x:c>
      <x:c r="K4" s="26" t="s">
        <x:v>32</x:v>
      </x:c>
      <x:c r="L4" s="93" t="str">
        <x:v>Delivery group</x:v>
      </x:c>
      <x:c r="M4" s="93" t="str">
        <x:v>Entry basis</x:v>
      </x:c>
      <x:c r="N4" s="93" t="str">
        <x:v>Delivery model</x:v>
      </x:c>
      <x:c r="O4" s="93" t="str">
        <x:v>Detailed plan owner</x:v>
      </x:c>
      <x:c r="P4" s="93" t="str">
        <x:v>Budget / cost owner</x:v>
      </x:c>
      <x:c r="Q4" s="93" t="str">
        <x:v>Digital financial reporting basis</x:v>
      </x:c>
    </x:row>
    <x:row r="5" ht="20.049999237060547" customHeight="1">
      <x:c r="A5" s="27" t="s">
        <x:v>33</x:v>
      </x:c>
      <x:c r="B5" s="27" t="s">
        <x:v>34</x:v>
      </x:c>
      <x:c r="C5" s="27" t="s">
        <x:v>35</x:v>
      </x:c>
      <x:c r="D5" s="27" t="s">
        <x:v>36</x:v>
      </x:c>
      <x:c r="E5" s="28" t="str">
        <x:v>Development Route</x:v>
      </x:c>
      <x:c r="F5" s="28" t="s">
        <x:v>37</x:v>
      </x:c>
      <x:c r="G5" s="28" t="s">
        <x:v>38</x:v>
      </x:c>
      <x:c r="H5" s="29">
        <x:v>46374</x:v>
      </x:c>
      <x:c r="I5" s="29">
        <x:v>46374</x:v>
      </x:c>
      <x:c r="J5" s="27"/>
      <x:c r="K5" s="28" t="s">
        <x:v>39</x:v>
      </x:c>
      <x:c r="L5" s="97"/>
      <x:c r="M5" s="97"/>
      <x:c r="N5" s="97"/>
      <x:c r="O5" s="97"/>
      <x:c r="P5" s="97"/>
      <x:c r="Q5" s="97"/>
    </x:row>
    <x:row r="6" ht="20.049999237060547" customHeight="1">
      <x:c r="A6" s="30" t="s">
        <x:v>40</x:v>
      </x:c>
      <x:c r="B6" s="30" t="s">
        <x:v>41</x:v>
      </x:c>
      <x:c r="C6" s="30" t="s">
        <x:v>42</x:v>
      </x:c>
      <x:c r="D6" s="30" t="s">
        <x:v>43</x:v>
      </x:c>
      <x:c r="E6" s="31" t="str">
        <x:v>Implementation Route</x:v>
      </x:c>
      <x:c r="F6" s="31" t="s">
        <x:v>37</x:v>
      </x:c>
      <x:c r="G6" s="31" t="s">
        <x:v>44</x:v>
      </x:c>
      <x:c r="H6" s="32">
        <x:v>46325</x:v>
      </x:c>
      <x:c r="I6" s="32">
        <x:v>46402</x:v>
      </x:c>
      <x:c r="J6" s="30" t="s">
        <x:v>45</x:v>
      </x:c>
      <x:c r="K6" s="31" t="s">
        <x:v>46</x:v>
      </x:c>
      <x:c r="L6" s="97"/>
      <x:c r="M6" s="97"/>
      <x:c r="N6" s="97"/>
      <x:c r="O6" s="97"/>
      <x:c r="P6" s="97"/>
      <x:c r="Q6" s="97"/>
    </x:row>
    <x:row r="7" ht="20.049999237060547" customHeight="1">
      <x:c r="A7" s="27" t="s">
        <x:v>47</x:v>
      </x:c>
      <x:c r="B7" s="30" t="s">
        <x:v>48</x:v>
      </x:c>
      <x:c r="C7" s="30" t="s">
        <x:v>49</x:v>
      </x:c>
      <x:c r="D7" s="30" t="s">
        <x:v>50</x:v>
      </x:c>
      <x:c r="E7" s="31" t="str">
        <x:v>Implementation Route</x:v>
      </x:c>
      <x:c r="F7" s="31" t="s">
        <x:v>37</x:v>
      </x:c>
      <x:c r="G7" s="31" t="s">
        <x:v>38</x:v>
      </x:c>
      <x:c r="H7" s="32">
        <x:v>46353</x:v>
      </x:c>
      <x:c r="I7" s="32">
        <x:v>46353</x:v>
      </x:c>
      <x:c r="J7" s="30"/>
      <x:c r="K7" s="31" t="s">
        <x:v>39</x:v>
      </x:c>
      <x:c r="L7" s="97"/>
      <x:c r="M7" s="97"/>
      <x:c r="N7" s="97"/>
      <x:c r="O7" s="97"/>
      <x:c r="P7" s="97"/>
      <x:c r="Q7" s="97"/>
    </x:row>
    <x:row r="8" ht="20.049999237060547" customHeight="1">
      <x:c r="A8" s="30" t="s">
        <x:v>51</x:v>
      </x:c>
      <x:c r="B8" s="30" t="s">
        <x:v>52</x:v>
      </x:c>
      <x:c r="C8" s="30" t="s">
        <x:v>53</x:v>
      </x:c>
      <x:c r="D8" s="30" t="s">
        <x:v>54</x:v>
      </x:c>
      <x:c r="E8" s="31" t="str">
        <x:v>Development Route</x:v>
      </x:c>
      <x:c r="F8" s="31" t="s">
        <x:v>37</x:v>
      </x:c>
      <x:c r="G8" s="31" t="s">
        <x:v>55</x:v>
      </x:c>
      <x:c r="H8" s="32">
        <x:v>46477</x:v>
      </x:c>
      <x:c r="I8" s="32">
        <x:v>46477</x:v>
      </x:c>
      <x:c r="J8" s="30" t="s">
        <x:v>56</x:v>
      </x:c>
      <x:c r="K8" s="31" t="s">
        <x:v>46</x:v>
      </x:c>
      <x:c r="L8" s="97"/>
      <x:c r="M8" s="97"/>
      <x:c r="N8" s="97"/>
      <x:c r="O8" s="97"/>
      <x:c r="P8" s="97"/>
      <x:c r="Q8" s="97"/>
    </x:row>
    <x:row r="9" ht="20.049999237060547" customHeight="1">
      <x:c r="A9" s="27" t="s">
        <x:v>57</x:v>
      </x:c>
      <x:c r="B9" s="30" t="s">
        <x:v>58</x:v>
      </x:c>
      <x:c r="C9" s="30" t="s">
        <x:v>59</x:v>
      </x:c>
      <x:c r="D9" s="30" t="s">
        <x:v>36</x:v>
      </x:c>
      <x:c r="E9" s="31" t="str">
        <x:v>Development Route</x:v>
      </x:c>
      <x:c r="F9" s="31" t="s">
        <x:v>60</x:v>
      </x:c>
      <x:c r="G9" s="31" t="s">
        <x:v>61</x:v>
      </x:c>
      <x:c r="H9" s="32">
        <x:v>46262</x:v>
      </x:c>
      <x:c r="I9" s="32">
        <x:v>46262</x:v>
      </x:c>
      <x:c r="J9" s="30"/>
      <x:c r="K9" s="31" t="s">
        <x:v>39</x:v>
      </x:c>
      <x:c r="L9" s="97"/>
      <x:c r="M9" s="97"/>
      <x:c r="N9" s="97"/>
      <x:c r="O9" s="97"/>
      <x:c r="P9" s="97"/>
      <x:c r="Q9" s="97"/>
    </x:row>
    <x:row r="10" ht="20.049999237060547" customHeight="1">
      <x:c r="A10" s="30" t="s">
        <x:v>62</x:v>
      </x:c>
      <x:c r="B10" s="30" t="s">
        <x:v>63</x:v>
      </x:c>
      <x:c r="C10" s="30" t="s">
        <x:v>64</x:v>
      </x:c>
      <x:c r="D10" s="30" t="s">
        <x:v>43</x:v>
      </x:c>
      <x:c r="E10" s="31" t="str">
        <x:v>Implementation Route</x:v>
      </x:c>
      <x:c r="F10" s="31" t="s">
        <x:v>37</x:v>
      </x:c>
      <x:c r="G10" s="31" t="s">
        <x:v>44</x:v>
      </x:c>
      <x:c r="H10" s="32">
        <x:v>46360</x:v>
      </x:c>
      <x:c r="I10" s="32">
        <x:v>46430</x:v>
      </x:c>
      <x:c r="J10" s="30" t="s">
        <x:v>65</x:v>
      </x:c>
      <x:c r="K10" s="31" t="s">
        <x:v>46</x:v>
      </x:c>
      <x:c r="L10" s="97"/>
      <x:c r="M10" s="97"/>
      <x:c r="N10" s="97"/>
      <x:c r="O10" s="97"/>
      <x:c r="P10" s="97"/>
      <x:c r="Q10" s="97"/>
    </x:row>
    <x:row r="11" ht="20.049999237060547" customHeight="1">
      <x:c r="A11" s="27" t="s">
        <x:v>66</x:v>
      </x:c>
      <x:c r="B11" s="30" t="s">
        <x:v>67</x:v>
      </x:c>
      <x:c r="C11" s="30" t="s">
        <x:v>49</x:v>
      </x:c>
      <x:c r="D11" s="30" t="s">
        <x:v>50</x:v>
      </x:c>
      <x:c r="E11" s="31" t="str">
        <x:v>Implementation Route</x:v>
      </x:c>
      <x:c r="F11" s="31" t="s">
        <x:v>60</x:v>
      </x:c>
      <x:c r="G11" s="31" t="s">
        <x:v>61</x:v>
      </x:c>
      <x:c r="H11" s="32">
        <x:v>46234</x:v>
      </x:c>
      <x:c r="I11" s="32">
        <x:v>46234</x:v>
      </x:c>
      <x:c r="J11" s="30"/>
      <x:c r="K11" s="31" t="s">
        <x:v>39</x:v>
      </x:c>
      <x:c r="L11" s="97"/>
      <x:c r="M11" s="97"/>
      <x:c r="N11" s="97"/>
      <x:c r="O11" s="97"/>
      <x:c r="P11" s="97"/>
      <x:c r="Q11" s="97"/>
    </x:row>
    <x:row r="12" ht="20.049999237060547" customHeight="1">
      <x:c r="A12" s="30" t="s">
        <x:v>68</x:v>
      </x:c>
      <x:c r="B12" s="30" t="s">
        <x:v>69</x:v>
      </x:c>
      <x:c r="C12" s="30" t="s">
        <x:v>35</x:v>
      </x:c>
      <x:c r="D12" s="30" t="s">
        <x:v>54</x:v>
      </x:c>
      <x:c r="E12" s="31" t="str">
        <x:v>Development Route</x:v>
      </x:c>
      <x:c r="F12" s="31" t="s">
        <x:v>70</x:v>
      </x:c>
      <x:c r="G12" s="31" t="s">
        <x:v>38</x:v>
      </x:c>
      <x:c r="H12" s="32">
        <x:v>46535</x:v>
      </x:c>
      <x:c r="I12" s="32">
        <x:v>46535</x:v>
      </x:c>
      <x:c r="J12" s="30"/>
      <x:c r="K12" s="31" t="s">
        <x:v>39</x:v>
      </x:c>
      <x:c r="L12" s="97"/>
      <x:c r="M12" s="97"/>
      <x:c r="N12" s="97"/>
      <x:c r="O12" s="97"/>
      <x:c r="P12" s="97"/>
      <x:c r="Q12" s="97"/>
    </x:row>
    <x:row r="13" ht="20.049999237060547" customHeight="1">
      <x:c r="A13" s="27" t="s">
        <x:v>71</x:v>
      </x:c>
      <x:c r="B13" s="30" t="s">
        <x:v>72</x:v>
      </x:c>
      <x:c r="C13" s="30" t="s">
        <x:v>42</x:v>
      </x:c>
      <x:c r="D13" s="30" t="s">
        <x:v>36</x:v>
      </x:c>
      <x:c r="E13" s="31" t="str">
        <x:v>Development Route</x:v>
      </x:c>
      <x:c r="F13" s="31" t="s">
        <x:v>37</x:v>
      </x:c>
      <x:c r="G13" s="31" t="s">
        <x:v>38</x:v>
      </x:c>
      <x:c r="H13" s="32">
        <x:v>46339</x:v>
      </x:c>
      <x:c r="I13" s="32">
        <x:v>46346</x:v>
      </x:c>
      <x:c r="J13" s="30"/>
      <x:c r="K13" s="31" t="s">
        <x:v>39</x:v>
      </x:c>
      <x:c r="L13" s="97"/>
      <x:c r="M13" s="97"/>
      <x:c r="N13" s="97"/>
      <x:c r="O13" s="97"/>
      <x:c r="P13" s="97"/>
      <x:c r="Q13" s="97"/>
    </x:row>
    <x:row r="14" ht="20.049999237060547" customHeight="1">
      <x:c r="A14" s="30" t="s">
        <x:v>73</x:v>
      </x:c>
      <x:c r="B14" s="30" t="s">
        <x:v>74</x:v>
      </x:c>
      <x:c r="C14" s="30" t="s">
        <x:v>53</x:v>
      </x:c>
      <x:c r="D14" s="30" t="s">
        <x:v>43</x:v>
      </x:c>
      <x:c r="E14" s="31" t="str">
        <x:v>Development Route</x:v>
      </x:c>
      <x:c r="F14" s="31" t="s">
        <x:v>37</x:v>
      </x:c>
      <x:c r="G14" s="31" t="s">
        <x:v>75</x:v>
      </x:c>
      <x:c r="H14" s="32">
        <x:v>46311</x:v>
      </x:c>
      <x:c r="I14" s="32">
        <x:v>46367</x:v>
      </x:c>
      <x:c r="J14" s="30" t="s">
        <x:v>76</x:v>
      </x:c>
      <x:c r="K14" s="31" t="s">
        <x:v>39</x:v>
      </x:c>
      <x:c r="L14" s="97"/>
      <x:c r="M14" s="97"/>
      <x:c r="N14" s="97"/>
      <x:c r="O14" s="97"/>
      <x:c r="P14" s="97"/>
      <x:c r="Q14" s="97"/>
    </x:row>
    <x:row r="15" ht="20.049999237060547" customHeight="1">
      <x:c r="A15" s="27" t="s">
        <x:v>77</x:v>
      </x:c>
      <x:c r="B15" s="30" t="s">
        <x:v>78</x:v>
      </x:c>
      <x:c r="C15" s="30" t="s">
        <x:v>59</x:v>
      </x:c>
      <x:c r="D15" s="30" t="s">
        <x:v>50</x:v>
      </x:c>
      <x:c r="E15" s="31" t="str">
        <x:v>Implementation Route</x:v>
      </x:c>
      <x:c r="F15" s="31" t="s">
        <x:v>37</x:v>
      </x:c>
      <x:c r="G15" s="31" t="s">
        <x:v>38</x:v>
      </x:c>
      <x:c r="H15" s="32">
        <x:v>46416</x:v>
      </x:c>
      <x:c r="I15" s="32">
        <x:v>46416</x:v>
      </x:c>
      <x:c r="J15" s="30"/>
      <x:c r="K15" s="31" t="s">
        <x:v>39</x:v>
      </x:c>
      <x:c r="L15" s="97"/>
      <x:c r="M15" s="97"/>
      <x:c r="N15" s="97"/>
      <x:c r="O15" s="97"/>
      <x:c r="P15" s="97"/>
      <x:c r="Q15" s="97"/>
    </x:row>
    <x:row r="16" ht="20.049999237060547" customHeight="1">
      <x:c r="A16" s="30" t="s">
        <x:v>79</x:v>
      </x:c>
      <x:c r="B16" s="30" t="s">
        <x:v>80</x:v>
      </x:c>
      <x:c r="C16" s="30" t="s">
        <x:v>64</x:v>
      </x:c>
      <x:c r="D16" s="30" t="s">
        <x:v>54</x:v>
      </x:c>
      <x:c r="E16" s="31" t="str">
        <x:v>Implementation Route</x:v>
      </x:c>
      <x:c r="F16" s="31" t="s">
        <x:v>81</x:v>
      </x:c>
      <x:c r="G16" s="31" t="s">
        <x:v>82</x:v>
      </x:c>
      <x:c r="H16" s="32">
        <x:v>46374</x:v>
      </x:c>
      <x:c r="I16" s="32">
        <x:v>46472</x:v>
      </x:c>
      <x:c r="J16" s="30" t="s">
        <x:v>83</x:v>
      </x:c>
      <x:c r="K16" s="31" t="s">
        <x:v>46</x:v>
      </x:c>
      <x:c r="L16" s="97"/>
      <x:c r="M16" s="97"/>
      <x:c r="N16" s="97"/>
      <x:c r="O16" s="97"/>
      <x:c r="P16" s="97"/>
      <x:c r="Q16" s="97"/>
    </x:row>
    <x:row r="17" ht="20.049999237060547" customHeight="1">
      <x:c r="A17" s="27"/>
      <x:c r="B17" s="30"/>
      <x:c r="C17" s="30"/>
      <x:c r="D17" s="30"/>
      <x:c r="E17" s="31"/>
      <x:c r="F17" s="31"/>
      <x:c r="G17" s="31"/>
      <x:c r="H17" s="32"/>
      <x:c r="I17" s="32"/>
      <x:c r="J17" s="30"/>
      <x:c r="K17" s="31"/>
      <x:c r="L17" s="97"/>
      <x:c r="M17" s="97"/>
      <x:c r="N17" s="97"/>
      <x:c r="O17" s="97"/>
      <x:c r="P17" s="97"/>
      <x:c r="Q17" s="97"/>
    </x:row>
    <x:row r="18" ht="20.049999237060547" customHeight="1">
      <x:c r="A18" s="30"/>
      <x:c r="B18" s="30"/>
      <x:c r="C18" s="30"/>
      <x:c r="D18" s="30"/>
      <x:c r="E18" s="31"/>
      <x:c r="F18" s="31"/>
      <x:c r="G18" s="31"/>
      <x:c r="H18" s="32"/>
      <x:c r="I18" s="32"/>
      <x:c r="J18" s="30"/>
      <x:c r="K18" s="31"/>
      <x:c r="L18" s="97"/>
      <x:c r="M18" s="97"/>
      <x:c r="N18" s="97"/>
      <x:c r="O18" s="97"/>
      <x:c r="P18" s="97"/>
      <x:c r="Q18" s="97"/>
    </x:row>
    <x:row r="19" ht="20.049999237060547" customHeight="1">
      <x:c r="A19" s="27"/>
      <x:c r="B19" s="30"/>
      <x:c r="C19" s="30"/>
      <x:c r="D19" s="30"/>
      <x:c r="E19" s="31"/>
      <x:c r="F19" s="31"/>
      <x:c r="G19" s="31"/>
      <x:c r="H19" s="32"/>
      <x:c r="I19" s="32"/>
      <x:c r="J19" s="30"/>
      <x:c r="K19" s="31"/>
      <x:c r="L19" s="97"/>
      <x:c r="M19" s="97"/>
      <x:c r="N19" s="97"/>
      <x:c r="O19" s="97"/>
      <x:c r="P19" s="97"/>
      <x:c r="Q19" s="97"/>
    </x:row>
    <x:row r="20" ht="20.049999237060547" customHeight="1">
      <x:c r="A20" s="30"/>
      <x:c r="B20" s="30"/>
      <x:c r="C20" s="30"/>
      <x:c r="D20" s="30"/>
      <x:c r="E20" s="31"/>
      <x:c r="F20" s="31"/>
      <x:c r="G20" s="31"/>
      <x:c r="H20" s="32"/>
      <x:c r="I20" s="32"/>
      <x:c r="J20" s="30"/>
      <x:c r="K20" s="31"/>
      <x:c r="L20" s="97"/>
      <x:c r="M20" s="97"/>
      <x:c r="N20" s="97"/>
      <x:c r="O20" s="97"/>
      <x:c r="P20" s="97"/>
      <x:c r="Q20" s="97"/>
    </x:row>
    <x:row r="21" ht="20.049999237060547" customHeight="1">
      <x:c r="A21" s="27"/>
      <x:c r="B21" s="30"/>
      <x:c r="C21" s="30"/>
      <x:c r="D21" s="30"/>
      <x:c r="E21" s="31"/>
      <x:c r="F21" s="31"/>
      <x:c r="G21" s="31"/>
      <x:c r="H21" s="32"/>
      <x:c r="I21" s="32"/>
      <x:c r="J21" s="30"/>
      <x:c r="K21" s="31"/>
      <x:c r="L21" s="97"/>
      <x:c r="M21" s="97"/>
      <x:c r="N21" s="97"/>
      <x:c r="O21" s="97"/>
      <x:c r="P21" s="97"/>
      <x:c r="Q21" s="97"/>
    </x:row>
    <x:row r="22" ht="20.049999237060547" customHeight="1">
      <x:c r="A22" s="30"/>
      <x:c r="B22" s="30"/>
      <x:c r="C22" s="30"/>
      <x:c r="D22" s="30"/>
      <x:c r="E22" s="31"/>
      <x:c r="F22" s="31"/>
      <x:c r="G22" s="31"/>
      <x:c r="H22" s="32"/>
      <x:c r="I22" s="32"/>
      <x:c r="J22" s="30"/>
      <x:c r="K22" s="31"/>
      <x:c r="L22" s="97"/>
      <x:c r="M22" s="97"/>
      <x:c r="N22" s="97"/>
      <x:c r="O22" s="97"/>
      <x:c r="P22" s="97"/>
      <x:c r="Q22" s="97"/>
    </x:row>
    <x:row r="23" ht="20.049999237060547" customHeight="1">
      <x:c r="A23" s="27"/>
      <x:c r="B23" s="30"/>
      <x:c r="C23" s="30"/>
      <x:c r="D23" s="30"/>
      <x:c r="E23" s="31"/>
      <x:c r="F23" s="31"/>
      <x:c r="G23" s="31"/>
      <x:c r="H23" s="32"/>
      <x:c r="I23" s="32"/>
      <x:c r="J23" s="30"/>
      <x:c r="K23" s="31"/>
      <x:c r="L23" s="97"/>
      <x:c r="M23" s="97"/>
      <x:c r="N23" s="97"/>
      <x:c r="O23" s="97"/>
      <x:c r="P23" s="97"/>
      <x:c r="Q23" s="97"/>
    </x:row>
    <x:row r="24" ht="20.049999237060547" customHeight="1">
      <x:c r="A24" s="30"/>
      <x:c r="B24" s="30"/>
      <x:c r="C24" s="30"/>
      <x:c r="D24" s="30"/>
      <x:c r="E24" s="31"/>
      <x:c r="F24" s="31"/>
      <x:c r="G24" s="31"/>
      <x:c r="H24" s="32"/>
      <x:c r="I24" s="32"/>
      <x:c r="J24" s="30"/>
      <x:c r="K24" s="31"/>
      <x:c r="L24" s="97"/>
      <x:c r="M24" s="97"/>
      <x:c r="N24" s="97"/>
      <x:c r="O24" s="97"/>
      <x:c r="P24" s="97"/>
      <x:c r="Q24" s="97"/>
    </x:row>
    <x:row r="25" ht="20.049999237060547" customHeight="1">
      <x:c r="A25" s="27"/>
      <x:c r="B25" s="30"/>
      <x:c r="C25" s="30"/>
      <x:c r="D25" s="30"/>
      <x:c r="E25" s="31"/>
      <x:c r="F25" s="31"/>
      <x:c r="G25" s="31"/>
      <x:c r="H25" s="32"/>
      <x:c r="I25" s="32"/>
      <x:c r="J25" s="30"/>
      <x:c r="K25" s="31"/>
      <x:c r="L25" s="97"/>
      <x:c r="M25" s="97"/>
      <x:c r="N25" s="97"/>
      <x:c r="O25" s="97"/>
      <x:c r="P25" s="97"/>
      <x:c r="Q25" s="97"/>
    </x:row>
    <x:row r="26" ht="20.049999237060547" customHeight="1">
      <x:c r="A26" s="30"/>
      <x:c r="B26" s="30"/>
      <x:c r="C26" s="30"/>
      <x:c r="D26" s="30"/>
      <x:c r="E26" s="31"/>
      <x:c r="F26" s="31"/>
      <x:c r="G26" s="31"/>
      <x:c r="H26" s="32"/>
      <x:c r="I26" s="32"/>
      <x:c r="J26" s="30"/>
      <x:c r="K26" s="31"/>
      <x:c r="L26" s="97"/>
      <x:c r="M26" s="97"/>
      <x:c r="N26" s="97"/>
      <x:c r="O26" s="97"/>
      <x:c r="P26" s="97"/>
      <x:c r="Q26" s="97"/>
    </x:row>
    <x:row r="27" ht="20.049999237060547" customHeight="1">
      <x:c r="A27" s="27"/>
      <x:c r="B27" s="30"/>
      <x:c r="C27" s="30"/>
      <x:c r="D27" s="30"/>
      <x:c r="E27" s="31"/>
      <x:c r="F27" s="31"/>
      <x:c r="G27" s="31"/>
      <x:c r="H27" s="32"/>
      <x:c r="I27" s="32"/>
      <x:c r="J27" s="30"/>
      <x:c r="K27" s="31"/>
      <x:c r="L27" s="97"/>
      <x:c r="M27" s="97"/>
      <x:c r="N27" s="97"/>
      <x:c r="O27" s="97"/>
      <x:c r="P27" s="97"/>
      <x:c r="Q27" s="97"/>
    </x:row>
    <x:row r="28" ht="20.049999237060547" customHeight="1">
      <x:c r="A28" s="30"/>
      <x:c r="B28" s="30"/>
      <x:c r="C28" s="30"/>
      <x:c r="D28" s="30"/>
      <x:c r="E28" s="31"/>
      <x:c r="F28" s="31"/>
      <x:c r="G28" s="31"/>
      <x:c r="H28" s="32"/>
      <x:c r="I28" s="32"/>
      <x:c r="J28" s="30"/>
      <x:c r="K28" s="31"/>
      <x:c r="L28" s="97"/>
      <x:c r="M28" s="97"/>
      <x:c r="N28" s="97"/>
      <x:c r="O28" s="97"/>
      <x:c r="P28" s="97"/>
      <x:c r="Q28" s="97"/>
    </x:row>
    <x:row r="29" ht="20.049999237060547" customHeight="1">
      <x:c r="A29" s="27"/>
      <x:c r="B29" s="30"/>
      <x:c r="C29" s="30"/>
      <x:c r="D29" s="30"/>
      <x:c r="E29" s="31"/>
      <x:c r="F29" s="31"/>
      <x:c r="G29" s="31"/>
      <x:c r="H29" s="32"/>
      <x:c r="I29" s="32"/>
      <x:c r="J29" s="30"/>
      <x:c r="K29" s="31"/>
      <x:c r="L29" s="97"/>
      <x:c r="M29" s="97"/>
      <x:c r="N29" s="97"/>
      <x:c r="O29" s="97"/>
      <x:c r="P29" s="97"/>
      <x:c r="Q29" s="97"/>
    </x:row>
    <x:row r="30" ht="20.049999237060547" customHeight="1">
      <x:c r="A30" s="30"/>
      <x:c r="B30" s="30"/>
      <x:c r="C30" s="30"/>
      <x:c r="D30" s="30"/>
      <x:c r="E30" s="31"/>
      <x:c r="F30" s="31"/>
      <x:c r="G30" s="31"/>
      <x:c r="H30" s="32"/>
      <x:c r="I30" s="32"/>
      <x:c r="J30" s="30"/>
      <x:c r="K30" s="31"/>
      <x:c r="L30" s="97"/>
      <x:c r="M30" s="97"/>
      <x:c r="N30" s="97"/>
      <x:c r="O30" s="97"/>
      <x:c r="P30" s="97"/>
      <x:c r="Q30" s="97"/>
    </x:row>
    <x:row r="31" ht="20.049999237060547" customHeight="1">
      <x:c r="A31" s="27"/>
      <x:c r="B31" s="30"/>
      <x:c r="C31" s="30"/>
      <x:c r="D31" s="30"/>
      <x:c r="E31" s="31"/>
      <x:c r="F31" s="31"/>
      <x:c r="G31" s="31"/>
      <x:c r="H31" s="32"/>
      <x:c r="I31" s="32"/>
      <x:c r="J31" s="30"/>
      <x:c r="K31" s="31"/>
      <x:c r="L31" s="97"/>
      <x:c r="M31" s="97"/>
      <x:c r="N31" s="97"/>
      <x:c r="O31" s="97"/>
      <x:c r="P31" s="97"/>
      <x:c r="Q31" s="97"/>
    </x:row>
    <x:row r="32" ht="20.049999237060547" customHeight="1">
      <x:c r="A32" s="30"/>
      <x:c r="B32" s="30"/>
      <x:c r="C32" s="30"/>
      <x:c r="D32" s="30"/>
      <x:c r="E32" s="31"/>
      <x:c r="F32" s="31"/>
      <x:c r="G32" s="31"/>
      <x:c r="H32" s="32"/>
      <x:c r="I32" s="32"/>
      <x:c r="J32" s="30"/>
      <x:c r="K32" s="31"/>
      <x:c r="L32" s="97"/>
      <x:c r="M32" s="97"/>
      <x:c r="N32" s="97"/>
      <x:c r="O32" s="97"/>
      <x:c r="P32" s="97"/>
      <x:c r="Q32" s="97"/>
    </x:row>
    <x:row r="33" ht="20.049999237060547" customHeight="1">
      <x:c r="A33" s="30"/>
      <x:c r="B33" s="30"/>
      <x:c r="C33" s="30"/>
      <x:c r="D33" s="30"/>
      <x:c r="E33" s="31"/>
      <x:c r="F33" s="31"/>
      <x:c r="G33" s="31"/>
      <x:c r="H33" s="32"/>
      <x:c r="I33" s="32"/>
      <x:c r="J33" s="30"/>
      <x:c r="K33" s="31"/>
      <x:c r="L33" s="97"/>
      <x:c r="M33" s="97"/>
      <x:c r="N33" s="97"/>
      <x:c r="O33" s="97"/>
      <x:c r="P33" s="97"/>
      <x:c r="Q33" s="97"/>
    </x:row>
    <x:row r="34" ht="20.049999237060547" customHeight="1">
      <x:c r="A34" s="30"/>
      <x:c r="B34" s="30"/>
      <x:c r="C34" s="30"/>
      <x:c r="D34" s="30"/>
      <x:c r="E34" s="31"/>
      <x:c r="F34" s="31"/>
      <x:c r="G34" s="31"/>
      <x:c r="H34" s="32"/>
      <x:c r="I34" s="32"/>
      <x:c r="J34" s="30"/>
      <x:c r="K34" s="31"/>
      <x:c r="L34" s="97"/>
      <x:c r="M34" s="97"/>
      <x:c r="N34" s="97"/>
      <x:c r="O34" s="97"/>
      <x:c r="P34" s="97"/>
      <x:c r="Q34" s="97"/>
    </x:row>
    <x:row r="35" ht="20.049999237060547" customHeight="1">
      <x:c r="A35" s="30"/>
      <x:c r="B35" s="30"/>
      <x:c r="C35" s="30"/>
      <x:c r="D35" s="30"/>
      <x:c r="E35" s="31"/>
      <x:c r="F35" s="31"/>
      <x:c r="G35" s="31"/>
      <x:c r="H35" s="32"/>
      <x:c r="I35" s="32"/>
      <x:c r="J35" s="30"/>
      <x:c r="K35" s="31"/>
      <x:c r="L35" s="97"/>
      <x:c r="M35" s="97"/>
      <x:c r="N35" s="97"/>
      <x:c r="O35" s="97"/>
      <x:c r="P35" s="97"/>
      <x:c r="Q35" s="97"/>
    </x:row>
    <x:row r="36" ht="20.049999237060547" customHeight="1">
      <x:c r="A36" s="30"/>
      <x:c r="B36" s="30"/>
      <x:c r="C36" s="30"/>
      <x:c r="D36" s="30"/>
      <x:c r="E36" s="31"/>
      <x:c r="F36" s="31"/>
      <x:c r="G36" s="31"/>
      <x:c r="H36" s="32"/>
      <x:c r="I36" s="32"/>
      <x:c r="J36" s="30"/>
      <x:c r="K36" s="31"/>
      <x:c r="L36" s="97"/>
      <x:c r="M36" s="97"/>
      <x:c r="N36" s="97"/>
      <x:c r="O36" s="97"/>
      <x:c r="P36" s="97"/>
      <x:c r="Q36" s="97"/>
    </x:row>
    <x:row r="37" ht="20.049999237060547" customHeight="1">
      <x:c r="A37" s="30"/>
      <x:c r="B37" s="30"/>
      <x:c r="C37" s="30"/>
      <x:c r="D37" s="30"/>
      <x:c r="E37" s="31"/>
      <x:c r="F37" s="31"/>
      <x:c r="G37" s="31"/>
      <x:c r="H37" s="32"/>
      <x:c r="I37" s="32"/>
      <x:c r="J37" s="30"/>
      <x:c r="K37" s="31"/>
      <x:c r="L37" s="97"/>
      <x:c r="M37" s="97"/>
      <x:c r="N37" s="97"/>
      <x:c r="O37" s="97"/>
      <x:c r="P37" s="97"/>
      <x:c r="Q37" s="97"/>
    </x:row>
    <x:row r="38" ht="20.049999237060547" customHeight="1">
      <x:c r="A38" s="30"/>
      <x:c r="B38" s="30"/>
      <x:c r="C38" s="30"/>
      <x:c r="D38" s="30"/>
      <x:c r="E38" s="31"/>
      <x:c r="F38" s="31"/>
      <x:c r="G38" s="31"/>
      <x:c r="H38" s="32"/>
      <x:c r="I38" s="32"/>
      <x:c r="J38" s="30"/>
      <x:c r="K38" s="31"/>
      <x:c r="L38" s="97"/>
      <x:c r="M38" s="97"/>
      <x:c r="N38" s="97"/>
      <x:c r="O38" s="97"/>
      <x:c r="P38" s="97"/>
      <x:c r="Q38" s="97"/>
    </x:row>
    <x:row r="39" ht="20.049999237060547" customHeight="1">
      <x:c r="A39" s="30"/>
      <x:c r="B39" s="30"/>
      <x:c r="C39" s="30"/>
      <x:c r="D39" s="30"/>
      <x:c r="E39" s="31"/>
      <x:c r="F39" s="31"/>
      <x:c r="G39" s="31"/>
      <x:c r="H39" s="32"/>
      <x:c r="I39" s="32"/>
      <x:c r="J39" s="30"/>
      <x:c r="K39" s="31"/>
      <x:c r="L39" s="97"/>
      <x:c r="M39" s="97"/>
      <x:c r="N39" s="97"/>
      <x:c r="O39" s="97"/>
      <x:c r="P39" s="97"/>
      <x:c r="Q39" s="97"/>
    </x:row>
    <x:row r="40" ht="20.049999237060547" customHeight="1">
      <x:c r="A40" s="30"/>
      <x:c r="B40" s="30"/>
      <x:c r="C40" s="30"/>
      <x:c r="D40" s="30"/>
      <x:c r="E40" s="31"/>
      <x:c r="F40" s="31"/>
      <x:c r="G40" s="31"/>
      <x:c r="H40" s="32"/>
      <x:c r="I40" s="32"/>
      <x:c r="J40" s="30"/>
      <x:c r="K40" s="31"/>
      <x:c r="L40" s="97"/>
      <x:c r="M40" s="97"/>
      <x:c r="N40" s="97"/>
      <x:c r="O40" s="97"/>
      <x:c r="P40" s="97"/>
      <x:c r="Q40" s="97"/>
    </x:row>
    <x:row r="41" ht="20.049999237060547" customHeight="1">
      <x:c r="A41" s="30"/>
      <x:c r="B41" s="30"/>
      <x:c r="C41" s="30"/>
      <x:c r="D41" s="30"/>
      <x:c r="E41" s="31"/>
      <x:c r="F41" s="31"/>
      <x:c r="G41" s="31"/>
      <x:c r="H41" s="32"/>
      <x:c r="I41" s="32"/>
      <x:c r="J41" s="30"/>
      <x:c r="K41" s="31"/>
      <x:c r="L41" s="97"/>
      <x:c r="M41" s="97"/>
      <x:c r="N41" s="97"/>
      <x:c r="O41" s="97"/>
      <x:c r="P41" s="97"/>
      <x:c r="Q41" s="97"/>
    </x:row>
    <x:row r="42" ht="20.049999237060547" customHeight="1">
      <x:c r="A42" s="30"/>
      <x:c r="B42" s="30"/>
      <x:c r="C42" s="30"/>
      <x:c r="D42" s="30"/>
      <x:c r="E42" s="31"/>
      <x:c r="F42" s="31"/>
      <x:c r="G42" s="31"/>
      <x:c r="H42" s="32"/>
      <x:c r="I42" s="32"/>
      <x:c r="J42" s="30"/>
      <x:c r="K42" s="31"/>
      <x:c r="L42" s="97"/>
      <x:c r="M42" s="97"/>
      <x:c r="N42" s="97"/>
      <x:c r="O42" s="97"/>
      <x:c r="P42" s="97"/>
      <x:c r="Q42" s="97"/>
    </x:row>
    <x:row r="43" ht="20.049999237060547" customHeight="1">
      <x:c r="A43" s="30"/>
      <x:c r="B43" s="30"/>
      <x:c r="C43" s="30"/>
      <x:c r="D43" s="30"/>
      <x:c r="E43" s="31"/>
      <x:c r="F43" s="31"/>
      <x:c r="G43" s="31"/>
      <x:c r="H43" s="32"/>
      <x:c r="I43" s="32"/>
      <x:c r="J43" s="30"/>
      <x:c r="K43" s="31"/>
      <x:c r="L43" s="97"/>
      <x:c r="M43" s="97"/>
      <x:c r="N43" s="97"/>
      <x:c r="O43" s="97"/>
      <x:c r="P43" s="97"/>
      <x:c r="Q43" s="97"/>
    </x:row>
    <x:row r="44" ht="20.049999237060547" customHeight="1">
      <x:c r="A44" s="30"/>
      <x:c r="B44" s="30"/>
      <x:c r="C44" s="30"/>
      <x:c r="D44" s="30"/>
      <x:c r="E44" s="31"/>
      <x:c r="F44" s="31"/>
      <x:c r="G44" s="31"/>
      <x:c r="H44" s="32"/>
      <x:c r="I44" s="32"/>
      <x:c r="J44" s="30"/>
      <x:c r="K44" s="31"/>
      <x:c r="L44" s="97"/>
      <x:c r="M44" s="97"/>
      <x:c r="N44" s="97"/>
      <x:c r="O44" s="97"/>
      <x:c r="P44" s="97"/>
      <x:c r="Q44" s="97"/>
    </x:row>
    <x:row r="45" ht="20.049999237060547" customHeight="1">
      <x:c r="A45" s="30"/>
      <x:c r="B45" s="30"/>
      <x:c r="C45" s="30"/>
      <x:c r="D45" s="30"/>
      <x:c r="E45" s="31"/>
      <x:c r="F45" s="31"/>
      <x:c r="G45" s="31"/>
      <x:c r="H45" s="32"/>
      <x:c r="I45" s="32"/>
      <x:c r="J45" s="30"/>
      <x:c r="K45" s="31"/>
      <x:c r="L45" s="97"/>
      <x:c r="M45" s="97"/>
      <x:c r="N45" s="97"/>
      <x:c r="O45" s="97"/>
      <x:c r="P45" s="97"/>
      <x:c r="Q45" s="97"/>
    </x:row>
    <x:row r="46" ht="20.049999237060547" customHeight="1">
      <x:c r="A46" s="30"/>
      <x:c r="B46" s="30"/>
      <x:c r="C46" s="30"/>
      <x:c r="D46" s="30"/>
      <x:c r="E46" s="31"/>
      <x:c r="F46" s="31"/>
      <x:c r="G46" s="31"/>
      <x:c r="H46" s="32"/>
      <x:c r="I46" s="32"/>
      <x:c r="J46" s="30"/>
      <x:c r="K46" s="31"/>
      <x:c r="L46" s="97"/>
      <x:c r="M46" s="97"/>
      <x:c r="N46" s="97"/>
      <x:c r="O46" s="97"/>
      <x:c r="P46" s="97"/>
      <x:c r="Q46" s="97"/>
    </x:row>
    <x:row r="47" ht="20.049999237060547" customHeight="1">
      <x:c r="A47" s="30"/>
      <x:c r="B47" s="30"/>
      <x:c r="C47" s="30"/>
      <x:c r="D47" s="30"/>
      <x:c r="E47" s="31"/>
      <x:c r="F47" s="31"/>
      <x:c r="G47" s="31"/>
      <x:c r="H47" s="32"/>
      <x:c r="I47" s="32"/>
      <x:c r="J47" s="30"/>
      <x:c r="K47" s="31"/>
      <x:c r="L47" s="97"/>
      <x:c r="M47" s="97"/>
      <x:c r="N47" s="97"/>
      <x:c r="O47" s="97"/>
      <x:c r="P47" s="97"/>
      <x:c r="Q47" s="97"/>
    </x:row>
    <x:row r="48" ht="20.049999237060547" customHeight="1">
      <x:c r="A48" s="30"/>
      <x:c r="B48" s="30"/>
      <x:c r="C48" s="30"/>
      <x:c r="D48" s="30"/>
      <x:c r="E48" s="31"/>
      <x:c r="F48" s="31"/>
      <x:c r="G48" s="31"/>
      <x:c r="H48" s="32"/>
      <x:c r="I48" s="32"/>
      <x:c r="J48" s="30"/>
      <x:c r="K48" s="31"/>
      <x:c r="L48" s="97"/>
      <x:c r="M48" s="97"/>
      <x:c r="N48" s="97"/>
      <x:c r="O48" s="97"/>
      <x:c r="P48" s="97"/>
      <x:c r="Q48" s="97"/>
    </x:row>
    <x:row r="49" ht="20.049999237060547" customHeight="1">
      <x:c r="A49" s="30"/>
      <x:c r="B49" s="30"/>
      <x:c r="C49" s="30"/>
      <x:c r="D49" s="30"/>
      <x:c r="E49" s="31"/>
      <x:c r="F49" s="31"/>
      <x:c r="G49" s="31"/>
      <x:c r="H49" s="32"/>
      <x:c r="I49" s="32"/>
      <x:c r="J49" s="30"/>
      <x:c r="K49" s="31"/>
      <x:c r="L49" s="97"/>
      <x:c r="M49" s="97"/>
      <x:c r="N49" s="97"/>
      <x:c r="O49" s="97"/>
      <x:c r="P49" s="97"/>
      <x:c r="Q49" s="97"/>
    </x:row>
    <x:row r="50" ht="20.049999237060547" customHeight="1">
      <x:c r="A50" s="30"/>
      <x:c r="B50" s="30"/>
      <x:c r="C50" s="30"/>
      <x:c r="D50" s="30"/>
      <x:c r="E50" s="31"/>
      <x:c r="F50" s="31"/>
      <x:c r="G50" s="31"/>
      <x:c r="H50" s="32"/>
      <x:c r="I50" s="32"/>
      <x:c r="J50" s="30"/>
      <x:c r="K50" s="31"/>
      <x:c r="L50" s="97"/>
      <x:c r="M50" s="97"/>
      <x:c r="N50" s="97"/>
      <x:c r="O50" s="97"/>
      <x:c r="P50" s="97"/>
      <x:c r="Q50" s="97"/>
    </x:row>
    <x:row r="51" ht="20.049999237060547" customHeight="1">
      <x:c r="A51" s="30"/>
      <x:c r="B51" s="30"/>
      <x:c r="C51" s="30"/>
      <x:c r="D51" s="30"/>
      <x:c r="E51" s="31"/>
      <x:c r="F51" s="31"/>
      <x:c r="G51" s="31"/>
      <x:c r="H51" s="32"/>
      <x:c r="I51" s="32"/>
      <x:c r="J51" s="30"/>
      <x:c r="K51" s="31"/>
      <x:c r="L51" s="97"/>
      <x:c r="M51" s="97"/>
      <x:c r="N51" s="97"/>
      <x:c r="O51" s="97"/>
      <x:c r="P51" s="97"/>
      <x:c r="Q51" s="97"/>
    </x:row>
    <x:row r="52" ht="20.049999237060547" customHeight="1">
      <x:c r="A52" s="30"/>
      <x:c r="B52" s="30"/>
      <x:c r="C52" s="30"/>
      <x:c r="D52" s="30"/>
      <x:c r="E52" s="31"/>
      <x:c r="F52" s="31"/>
      <x:c r="G52" s="31"/>
      <x:c r="H52" s="32"/>
      <x:c r="I52" s="32"/>
      <x:c r="J52" s="30"/>
      <x:c r="K52" s="31"/>
      <x:c r="L52" s="97"/>
      <x:c r="M52" s="97"/>
      <x:c r="N52" s="97"/>
      <x:c r="O52" s="97"/>
      <x:c r="P52" s="97"/>
      <x:c r="Q52" s="97"/>
    </x:row>
    <x:row r="53" ht="20.049999237060547" customHeight="1">
      <x:c r="A53" s="30"/>
      <x:c r="B53" s="30"/>
      <x:c r="C53" s="30"/>
      <x:c r="D53" s="30"/>
      <x:c r="E53" s="31"/>
      <x:c r="F53" s="31"/>
      <x:c r="G53" s="31"/>
      <x:c r="H53" s="32"/>
      <x:c r="I53" s="32"/>
      <x:c r="J53" s="30"/>
      <x:c r="K53" s="31"/>
      <x:c r="L53" s="97"/>
      <x:c r="M53" s="97"/>
      <x:c r="N53" s="97"/>
      <x:c r="O53" s="97"/>
      <x:c r="P53" s="97"/>
      <x:c r="Q53" s="97"/>
    </x:row>
    <x:row r="54" ht="20.049999237060547" customHeight="1">
      <x:c r="A54" s="33"/>
      <x:c r="B54" s="33"/>
      <x:c r="C54" s="33"/>
      <x:c r="D54" s="33"/>
      <x:c r="E54" s="34"/>
      <x:c r="F54" s="34"/>
      <x:c r="G54" s="34"/>
      <x:c r="H54" s="35"/>
      <x:c r="I54" s="35"/>
      <x:c r="J54" s="33"/>
      <x:c r="K54" s="34"/>
      <x:c r="L54" s="98"/>
      <x:c r="M54" s="98"/>
      <x:c r="N54" s="98"/>
      <x:c r="O54" s="98"/>
      <x:c r="P54" s="98"/>
      <x:c r="Q54" s="98"/>
    </x:row>
  </x:sheetData>
  <x:mergeCells>
    <x:mergeCell ref="A1:K1"/>
    <x:mergeCell ref="A2:K2"/>
  </x:mergeCells>
  <x:dataValidations count="8">
    <x:dataValidation type="custom" allowBlank="1" showInputMessage="1" showErrorMessage="1" errorTitle="Invalid forecast date" error="Enter a date on or after the baseline finish." promptTitle="Forecast finish" prompt="Forecast finish must be on or after the baseline finish." sqref="I5:I54">
      <x:formula1>OR(I5="",H5="",I5&gt;=H5)</x:formula1>
    </x:dataValidation>
    <x:dataValidation type="list" allowBlank="1" showDropDown="0" showInputMessage="1" showErrorMessage="1" sqref="E5:E54">
      <x:formula1>"Development Route,Implementation Route,Support Route,TBC"</x:formula1>
    </x:dataValidation>
    <x:dataValidation type="list" allowBlank="1" showDropDown="0" showInputMessage="1" showErrorMessage="1" sqref="F5:F54">
      <x:formula1>"Authorised,Mobilising,In Delivery,Adoption / Handover,Operational / Live,Paused (On Hold),Closed / Retired"</x:formula1>
    </x:dataValidation>
    <x:dataValidation type="list" allowBlank="1" showDropDown="0" showInputMessage="1" showErrorMessage="1" sqref="G5:G54">
      <x:formula1>"On Track,At Risk (Budget),At Risk (Date),Blocked,Live,Cancelled / Deferred,Closed"</x:formula1>
    </x:dataValidation>
    <x:dataValidation type="list" allowBlank="1" showDropDown="0" showInputMessage="1" showErrorMessage="1" sqref="K5:K54">
      <x:formula1>"Pending,Confirmed,Rejected,Not required"</x:formula1>
    </x:dataValidation>
    <x:dataValidation type="list" allowBlank="1" showDropDown="0" sqref="M5:M54">
      <x:formula1>"Approved Digital Initiation Form,Approved transition / enterprise mandate,Contract / procurement approval,Leadership instruction,Existing live project adoption,Exception entry — authority not evidenced,TBC"</x:formula1>
    </x:dataValidation>
    <x:dataValidation type="list" allowBlank="1" showDropDown="0" sqref="N5:N54">
      <x:formula1>"Development-led delivery,Digital-led implementation / support,Vendor-led implementation with Digital client-side assurance,TBC"</x:formula1>
    </x:dataValidation>
    <x:dataValidation type="list" allowBlank="1" showDropDown="0" sqref="Q5:Q54">
      <x:formula1>"Full budget performance,Owner-supplied summary,Approved changes / variations only,Emerging cost impacts / exceptions only,No financial reporting,TBC"</x:formula1>
    </x:dataValidation>
  </x:dataValidations>
  <x:pageMargins left="0.7" right="0.7" top="0.75" bottom="0.75" header="0.3" footer="0.3"/>
  <x:drawing xmlns:r="http://schemas.openxmlformats.org/officeDocument/2006/relationships" r:id="R9f485df6f3d34e3c"/>
  <x:tableParts count="1">
    <x:tablePart xmlns:r="http://schemas.openxmlformats.org/officeDocument/2006/relationships" r:id="R911633043a684e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1" width="8.640625" style="1" customWidth="1"/>
    <x:col min="2" max="2" width="14.92578125" customWidth="1"/>
    <x:col min="3" max="3" width="10.2109375" customWidth="1"/>
    <x:col min="4" max="4" width="13.35546875" style="1" customWidth="1"/>
    <x:col min="5" max="5" width="21.92578125" customWidth="1"/>
    <x:col min="6" max="6" width="11.2109375" customWidth="1"/>
    <x:col min="7" max="7" width="16.92578125" customWidth="1"/>
    <x:col min="8" max="8" width="17.5703125" customWidth="1"/>
    <x:col min="9" max="9" width="17.7109375" customWidth="1"/>
    <x:col min="10" max="10" width="17.0703125" customWidth="1"/>
    <x:col min="11" max="11" width="18.85546875" customWidth="1"/>
    <x:col min="12" max="12" width="12.92578125" customWidth="1"/>
    <x:col min="13" max="13" width="13.0703125" customWidth="1"/>
    <x:col min="14" max="14" width="16.7109375" customWidth="1"/>
    <x:col min="15" max="15" width="20.85546875" customWidth="1"/>
    <x:col min="16" max="16" width="13.7109375" customWidth="1"/>
    <x:col min="17" max="17" width="20.0703125" customWidth="1"/>
    <x:col min="18" max="18" width="9.140625" customWidth="1"/>
  </x:cols>
  <x:sheetData>
    <x:row r="1" ht="26.149999618530273">
      <x:c r="A1" s="9" t="s">
        <x:v>84</x:v>
      </x:c>
      <x:c r="B1" s="8"/>
      <x:c r="C1" s="8"/>
      <x:c r="D1" s="9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>
      <x:c r="A2" s="56" t="s">
        <x:v>85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</x:row>
    <x:row r="3" ht="14.600000381469727">
      <x:c r="A3" s="11"/>
      <x:c r="B3" s="10"/>
      <x:c r="C3" s="10"/>
      <x:c r="D3" s="11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>
      <x:c r="A4" s="3" t="s">
        <x:v>86</x:v>
      </x:c>
      <x:c r="B4" s="4" t="s">
        <x:v>6</x:v>
      </x:c>
      <x:c r="C4" s="4" t="s">
        <x:v>87</x:v>
      </x:c>
      <x:c r="D4" s="4" t="s">
        <x:v>88</x:v>
      </x:c>
      <x:c r="E4" s="4" t="s">
        <x:v>89</x:v>
      </x:c>
      <x:c r="F4" s="4" t="s">
        <x:v>90</x:v>
      </x:c>
      <x:c r="G4" s="4" t="s">
        <x:v>91</x:v>
      </x:c>
      <x:c r="H4" s="4" t="s">
        <x:v>10</x:v>
      </x:c>
      <x:c r="I4" s="4" t="s">
        <x:v>11</x:v>
      </x:c>
      <x:c r="J4" s="4" t="s">
        <x:v>92</x:v>
      </x:c>
      <x:c r="K4" s="4" t="s">
        <x:v>93</x:v>
      </x:c>
      <x:c r="L4" s="4" t="s">
        <x:v>13</x:v>
      </x:c>
      <x:c r="M4" s="4" t="s">
        <x:v>14</x:v>
      </x:c>
      <x:c r="N4" s="4" t="s">
        <x:v>94</x:v>
      </x:c>
      <x:c r="O4" s="4" t="s">
        <x:v>95</x:v>
      </x:c>
      <x:c r="P4" s="5" t="s">
        <x:v>96</x:v>
      </x:c>
    </x:row>
    <x:row r="5">
      <x:c r="A5" s="65" t="n" cm="1">
        <x:f t="array" ref="A5">IF(OR(B5="",C5=""),"",IF(C5="Initiative",COUNTIF($C$5:C5,"Initiative"),IF(C5="Milestone",IF(D5="","",D5&amp;"."&amp;COUNTIFS($D$5:D5,D5,$C$5:C5,"Milestone")),IF(OR(C5="Activity",C5="Variation"),IF(D5="","",D5&amp;"."&amp;(COUNTIFS($D$5:D5,D5,$C$5:C5,"Activity")+COUNTIFS($D$5:D5,D5,$C$5:C5,"Variation"))),""))))</x:f>
        <x:v>1</x:v>
      </x:c>
      <x:c r="B5" s="14" t="s">
        <x:v>33</x:v>
      </x:c>
      <x:c r="C5" s="14" t="s">
        <x:v>7</x:v>
      </x:c>
      <x:c r="D5" s="15"/>
      <x:c r="E5" s="16" t="s">
        <x:v>34</x:v>
      </x:c>
      <x:c r="F5" s="16" t="s">
        <x:v>36</x:v>
      </x:c>
      <x:c r="G5" s="101">
        <x:v>46113</x:v>
      </x:c>
      <x:c r="H5" s="101">
        <x:v>46374</x:v>
      </x:c>
      <x:c r="I5" s="101">
        <x:v>46374</x:v>
      </x:c>
      <x:c r="J5" s="99"/>
      <x:c r="K5" s="13" t="n">
        <x:f ca="1">IF($B5="","",IF($C5="Initiative",IF(COUNTIFS($B$6:$B$204,$B5,$C$6:$C$204,"Activity")+COUNTIFS($B$6:$B$204,$B5,$C$6:$C$204,"Variation")=0,"",IF(COUNTIFS($B$6:$B$204,$B5,$C$6:$C$204,"Activity")+COUNTIFS($B$6:$B$204,$B5,$C$6:$C$204,"Variation")&lt;&gt;COUNTIFS($B$6:$B$204,$B5,$C$6:$C$204,"Activity",$G$6:$G$204,"&lt;&gt;",$H$6:$H$204,"&lt;&gt;")+COUNTIFS($B$6:$B$204,$B5,$C$6:$C$204,"Variation",$G$6:$G$204,"&lt;&gt;",$H$6:$H$204,"&lt;&gt;"),"",(SUMIFS($K$6:$K$204,$B$6:$B$204,$B5,$C$6:$C$204,"Activity")+SUMIFS($K$6:$K$204,$B$6:$B$204,$B5,$C$6:$C$204,"Variation"))/(COUNTIFS($B$6:$B$204,$B5,$C$6:$C$204,"Activity")+COUNTIFS($B$6:$B$204,$B5,$C$6:$C$204,"Variation")))),IF($C5="Milestone",IF(COUNTIFS($D$6:$D$204,$A5,$C$6:$C$204,"Activity")+COUNTIFS($D$6:$D$204,$A5,$C$6:$C$204,"Variation")=0,"",IF(COUNTIFS($D$6:$D$204,$A5,$C$6:$C$204,"Activity")+COUNTIFS($D$6:$D$204,$A5,$C$6:$C$204,"Variation")&lt;&gt;COUNTIFS($D$6:$D$204,$A5,$C$6:$C$204,"Activity",$G$6:$G$204,"&lt;&gt;",$H$6:$H$204,"&lt;&gt;")+COUNTIFS($D$6:$D$204,$A5,$C$6:$C$204,"Variation",$G$6:$G$204,"&lt;&gt;",$H$6:$H$204,"&lt;&gt;"),"",(SUMIFS($K$6:$K$204,$D$6:$D$204,$A5,$C$6:$C$204,"Activity")+SUMIFS($K$6:$K$204,$D$6:$D$204,$A5,$C$6:$C$204,"Variation"))/(COUNTIFS($D$6:$D$204,$A5,$C$6:$C$204,"Activity")+COUNTIFS($D$6:$D$204,$A5,$C$6:$C$204,"Variation")))),IF(OR($C5="Activity",$C5="Variation"),IF(OR($G5="",$H5=""),"",IF($H5&lt;$G5,"",IF($H5=$G5,--(TODAY()&gt;=$H5),MAX(0,MIN(1,(TODAY()-$G5)/($H5-$G5)))))),""))))</x:f>
        <x:v>0.6325757575757576</x:v>
      </x:c>
      <x:c r="L5" s="13" t="n">
        <x:f t="shared" ref="L5:L68" si="0">IF($B5="","",IF($C5="Initiative",IF(COUNTIFS($B$5:$B$204,$B5,$C$5:$C$204,"Activity")+COUNTIFS($B$5:$B$204,$B5,$C$5:$C$204,"Variation")=0,"",IF(COUNTIFS($B$5:$B$204,$B5,$C$5:$C$204,"Activity")+COUNTIFS($B$5:$B$204,$B5,$C$5:$C$204,"Variation")&lt;&gt;COUNTIFS($B$5:$B$204,$B5,$C$5:$C$204,"Activity",$J$5:$J$204,"&lt;&gt;",$J$5:$J$204,"&gt;=0",$J$5:$J$204,"&lt;=1")+COUNTIFS($B$5:$B$204,$B5,$C$5:$C$204,"Variation",$J$5:$J$204,"&lt;&gt;",$J$5:$J$204,"&gt;=0",$J$5:$J$204,"&lt;=1"),"",(SUMIFS($J$5:$J$204,$B$5:$B$204,$B5,$C$5:$C$204,"Activity")+SUMIFS($J$5:$J$204,$B$5:$B$204,$B5,$C$5:$C$204,"Variation"))/(COUNTIFS($B$5:$B$204,$B5,$C$5:$C$204,"Activity")+COUNTIFS($B$5:$B$204,$B5,$C$5:$C$204,"Variation")))),IF($C5="Milestone",IF(COUNTIFS($D$5:$D$204,$A5,$C$5:$C$204,"Activity")+COUNTIFS($D$5:$D$204,$A5,$C$5:$C$204,"Variation")=0,"",IF(COUNTIFS($D$5:$D$204,$A5,$C$5:$C$204,"Activity")+COUNTIFS($D$5:$D$204,$A5,$C$5:$C$204,"Variation")&lt;&gt;COUNTIFS($D$5:$D$204,$A5,$C$5:$C$204,"Activity",$J$5:$J$204,"&lt;&gt;",$J$5:$J$204,"&gt;=0",$J$5:$J$204,"&lt;=1")+COUNTIFS($D$5:$D$204,$A5,$C$5:$C$204,"Variation",$J$5:$J$204,"&lt;&gt;",$J$5:$J$204,"&gt;=0",$J$5:$J$204,"&lt;=1"),"",(SUMIFS($J$5:$J$204,$D$5:$D$204,$A5,$C$5:$C$204,"Activity")+SUMIFS($J$5:$J$204,$D$5:$D$204,$A5,$C$5:$C$204,"Variation"))/(COUNTIFS($D$5:$D$204,$A5,$C$5:$C$204,"Activity")+COUNTIFS($D$5:$D$204,$A5,$C$5:$C$204,"Variation")))),IF(OR($C5="Activity",$C5="Variation"),IF(AND(ISNUMBER($J5),$J5&gt;=0,$J5&lt;=1),$J5,""),""))))</x:f>
        <x:v>0.65</x:v>
      </x:c>
      <x:c r="M5" s="13" t="n">
        <x:f ca="1">IF(OR($K5="",$L5=""),"",$L5-$K5)</x:f>
        <x:v>0.017424242424242453</x:v>
      </x:c>
      <x:c r="N5" s="12" t="str">
        <x:f ca="1">IF(OR($B5="",$I5="",$L5=""),"",IF(AND($L5&lt;1,$I5&lt;TODAY()),"Late",IF(AND($H5&lt;&gt;"",$I5&gt;$H5),"Forecast Slip","On Plan")))</x:f>
        <x:v>On Plan</x:v>
      </x:c>
      <x:c r="O5" s="14"/>
      <x:c r="P5" s="12" t="str">
        <x:f>IF($B5="","",IF($A5="","Enter item ID",IF(COUNTIF($A$5:$A$204,$A5)&gt;1,"Duplicate item ID",IF($C5="Initiative",IF($D5&lt;&gt;"","Parent must be blank",IF(COUNTIFS($B$5:$B$204,$B5,$C$5:$C$204,"Initiative")&lt;&gt;1,"One Initiative row required",IF(COUNTIFS($D$5:$D$204,$A5,$C$5:$C$204,"Milestone")=0,"Add milestone","OK"))),IF($C5="Milestone",IF(COUNTIFS($A$5:$A$204,$D5,$B$5:$B$204,$B5,$C$5:$C$204,"Initiative")&lt;&gt;1,"Parent must be Initiative",IF(COUNTIFS($D$5:$D$204,$A5,$C$5:$C$204,"Activity")+COUNTIFS($D$5:$D$204,$A5,$C$5:$C$204,"Variation")=0,"Add activity or variation","OK")),IF(OR($C5="Activity",$C5="Variation"),IF(COUNTIFS($A$5:$A$204,$D5,$B$5:$B$204,$B5,$C$5:$C$204,"Milestone")&lt;&gt;1,"Parent must be Milestone",IF(OR($G5="",$H5=""),"Enter baseline dates",IF($H5&lt;$G5,"Baseline finish before start",IF($I5="","Enter forecast finish",IF(COUNT($J5)=0,"Enter actual %",IF(OR(NOT(ISNUMBER($J5)),$J5&lt;0,$J5&gt;1),"Actual % must be 0–100%","OK")))))),"Select level"))))))</x:f>
        <x:v>OK</x:v>
      </x:c>
    </x:row>
    <x:row r="6" ht="25.75">
      <x:c r="A6" s="66" t="str" cm="1">
        <x:f t="array" ref="A6">IF(OR(B6="",C6=""),"",IF(C6="Initiative",COUNTIF($C$5:C6,"Initiative"),IF(C6="Milestone",IF(D6="","",D6&amp;"."&amp;COUNTIFS($D$5:D6,D6,$C$5:C6,"Milestone")),IF(OR(C6="Activity",C6="Variation"),IF(D6="","",D6&amp;"."&amp;(COUNTIFS($D$5:D6,D6,$C$5:C6,"Activity")+COUNTIFS($D$5:D6,D6,$C$5:C6,"Variation"))),""))))</x:f>
        <x:v>1.1</x:v>
      </x:c>
      <x:c r="B6" s="19" t="s">
        <x:v>33</x:v>
      </x:c>
      <x:c r="C6" s="19" t="s">
        <x:v>97</x:v>
      </x:c>
      <x:c r="D6" s="20">
        <x:v>1</x:v>
      </x:c>
      <x:c r="E6" s="21" t="s">
        <x:v>98</x:v>
      </x:c>
      <x:c r="F6" s="21" t="s">
        <x:v>36</x:v>
      </x:c>
      <x:c r="G6" s="102">
        <x:v>46113</x:v>
      </x:c>
      <x:c r="H6" s="102">
        <x:v>46374</x:v>
      </x:c>
      <x:c r="I6" s="102">
        <x:v>46374</x:v>
      </x:c>
      <x:c r="J6" s="100"/>
      <x:c r="K6" s="7" t="n">
        <x:f ca="1">IF($B6="","",IF($C6="Initiative",IF(COUNTIFS($B$7:$B$204,$B6,$C$7:$C$204,"Activity")+COUNTIFS($B$7:$B$204,$B6,$C$7:$C$204,"Variation")=0,"",IF(COUNTIFS($B$7:$B$204,$B6,$C$7:$C$204,"Activity")+COUNTIFS($B$7:$B$204,$B6,$C$7:$C$204,"Variation")&lt;&gt;COUNTIFS($B$7:$B$204,$B6,$C$7:$C$204,"Activity",$G$7:$G$204,"&lt;&gt;",$H$7:$H$204,"&lt;&gt;")+COUNTIFS($B$7:$B$204,$B6,$C$7:$C$204,"Variation",$G$7:$G$204,"&lt;&gt;",$H$7:$H$204,"&lt;&gt;"),"",(SUMIFS($K$7:$K$204,$B$7:$B$204,$B6,$C$7:$C$204,"Activity")+SUMIFS($K$7:$K$204,$B$7:$B$204,$B6,$C$7:$C$204,"Variation"))/(COUNTIFS($B$7:$B$204,$B6,$C$7:$C$204,"Activity")+COUNTIFS($B$7:$B$204,$B6,$C$7:$C$204,"Variation")))),IF($C6="Milestone",IF(COUNTIFS($D$7:$D$204,$A6,$C$7:$C$204,"Activity")+COUNTIFS($D$7:$D$204,$A6,$C$7:$C$204,"Variation")=0,"",IF(COUNTIFS($D$7:$D$204,$A6,$C$7:$C$204,"Activity")+COUNTIFS($D$7:$D$204,$A6,$C$7:$C$204,"Variation")&lt;&gt;COUNTIFS($D$7:$D$204,$A6,$C$7:$C$204,"Activity",$G$7:$G$204,"&lt;&gt;",$H$7:$H$204,"&lt;&gt;")+COUNTIFS($D$7:$D$204,$A6,$C$7:$C$204,"Variation",$G$7:$G$204,"&lt;&gt;",$H$7:$H$204,"&lt;&gt;"),"",(SUMIFS($K$7:$K$204,$D$7:$D$204,$A6,$C$7:$C$204,"Activity")+SUMIFS($K$7:$K$204,$D$7:$D$204,$A6,$C$7:$C$204,"Variation"))/(COUNTIFS($D$7:$D$204,$A6,$C$7:$C$204,"Activity")+COUNTIFS($D$7:$D$204,$A6,$C$7:$C$204,"Variation")))),IF(OR($C6="Activity",$C6="Variation"),IF(OR($G6="",$H6=""),"",IF($H6&lt;$G6,"",IF($H6=$G6,--(TODAY()&gt;=$H6),MAX(0,MIN(1,(TODAY()-$G6)/($H6-$G6)))))),""))))</x:f>
        <x:v>0.6325757575757576</x:v>
      </x:c>
      <x:c r="L6" s="7" t="n">
        <x:f t="shared" si="0">IF($B6="","",IF($C6="Initiative",IF(COUNTIFS($B$5:$B$204,$B6,$C$5:$C$204,"Activity")+COUNTIFS($B$5:$B$204,$B6,$C$5:$C$204,"Variation")=0,"",IF(COUNTIFS($B$5:$B$204,$B6,$C$5:$C$204,"Activity")+COUNTIFS($B$5:$B$204,$B6,$C$5:$C$204,"Variation")&lt;&gt;COUNTIFS($B$5:$B$204,$B6,$C$5:$C$204,"Activity",$J$5:$J$204,"&lt;&gt;",$J$5:$J$204,"&gt;=0",$J$5:$J$204,"&lt;=1")+COUNTIFS($B$5:$B$204,$B6,$C$5:$C$204,"Variation",$J$5:$J$204,"&lt;&gt;",$J$5:$J$204,"&gt;=0",$J$5:$J$204,"&lt;=1"),"",(SUMIFS($J$5:$J$204,$B$5:$B$204,$B6,$C$5:$C$204,"Activity")+SUMIFS($J$5:$J$204,$B$5:$B$204,$B6,$C$5:$C$204,"Variation"))/(COUNTIFS($B$5:$B$204,$B6,$C$5:$C$204,"Activity")+COUNTIFS($B$5:$B$204,$B6,$C$5:$C$204,"Variation")))),IF($C6="Milestone",IF(COUNTIFS($D$5:$D$204,$A6,$C$5:$C$204,"Activity")+COUNTIFS($D$5:$D$204,$A6,$C$5:$C$204,"Variation")=0,"",IF(COUNTIFS($D$5:$D$204,$A6,$C$5:$C$204,"Activity")+COUNTIFS($D$5:$D$204,$A6,$C$5:$C$204,"Variation")&lt;&gt;COUNTIFS($D$5:$D$204,$A6,$C$5:$C$204,"Activity",$J$5:$J$204,"&lt;&gt;",$J$5:$J$204,"&gt;=0",$J$5:$J$204,"&lt;=1")+COUNTIFS($D$5:$D$204,$A6,$C$5:$C$204,"Variation",$J$5:$J$204,"&lt;&gt;",$J$5:$J$204,"&gt;=0",$J$5:$J$204,"&lt;=1"),"",(SUMIFS($J$5:$J$204,$D$5:$D$204,$A6,$C$5:$C$204,"Activity")+SUMIFS($J$5:$J$204,$D$5:$D$204,$A6,$C$5:$C$204,"Variation"))/(COUNTIFS($D$5:$D$204,$A6,$C$5:$C$204,"Activity")+COUNTIFS($D$5:$D$204,$A6,$C$5:$C$204,"Variation")))),IF(OR($C6="Activity",$C6="Variation"),IF(AND(ISNUMBER($J6),$J6&gt;=0,$J6&lt;=1),$J6,""),""))))</x:f>
        <x:v>0.65</x:v>
      </x:c>
      <x:c r="M6" s="7" t="n">
        <x:f t="shared" ref="M6:M69" ca="1" si="1">IF(OR($K6="",$L6=""),"",$L6-$K6)</x:f>
        <x:v>0.017424242424242453</x:v>
      </x:c>
      <x:c r="N6" s="6" t="str">
        <x:f ca="1">IF(OR($B6="",$I6="",$L6=""),"",IF(AND($L6&lt;1,$I6&lt;TODAY()),"Late",IF(AND($H6&lt;&gt;"",$I6&gt;$H6),"Forecast Slip","On Plan")))</x:f>
        <x:v>On Plan</x:v>
      </x:c>
      <x:c r="O6" s="19"/>
      <x:c r="P6" s="6" t="str">
        <x:f t="shared" ref="P6:P69" si="2">IF($B6="","",IF($A6="","Enter item ID",IF(COUNTIF($A$5:$A$204,$A6)&gt;1,"Duplicate item ID",IF($C6="Initiative",IF($D6&lt;&gt;"","Parent must be blank",IF(COUNTIFS($B$5:$B$204,$B6,$C$5:$C$204,"Initiative")&lt;&gt;1,"One Initiative row required",IF(COUNTIFS($D$5:$D$204,$A6,$C$5:$C$204,"Milestone")=0,"Add milestone","OK"))),IF($C6="Milestone",IF(COUNTIFS($A$5:$A$204,$D6,$B$5:$B$204,$B6,$C$5:$C$204,"Initiative")&lt;&gt;1,"Parent must be Initiative",IF(COUNTIFS($D$5:$D$204,$A6,$C$5:$C$204,"Activity")+COUNTIFS($D$5:$D$204,$A6,$C$5:$C$204,"Variation")=0,"Add activity or variation","OK")),IF(OR($C6="Activity",$C6="Variation"),IF(COUNTIFS($A$5:$A$204,$D6,$B$5:$B$204,$B6,$C$5:$C$204,"Milestone")&lt;&gt;1,"Parent must be Milestone",IF(OR($G6="",$H6=""),"Enter baseline dates",IF($H6&lt;$G6,"Baseline finish before start",IF($I6="","Enter forecast finish",IF(COUNT($J6)=0,"Enter actual %",IF(OR(NOT(ISNUMBER($J6)),$J6&lt;0,$J6&gt;1),"Actual % must be 0–100%","OK")))))),"Select level"))))))</x:f>
        <x:v>OK</x:v>
      </x:c>
    </x:row>
    <x:row r="7">
      <x:c r="A7" s="66" t="str" cm="1">
        <x:f t="array" ref="A7">IF(OR(B7="",C7=""),"",IF(C7="Initiative",COUNTIF($C$5:C7,"Initiative"),IF(C7="Milestone",IF(D7="","",D7&amp;"."&amp;COUNTIFS($D$5:D7,D7,$C$5:C7,"Milestone")),IF(OR(C7="Activity",C7="Variation"),IF(D7="","",D7&amp;"."&amp;(COUNTIFS($D$5:D7,D7,$C$5:C7,"Activity")+COUNTIFS($D$5:D7,D7,$C$5:C7,"Variation"))),""))))</x:f>
        <x:v>1.1.1</x:v>
      </x:c>
      <x:c r="B7" s="19" t="s">
        <x:v>33</x:v>
      </x:c>
      <x:c r="C7" s="19" t="s">
        <x:v>99</x:v>
      </x:c>
      <x:c r="D7" s="20">
        <x:v>1.1000000000000001</x:v>
      </x:c>
      <x:c r="E7" s="21" t="s">
        <x:v>100</x:v>
      </x:c>
      <x:c r="F7" s="21" t="s">
        <x:v>36</x:v>
      </x:c>
      <x:c r="G7" s="102">
        <x:v>46113</x:v>
      </x:c>
      <x:c r="H7" s="102">
        <x:v>46199</x:v>
      </x:c>
      <x:c r="I7" s="102">
        <x:v>46199</x:v>
      </x:c>
      <x:c r="J7" s="100">
        <x:v>0.75</x:v>
      </x:c>
      <x:c r="K7" s="7" t="n">
        <x:f ca="1">IF($B7="","",IF($C7="Initiative",IF(COUNTIFS($B$8:$B$204,$B7,$C$8:$C$204,"Activity")+COUNTIFS($B$8:$B$204,$B7,$C$8:$C$204,"Variation")=0,"",IF(COUNTIFS($B$8:$B$204,$B7,$C$8:$C$204,"Activity")+COUNTIFS($B$8:$B$204,$B7,$C$8:$C$204,"Variation")&lt;&gt;COUNTIFS($B$8:$B$204,$B7,$C$8:$C$204,"Activity",$G$8:$G$204,"&lt;&gt;",$H$8:$H$204,"&lt;&gt;")+COUNTIFS($B$8:$B$204,$B7,$C$8:$C$204,"Variation",$G$8:$G$204,"&lt;&gt;",$H$8:$H$204,"&lt;&gt;"),"",(SUMIFS($K$8:$K$204,$B$8:$B$204,$B7,$C$8:$C$204,"Activity")+SUMIFS($K$8:$K$204,$B$8:$B$204,$B7,$C$8:$C$204,"Variation"))/(COUNTIFS($B$8:$B$204,$B7,$C$8:$C$204,"Activity")+COUNTIFS($B$8:$B$204,$B7,$C$8:$C$204,"Variation")))),IF($C7="Milestone",IF(COUNTIFS($D$8:$D$204,$A7,$C$8:$C$204,"Activity")+COUNTIFS($D$8:$D$204,$A7,$C$8:$C$204,"Variation")=0,"",IF(COUNTIFS($D$8:$D$204,$A7,$C$8:$C$204,"Activity")+COUNTIFS($D$8:$D$204,$A7,$C$8:$C$204,"Variation")&lt;&gt;COUNTIFS($D$8:$D$204,$A7,$C$8:$C$204,"Activity",$G$8:$G$204,"&lt;&gt;",$H$8:$H$204,"&lt;&gt;")+COUNTIFS($D$8:$D$204,$A7,$C$8:$C$204,"Variation",$G$8:$G$204,"&lt;&gt;",$H$8:$H$204,"&lt;&gt;"),"",(SUMIFS($K$8:$K$204,$D$8:$D$204,$A7,$C$8:$C$204,"Activity")+SUMIFS($K$8:$K$204,$D$8:$D$204,$A7,$C$8:$C$204,"Variation"))/(COUNTIFS($D$8:$D$204,$A7,$C$8:$C$204,"Activity")+COUNTIFS($D$8:$D$204,$A7,$C$8:$C$204,"Variation")))),IF(OR($C7="Activity",$C7="Variation"),IF(OR($G7="",$H7=""),"",IF($H7&lt;$G7,"",IF($H7=$G7,--(TODAY()&gt;=$H7),MAX(0,MIN(1,(TODAY()-$G7)/($H7-$G7)))))),""))))</x:f>
        <x:v>1</x:v>
      </x:c>
      <x:c r="L7" s="7" t="n">
        <x:f t="shared" si="0">IF($B7="","",IF($C7="Initiative",IF(COUNTIFS($B$5:$B$204,$B7,$C$5:$C$204,"Activity")+COUNTIFS($B$5:$B$204,$B7,$C$5:$C$204,"Variation")=0,"",IF(COUNTIFS($B$5:$B$204,$B7,$C$5:$C$204,"Activity")+COUNTIFS($B$5:$B$204,$B7,$C$5:$C$204,"Variation")&lt;&gt;COUNTIFS($B$5:$B$204,$B7,$C$5:$C$204,"Activity",$J$5:$J$204,"&lt;&gt;",$J$5:$J$204,"&gt;=0",$J$5:$J$204,"&lt;=1")+COUNTIFS($B$5:$B$204,$B7,$C$5:$C$204,"Variation",$J$5:$J$204,"&lt;&gt;",$J$5:$J$204,"&gt;=0",$J$5:$J$204,"&lt;=1"),"",(SUMIFS($J$5:$J$204,$B$5:$B$204,$B7,$C$5:$C$204,"Activity")+SUMIFS($J$5:$J$204,$B$5:$B$204,$B7,$C$5:$C$204,"Variation"))/(COUNTIFS($B$5:$B$204,$B7,$C$5:$C$204,"Activity")+COUNTIFS($B$5:$B$204,$B7,$C$5:$C$204,"Variation")))),IF($C7="Milestone",IF(COUNTIFS($D$5:$D$204,$A7,$C$5:$C$204,"Activity")+COUNTIFS($D$5:$D$204,$A7,$C$5:$C$204,"Variation")=0,"",IF(COUNTIFS($D$5:$D$204,$A7,$C$5:$C$204,"Activity")+COUNTIFS($D$5:$D$204,$A7,$C$5:$C$204,"Variation")&lt;&gt;COUNTIFS($D$5:$D$204,$A7,$C$5:$C$204,"Activity",$J$5:$J$204,"&lt;&gt;",$J$5:$J$204,"&gt;=0",$J$5:$J$204,"&lt;=1")+COUNTIFS($D$5:$D$204,$A7,$C$5:$C$204,"Variation",$J$5:$J$204,"&lt;&gt;",$J$5:$J$204,"&gt;=0",$J$5:$J$204,"&lt;=1"),"",(SUMIFS($J$5:$J$204,$D$5:$D$204,$A7,$C$5:$C$204,"Activity")+SUMIFS($J$5:$J$204,$D$5:$D$204,$A7,$C$5:$C$204,"Variation"))/(COUNTIFS($D$5:$D$204,$A7,$C$5:$C$204,"Activity")+COUNTIFS($D$5:$D$204,$A7,$C$5:$C$204,"Variation")))),IF(OR($C7="Activity",$C7="Variation"),IF(AND(ISNUMBER($J7),$J7&gt;=0,$J7&lt;=1),$J7,""),""))))</x:f>
        <x:v>0.75</x:v>
      </x:c>
      <x:c r="M7" s="7" t="n">
        <x:f t="shared" ca="1" si="1">IF(OR($K7="",$L7=""),"",$L7-$K7)</x:f>
        <x:v>-0.25</x:v>
      </x:c>
      <x:c r="N7" s="6" t="str">
        <x:f ca="1">IF(OR($B7="",$I7="",$L7=""),"",IF(AND($L7&lt;1,$I7&lt;TODAY()),"Late",IF(AND($H7&lt;&gt;"",$I7&gt;$H7),"Forecast Slip","On Plan")))</x:f>
        <x:v>Late</x:v>
      </x:c>
      <x:c r="O7" s="19"/>
      <x:c r="P7" s="6" t="str">
        <x:f t="shared" si="2">IF($B7="","",IF($A7="","Enter item ID",IF(COUNTIF($A$5:$A$204,$A7)&gt;1,"Duplicate item ID",IF($C7="Initiative",IF($D7&lt;&gt;"","Parent must be blank",IF(COUNTIFS($B$5:$B$204,$B7,$C$5:$C$204,"Initiative")&lt;&gt;1,"One Initiative row required",IF(COUNTIFS($D$5:$D$204,$A7,$C$5:$C$204,"Milestone")=0,"Add milestone","OK"))),IF($C7="Milestone",IF(COUNTIFS($A$5:$A$204,$D7,$B$5:$B$204,$B7,$C$5:$C$204,"Initiative")&lt;&gt;1,"Parent must be Initiative",IF(COUNTIFS($D$5:$D$204,$A7,$C$5:$C$204,"Activity")+COUNTIFS($D$5:$D$204,$A7,$C$5:$C$204,"Variation")=0,"Add activity or variation","OK")),IF(OR($C7="Activity",$C7="Variation"),IF(COUNTIFS($A$5:$A$204,$D7,$B$5:$B$204,$B7,$C$5:$C$204,"Milestone")&lt;&gt;1,"Parent must be Milestone",IF(OR($G7="",$H7=""),"Enter baseline dates",IF($H7&lt;$G7,"Baseline finish before start",IF($I7="","Enter forecast finish",IF(COUNT($J7)=0,"Enter actual %",IF(OR(NOT(ISNUMBER($J7)),$J7&lt;0,$J7&gt;1),"Actual % must be 0–100%","OK")))))),"Select level"))))))</x:f>
        <x:v>OK</x:v>
      </x:c>
    </x:row>
    <x:row r="8">
      <x:c r="A8" s="66" t="str" cm="1">
        <x:f t="array" ref="A8">IF(OR(B8="",C8=""),"",IF(C8="Initiative",COUNTIF($C$5:C8,"Initiative"),IF(C8="Milestone",IF(D8="","",D8&amp;"."&amp;COUNTIFS($D$5:D8,D8,$C$5:C8,"Milestone")),IF(OR(C8="Activity",C8="Variation"),IF(D8="","",D8&amp;"."&amp;(COUNTIFS($D$5:D8,D8,$C$5:C8,"Activity")+COUNTIFS($D$5:D8,D8,$C$5:C8,"Variation"))),""))))</x:f>
        <x:v>1.1.2</x:v>
      </x:c>
      <x:c r="B8" s="19" t="s">
        <x:v>33</x:v>
      </x:c>
      <x:c r="C8" s="19" t="s">
        <x:v>99</x:v>
      </x:c>
      <x:c r="D8" s="20">
        <x:v>1.1000000000000001</x:v>
      </x:c>
      <x:c r="E8" s="21" t="s">
        <x:v>101</x:v>
      </x:c>
      <x:c r="F8" s="21" t="s">
        <x:v>36</x:v>
      </x:c>
      <x:c r="G8" s="102">
        <x:v>46200</x:v>
      </x:c>
      <x:c r="H8" s="102">
        <x:v>46288</x:v>
      </x:c>
      <x:c r="I8" s="102">
        <x:v>46288</x:v>
      </x:c>
      <x:c r="J8" s="100">
        <x:v>0.65</x:v>
      </x:c>
      <x:c r="K8" s="7" t="n">
        <x:f ca="1">IF($B8="","",IF($C8="Initiative",IF(COUNTIFS($B$9:$B$204,$B8,$C$9:$C$204,"Activity")+COUNTIFS($B$9:$B$204,$B8,$C$9:$C$204,"Variation")=0,"",IF(COUNTIFS($B$9:$B$204,$B8,$C$9:$C$204,"Activity")+COUNTIFS($B$9:$B$204,$B8,$C$9:$C$204,"Variation")&lt;&gt;COUNTIFS($B$9:$B$204,$B8,$C$9:$C$204,"Activity",$G$9:$G$204,"&lt;&gt;",$H$9:$H$204,"&lt;&gt;")+COUNTIFS($B$9:$B$204,$B8,$C$9:$C$204,"Variation",$G$9:$G$204,"&lt;&gt;",$H$9:$H$204,"&lt;&gt;"),"",(SUMIFS($K$9:$K$204,$B$9:$B$204,$B8,$C$9:$C$204,"Activity")+SUMIFS($K$9:$K$204,$B$9:$B$204,$B8,$C$9:$C$204,"Variation"))/(COUNTIFS($B$9:$B$204,$B8,$C$9:$C$204,"Activity")+COUNTIFS($B$9:$B$204,$B8,$C$9:$C$204,"Variation")))),IF($C8="Milestone",IF(COUNTIFS($D$9:$D$204,$A8,$C$9:$C$204,"Activity")+COUNTIFS($D$9:$D$204,$A8,$C$9:$C$204,"Variation")=0,"",IF(COUNTIFS($D$9:$D$204,$A8,$C$9:$C$204,"Activity")+COUNTIFS($D$9:$D$204,$A8,$C$9:$C$204,"Variation")&lt;&gt;COUNTIFS($D$9:$D$204,$A8,$C$9:$C$204,"Activity",$G$9:$G$204,"&lt;&gt;",$H$9:$H$204,"&lt;&gt;")+COUNTIFS($D$9:$D$204,$A8,$C$9:$C$204,"Variation",$G$9:$G$204,"&lt;&gt;",$H$9:$H$204,"&lt;&gt;"),"",(SUMIFS($K$9:$K$204,$D$9:$D$204,$A8,$C$9:$C$204,"Activity")+SUMIFS($K$9:$K$204,$D$9:$D$204,$A8,$C$9:$C$204,"Variation"))/(COUNTIFS($D$9:$D$204,$A8,$C$9:$C$204,"Activity")+COUNTIFS($D$9:$D$204,$A8,$C$9:$C$204,"Variation")))),IF(OR($C8="Activity",$C8="Variation"),IF(OR($G8="",$H8=""),"",IF($H8&lt;$G8,"",IF($H8=$G8,--(TODAY()&gt;=$H8),MAX(0,MIN(1,(TODAY()-$G8)/($H8-$G8)))))),""))))</x:f>
        <x:v>0.8977272727272727</x:v>
      </x:c>
      <x:c r="L8" s="7" t="n">
        <x:f t="shared" si="0">IF($B8="","",IF($C8="Initiative",IF(COUNTIFS($B$5:$B$204,$B8,$C$5:$C$204,"Activity")+COUNTIFS($B$5:$B$204,$B8,$C$5:$C$204,"Variation")=0,"",IF(COUNTIFS($B$5:$B$204,$B8,$C$5:$C$204,"Activity")+COUNTIFS($B$5:$B$204,$B8,$C$5:$C$204,"Variation")&lt;&gt;COUNTIFS($B$5:$B$204,$B8,$C$5:$C$204,"Activity",$J$5:$J$204,"&lt;&gt;",$J$5:$J$204,"&gt;=0",$J$5:$J$204,"&lt;=1")+COUNTIFS($B$5:$B$204,$B8,$C$5:$C$204,"Variation",$J$5:$J$204,"&lt;&gt;",$J$5:$J$204,"&gt;=0",$J$5:$J$204,"&lt;=1"),"",(SUMIFS($J$5:$J$204,$B$5:$B$204,$B8,$C$5:$C$204,"Activity")+SUMIFS($J$5:$J$204,$B$5:$B$204,$B8,$C$5:$C$204,"Variation"))/(COUNTIFS($B$5:$B$204,$B8,$C$5:$C$204,"Activity")+COUNTIFS($B$5:$B$204,$B8,$C$5:$C$204,"Variation")))),IF($C8="Milestone",IF(COUNTIFS($D$5:$D$204,$A8,$C$5:$C$204,"Activity")+COUNTIFS($D$5:$D$204,$A8,$C$5:$C$204,"Variation")=0,"",IF(COUNTIFS($D$5:$D$204,$A8,$C$5:$C$204,"Activity")+COUNTIFS($D$5:$D$204,$A8,$C$5:$C$204,"Variation")&lt;&gt;COUNTIFS($D$5:$D$204,$A8,$C$5:$C$204,"Activity",$J$5:$J$204,"&lt;&gt;",$J$5:$J$204,"&gt;=0",$J$5:$J$204,"&lt;=1")+COUNTIFS($D$5:$D$204,$A8,$C$5:$C$204,"Variation",$J$5:$J$204,"&lt;&gt;",$J$5:$J$204,"&gt;=0",$J$5:$J$204,"&lt;=1"),"",(SUMIFS($J$5:$J$204,$D$5:$D$204,$A8,$C$5:$C$204,"Activity")+SUMIFS($J$5:$J$204,$D$5:$D$204,$A8,$C$5:$C$204,"Variation"))/(COUNTIFS($D$5:$D$204,$A8,$C$5:$C$204,"Activity")+COUNTIFS($D$5:$D$204,$A8,$C$5:$C$204,"Variation")))),IF(OR($C8="Activity",$C8="Variation"),IF(AND(ISNUMBER($J8),$J8&gt;=0,$J8&lt;=1),$J8,""),""))))</x:f>
        <x:v>0.65</x:v>
      </x:c>
      <x:c r="M8" s="7" t="n">
        <x:f t="shared" ca="1" si="1">IF(OR($K8="",$L8=""),"",$L8-$K8)</x:f>
        <x:v>-0.24772727272727268</x:v>
      </x:c>
      <x:c r="N8" s="6" t="str">
        <x:f ca="1">IF(OR($B8="",$I8="",$L8=""),"",IF(AND($L8&lt;1,$I8&lt;TODAY()),"Late",IF(AND($H8&lt;&gt;"",$I8&gt;$H8),"Forecast Slip","On Plan")))</x:f>
        <x:v>On Plan</x:v>
      </x:c>
      <x:c r="O8" s="19"/>
      <x:c r="P8" s="6" t="str">
        <x:f t="shared" si="2">IF($B8="","",IF($A8="","Enter item ID",IF(COUNTIF($A$5:$A$204,$A8)&gt;1,"Duplicate item ID",IF($C8="Initiative",IF($D8&lt;&gt;"","Parent must be blank",IF(COUNTIFS($B$5:$B$204,$B8,$C$5:$C$204,"Initiative")&lt;&gt;1,"One Initiative row required",IF(COUNTIFS($D$5:$D$204,$A8,$C$5:$C$204,"Milestone")=0,"Add milestone","OK"))),IF($C8="Milestone",IF(COUNTIFS($A$5:$A$204,$D8,$B$5:$B$204,$B8,$C$5:$C$204,"Initiative")&lt;&gt;1,"Parent must be Initiative",IF(COUNTIFS($D$5:$D$204,$A8,$C$5:$C$204,"Activity")+COUNTIFS($D$5:$D$204,$A8,$C$5:$C$204,"Variation")=0,"Add activity or variation","OK")),IF(OR($C8="Activity",$C8="Variation"),IF(COUNTIFS($A$5:$A$204,$D8,$B$5:$B$204,$B8,$C$5:$C$204,"Milestone")&lt;&gt;1,"Parent must be Milestone",IF(OR($G8="",$H8=""),"Enter baseline dates",IF($H8&lt;$G8,"Baseline finish before start",IF($I8="","Enter forecast finish",IF(COUNT($J8)=0,"Enter actual %",IF(OR(NOT(ISNUMBER($J8)),$J8&lt;0,$J8&gt;1),"Actual % must be 0–100%","OK")))))),"Select level"))))))</x:f>
        <x:v>OK</x:v>
      </x:c>
    </x:row>
    <x:row r="9">
      <x:c r="A9" s="66" t="str" cm="1">
        <x:f t="array" ref="A9">IF(OR(B9="",C9=""),"",IF(C9="Initiative",COUNTIF($C$5:C9,"Initiative"),IF(C9="Milestone",IF(D9="","",D9&amp;"."&amp;COUNTIFS($D$5:D9,D9,$C$5:C9,"Milestone")),IF(OR(C9="Activity",C9="Variation"),IF(D9="","",D9&amp;"."&amp;(COUNTIFS($D$5:D9,D9,$C$5:C9,"Activity")+COUNTIFS($D$5:D9,D9,$C$5:C9,"Variation"))),""))))</x:f>
        <x:v>1.1.3</x:v>
      </x:c>
      <x:c r="B9" s="19" t="s">
        <x:v>33</x:v>
      </x:c>
      <x:c r="C9" s="19" t="s">
        <x:v>99</x:v>
      </x:c>
      <x:c r="D9" s="20">
        <x:v>1.1000000000000001</x:v>
      </x:c>
      <x:c r="E9" s="21" t="s">
        <x:v>102</x:v>
      </x:c>
      <x:c r="F9" s="21" t="s">
        <x:v>36</x:v>
      </x:c>
      <x:c r="G9" s="102">
        <x:v>46289</x:v>
      </x:c>
      <x:c r="H9" s="102">
        <x:v>46374</x:v>
      </x:c>
      <x:c r="I9" s="102">
        <x:v>46374</x:v>
      </x:c>
      <x:c r="J9" s="100">
        <x:v>0.55000000000000004</x:v>
      </x:c>
      <x:c r="K9" s="7" t="n">
        <x:f ca="1">IF($B9="","",IF($C9="Initiative",IF(COUNTIFS($B$10:$B$204,$B9,$C$10:$C$204,"Activity")+COUNTIFS($B$10:$B$204,$B9,$C$10:$C$204,"Variation")=0,"",IF(COUNTIFS($B$10:$B$204,$B9,$C$10:$C$204,"Activity")+COUNTIFS($B$10:$B$204,$B9,$C$10:$C$204,"Variation")&lt;&gt;COUNTIFS($B$10:$B$204,$B9,$C$10:$C$204,"Activity",$G$10:$G$204,"&lt;&gt;",$H$10:$H$204,"&lt;&gt;")+COUNTIFS($B$10:$B$204,$B9,$C$10:$C$204,"Variation",$G$10:$G$204,"&lt;&gt;",$H$10:$H$204,"&lt;&gt;"),"",(SUMIFS($K$10:$K$204,$B$10:$B$204,$B9,$C$10:$C$204,"Activity")+SUMIFS($K$10:$K$204,$B$10:$B$204,$B9,$C$10:$C$204,"Variation"))/(COUNTIFS($B$10:$B$204,$B9,$C$10:$C$204,"Activity")+COUNTIFS($B$10:$B$204,$B9,$C$10:$C$204,"Variation")))),IF($C9="Milestone",IF(COUNTIFS($D$10:$D$204,$A9,$C$10:$C$204,"Activity")+COUNTIFS($D$10:$D$204,$A9,$C$10:$C$204,"Variation")=0,"",IF(COUNTIFS($D$10:$D$204,$A9,$C$10:$C$204,"Activity")+COUNTIFS($D$10:$D$204,$A9,$C$10:$C$204,"Variation")&lt;&gt;COUNTIFS($D$10:$D$204,$A9,$C$10:$C$204,"Activity",$G$10:$G$204,"&lt;&gt;",$H$10:$H$204,"&lt;&gt;")+COUNTIFS($D$10:$D$204,$A9,$C$10:$C$204,"Variation",$G$10:$G$204,"&lt;&gt;",$H$10:$H$204,"&lt;&gt;"),"",(SUMIFS($K$10:$K$204,$D$10:$D$204,$A9,$C$10:$C$204,"Activity")+SUMIFS($K$10:$K$204,$D$10:$D$204,$A9,$C$10:$C$204,"Variation"))/(COUNTIFS($D$10:$D$204,$A9,$C$10:$C$204,"Activity")+COUNTIFS($D$10:$D$204,$A9,$C$10:$C$204,"Variation")))),IF(OR($C9="Activity",$C9="Variation"),IF(OR($G9="",$H9=""),"",IF($H9&lt;$G9,"",IF($H9=$G9,--(TODAY()&gt;=$H9),MAX(0,MIN(1,(TODAY()-$G9)/($H9-$G9)))))),""))))</x:f>
        <x:v>0</x:v>
      </x:c>
      <x:c r="L9" s="7" t="n">
        <x:f t="shared" si="0">IF($B9="","",IF($C9="Initiative",IF(COUNTIFS($B$5:$B$204,$B9,$C$5:$C$204,"Activity")+COUNTIFS($B$5:$B$204,$B9,$C$5:$C$204,"Variation")=0,"",IF(COUNTIFS($B$5:$B$204,$B9,$C$5:$C$204,"Activity")+COUNTIFS($B$5:$B$204,$B9,$C$5:$C$204,"Variation")&lt;&gt;COUNTIFS($B$5:$B$204,$B9,$C$5:$C$204,"Activity",$J$5:$J$204,"&lt;&gt;",$J$5:$J$204,"&gt;=0",$J$5:$J$204,"&lt;=1")+COUNTIFS($B$5:$B$204,$B9,$C$5:$C$204,"Variation",$J$5:$J$204,"&lt;&gt;",$J$5:$J$204,"&gt;=0",$J$5:$J$204,"&lt;=1"),"",(SUMIFS($J$5:$J$204,$B$5:$B$204,$B9,$C$5:$C$204,"Activity")+SUMIFS($J$5:$J$204,$B$5:$B$204,$B9,$C$5:$C$204,"Variation"))/(COUNTIFS($B$5:$B$204,$B9,$C$5:$C$204,"Activity")+COUNTIFS($B$5:$B$204,$B9,$C$5:$C$204,"Variation")))),IF($C9="Milestone",IF(COUNTIFS($D$5:$D$204,$A9,$C$5:$C$204,"Activity")+COUNTIFS($D$5:$D$204,$A9,$C$5:$C$204,"Variation")=0,"",IF(COUNTIFS($D$5:$D$204,$A9,$C$5:$C$204,"Activity")+COUNTIFS($D$5:$D$204,$A9,$C$5:$C$204,"Variation")&lt;&gt;COUNTIFS($D$5:$D$204,$A9,$C$5:$C$204,"Activity",$J$5:$J$204,"&lt;&gt;",$J$5:$J$204,"&gt;=0",$J$5:$J$204,"&lt;=1")+COUNTIFS($D$5:$D$204,$A9,$C$5:$C$204,"Variation",$J$5:$J$204,"&lt;&gt;",$J$5:$J$204,"&gt;=0",$J$5:$J$204,"&lt;=1"),"",(SUMIFS($J$5:$J$204,$D$5:$D$204,$A9,$C$5:$C$204,"Activity")+SUMIFS($J$5:$J$204,$D$5:$D$204,$A9,$C$5:$C$204,"Variation"))/(COUNTIFS($D$5:$D$204,$A9,$C$5:$C$204,"Activity")+COUNTIFS($D$5:$D$204,$A9,$C$5:$C$204,"Variation")))),IF(OR($C9="Activity",$C9="Variation"),IF(AND(ISNUMBER($J9),$J9&gt;=0,$J9&lt;=1),$J9,""),""))))</x:f>
        <x:v>0.55</x:v>
      </x:c>
      <x:c r="M9" s="7" t="str">
        <x:f t="shared" ca="1" si="1">IF(OR($K9="",$L9=""),"",$L9-$K9)</x:f>
      </x:c>
      <x:c r="N9" s="6" t="str">
        <x:f ca="1">IF(OR($B9="",$I9="",$L9=""),"",IF(AND($L9&lt;1,$I9&lt;TODAY()),"Late",IF(AND($H9&lt;&gt;"",$I9&gt;$H9),"Forecast Slip","On Plan")))</x:f>
        <x:v>On Plan</x:v>
      </x:c>
      <x:c r="O9" s="19"/>
      <x:c r="P9" s="6" t="str">
        <x:f t="shared" si="2">IF($B9="","",IF($A9="","Enter item ID",IF(COUNTIF($A$5:$A$204,$A9)&gt;1,"Duplicate item ID",IF($C9="Initiative",IF($D9&lt;&gt;"","Parent must be blank",IF(COUNTIFS($B$5:$B$204,$B9,$C$5:$C$204,"Initiative")&lt;&gt;1,"One Initiative row required",IF(COUNTIFS($D$5:$D$204,$A9,$C$5:$C$204,"Milestone")=0,"Add milestone","OK"))),IF($C9="Milestone",IF(COUNTIFS($A$5:$A$204,$D9,$B$5:$B$204,$B9,$C$5:$C$204,"Initiative")&lt;&gt;1,"Parent must be Initiative",IF(COUNTIFS($D$5:$D$204,$A9,$C$5:$C$204,"Activity")+COUNTIFS($D$5:$D$204,$A9,$C$5:$C$204,"Variation")=0,"Add activity or variation","OK")),IF(OR($C9="Activity",$C9="Variation"),IF(COUNTIFS($A$5:$A$204,$D9,$B$5:$B$204,$B9,$C$5:$C$204,"Milestone")&lt;&gt;1,"Parent must be Milestone",IF(OR($G9="",$H9=""),"Enter baseline dates",IF($H9&lt;$G9,"Baseline finish before start",IF($I9="","Enter forecast finish",IF(COUNT($J9)=0,"Enter actual %",IF(OR(NOT(ISNUMBER($J9)),$J9&lt;0,$J9&gt;1),"Actual % must be 0–100%","OK")))))),"Select level"))))))</x:f>
        <x:v>OK</x:v>
      </x:c>
    </x:row>
    <x:row r="10" ht="51.45000076293945">
      <x:c r="A10" s="66" t="n" cm="1">
        <x:f t="array" ref="A10">IF(OR(B10="",C10=""),"",IF(C10="Initiative",COUNTIF($C$5:C10,"Initiative"),IF(C10="Milestone",IF(D10="","",D10&amp;"."&amp;COUNTIFS($D$5:D10,D10,$C$5:C10,"Milestone")),IF(OR(C10="Activity",C10="Variation"),IF(D10="","",D10&amp;"."&amp;(COUNTIFS($D$5:D10,D10,$C$5:C10,"Activity")+COUNTIFS($D$5:D10,D10,$C$5:C10,"Variation"))),""))))</x:f>
        <x:v>2</x:v>
      </x:c>
      <x:c r="B10" s="19" t="s">
        <x:v>40</x:v>
      </x:c>
      <x:c r="C10" s="19" t="s">
        <x:v>7</x:v>
      </x:c>
      <x:c r="D10" s="20"/>
      <x:c r="E10" s="21" t="s">
        <x:v>41</x:v>
      </x:c>
      <x:c r="F10" s="21" t="s">
        <x:v>43</x:v>
      </x:c>
      <x:c r="G10" s="102">
        <x:v>46027</x:v>
      </x:c>
      <x:c r="H10" s="102">
        <x:v>46325</x:v>
      </x:c>
      <x:c r="I10" s="102">
        <x:v>46402</x:v>
      </x:c>
      <x:c r="J10" s="100"/>
      <x:c r="K10" s="7" t="n">
        <x:f ca="1">IF($B10="","",IF($C10="Initiative",IF(COUNTIFS($B$11:$B$204,$B10,$C$11:$C$204,"Activity")+COUNTIFS($B$11:$B$204,$B10,$C$11:$C$204,"Variation")=0,"",IF(COUNTIFS($B$11:$B$204,$B10,$C$11:$C$204,"Activity")+COUNTIFS($B$11:$B$204,$B10,$C$11:$C$204,"Variation")&lt;&gt;COUNTIFS($B$11:$B$204,$B10,$C$11:$C$204,"Activity",$G$11:$G$204,"&lt;&gt;",$H$11:$H$204,"&lt;&gt;")+COUNTIFS($B$11:$B$204,$B10,$C$11:$C$204,"Variation",$G$11:$G$204,"&lt;&gt;",$H$11:$H$204,"&lt;&gt;"),"",(SUMIFS($K$11:$K$204,$B$11:$B$204,$B10,$C$11:$C$204,"Activity")+SUMIFS($K$11:$K$204,$B$11:$B$204,$B10,$C$11:$C$204,"Variation"))/(COUNTIFS($B$11:$B$204,$B10,$C$11:$C$204,"Activity")+COUNTIFS($B$11:$B$204,$B10,$C$11:$C$204,"Variation")))),IF($C10="Milestone",IF(COUNTIFS($D$11:$D$204,$A10,$C$11:$C$204,"Activity")+COUNTIFS($D$11:$D$204,$A10,$C$11:$C$204,"Variation")=0,"",IF(COUNTIFS($D$11:$D$204,$A10,$C$11:$C$204,"Activity")+COUNTIFS($D$11:$D$204,$A10,$C$11:$C$204,"Variation")&lt;&gt;COUNTIFS($D$11:$D$204,$A10,$C$11:$C$204,"Activity",$G$11:$G$204,"&lt;&gt;",$H$11:$H$204,"&lt;&gt;")+COUNTIFS($D$11:$D$204,$A10,$C$11:$C$204,"Variation",$G$11:$G$204,"&lt;&gt;",$H$11:$H$204,"&lt;&gt;"),"",(SUMIFS($K$11:$K$204,$D$11:$D$204,$A10,$C$11:$C$204,"Activity")+SUMIFS($K$11:$K$204,$D$11:$D$204,$A10,$C$11:$C$204,"Variation"))/(COUNTIFS($D$11:$D$204,$A10,$C$11:$C$204,"Activity")+COUNTIFS($D$11:$D$204,$A10,$C$11:$C$204,"Variation")))),IF(OR($C10="Activity",$C10="Variation"),IF(OR($G10="",$H10=""),"",IF($H10&lt;$G10,"",IF($H10=$G10,--(TODAY()&gt;=$H10),MAX(0,MIN(1,(TODAY()-$G10)/($H10-$G10)))))),""))))</x:f>
        <x:v>0.8419243986254296</x:v>
      </x:c>
      <x:c r="L10" s="7" t="n">
        <x:f t="shared" si="0">IF($B10="","",IF($C10="Initiative",IF(COUNTIFS($B$5:$B$204,$B10,$C$5:$C$204,"Activity")+COUNTIFS($B$5:$B$204,$B10,$C$5:$C$204,"Variation")=0,"",IF(COUNTIFS($B$5:$B$204,$B10,$C$5:$C$204,"Activity")+COUNTIFS($B$5:$B$204,$B10,$C$5:$C$204,"Variation")&lt;&gt;COUNTIFS($B$5:$B$204,$B10,$C$5:$C$204,"Activity",$J$5:$J$204,"&lt;&gt;",$J$5:$J$204,"&gt;=0",$J$5:$J$204,"&lt;=1")+COUNTIFS($B$5:$B$204,$B10,$C$5:$C$204,"Variation",$J$5:$J$204,"&lt;&gt;",$J$5:$J$204,"&gt;=0",$J$5:$J$204,"&lt;=1"),"",(SUMIFS($J$5:$J$204,$B$5:$B$204,$B10,$C$5:$C$204,"Activity")+SUMIFS($J$5:$J$204,$B$5:$B$204,$B10,$C$5:$C$204,"Variation"))/(COUNTIFS($B$5:$B$204,$B10,$C$5:$C$204,"Activity")+COUNTIFS($B$5:$B$204,$B10,$C$5:$C$204,"Variation")))),IF($C10="Milestone",IF(COUNTIFS($D$5:$D$204,$A10,$C$5:$C$204,"Activity")+COUNTIFS($D$5:$D$204,$A10,$C$5:$C$204,"Variation")=0,"",IF(COUNTIFS($D$5:$D$204,$A10,$C$5:$C$204,"Activity")+COUNTIFS($D$5:$D$204,$A10,$C$5:$C$204,"Variation")&lt;&gt;COUNTIFS($D$5:$D$204,$A10,$C$5:$C$204,"Activity",$J$5:$J$204,"&lt;&gt;",$J$5:$J$204,"&gt;=0",$J$5:$J$204,"&lt;=1")+COUNTIFS($D$5:$D$204,$A10,$C$5:$C$204,"Variation",$J$5:$J$204,"&lt;&gt;",$J$5:$J$204,"&gt;=0",$J$5:$J$204,"&lt;=1"),"",(SUMIFS($J$5:$J$204,$D$5:$D$204,$A10,$C$5:$C$204,"Activity")+SUMIFS($J$5:$J$204,$D$5:$D$204,$A10,$C$5:$C$204,"Variation"))/(COUNTIFS($D$5:$D$204,$A10,$C$5:$C$204,"Activity")+COUNTIFS($D$5:$D$204,$A10,$C$5:$C$204,"Variation")))),IF(OR($C10="Activity",$C10="Variation"),IF(AND(ISNUMBER($J10),$J10&gt;=0,$J10&lt;=1),$J10,""),""))))</x:f>
        <x:v>0.5833333333333334</x:v>
      </x:c>
      <x:c r="M10" s="7" t="n">
        <x:f t="shared" ca="1" si="1">IF(OR($K10="",$L10=""),"",$L10-$K10)</x:f>
        <x:v>-0.2585910652920962</x:v>
      </x:c>
      <x:c r="N10" s="6" t="str">
        <x:f ca="1">IF(OR($B10="",$I10="",$L10=""),"",IF(AND($L10&lt;1,$I10&lt;TODAY()),"Late",IF(AND($H10&lt;&gt;"",$I10&gt;$H10),"Forecast Slip","On Plan")))</x:f>
        <x:v>Forecast Slip</x:v>
      </x:c>
      <x:c r="O10" s="19" t="s">
        <x:v>103</x:v>
      </x:c>
      <x:c r="P10" s="6" t="str">
        <x:f t="shared" si="2">IF($B10="","",IF($A10="","Enter item ID",IF(COUNTIF($A$5:$A$204,$A10)&gt;1,"Duplicate item ID",IF($C10="Initiative",IF($D10&lt;&gt;"","Parent must be blank",IF(COUNTIFS($B$5:$B$204,$B10,$C$5:$C$204,"Initiative")&lt;&gt;1,"One Initiative row required",IF(COUNTIFS($D$5:$D$204,$A10,$C$5:$C$204,"Milestone")=0,"Add milestone","OK"))),IF($C10="Milestone",IF(COUNTIFS($A$5:$A$204,$D10,$B$5:$B$204,$B10,$C$5:$C$204,"Initiative")&lt;&gt;1,"Parent must be Initiative",IF(COUNTIFS($D$5:$D$204,$A10,$C$5:$C$204,"Activity")+COUNTIFS($D$5:$D$204,$A10,$C$5:$C$204,"Variation")=0,"Add activity or variation","OK")),IF(OR($C10="Activity",$C10="Variation"),IF(COUNTIFS($A$5:$A$204,$D10,$B$5:$B$204,$B10,$C$5:$C$204,"Milestone")&lt;&gt;1,"Parent must be Milestone",IF(OR($G10="",$H10=""),"Enter baseline dates",IF($H10&lt;$G10,"Baseline finish before start",IF($I10="","Enter forecast finish",IF(COUNT($J10)=0,"Enter actual %",IF(OR(NOT(ISNUMBER($J10)),$J10&lt;0,$J10&gt;1),"Actual % must be 0–100%","OK")))))),"Select level"))))))</x:f>
        <x:v>OK</x:v>
      </x:c>
    </x:row>
    <x:row r="11" ht="51.45000076293945">
      <x:c r="A11" s="66" t="str" cm="1">
        <x:f t="array" ref="A11">IF(OR(B11="",C11=""),"",IF(C11="Initiative",COUNTIF($C$5:C11,"Initiative"),IF(C11="Milestone",IF(D11="","",D11&amp;"."&amp;COUNTIFS($D$5:D11,D11,$C$5:C11,"Milestone")),IF(OR(C11="Activity",C11="Variation"),IF(D11="","",D11&amp;"."&amp;(COUNTIFS($D$5:D11,D11,$C$5:C11,"Activity")+COUNTIFS($D$5:D11,D11,$C$5:C11,"Variation"))),""))))</x:f>
        <x:v>2.1</x:v>
      </x:c>
      <x:c r="B11" s="19" t="s">
        <x:v>40</x:v>
      </x:c>
      <x:c r="C11" s="19" t="s">
        <x:v>97</x:v>
      </x:c>
      <x:c r="D11" s="20">
        <x:v>2</x:v>
      </x:c>
      <x:c r="E11" s="21" t="s">
        <x:v>98</x:v>
      </x:c>
      <x:c r="F11" s="21" t="s">
        <x:v>43</x:v>
      </x:c>
      <x:c r="G11" s="102">
        <x:v>46027</x:v>
      </x:c>
      <x:c r="H11" s="102">
        <x:v>46325</x:v>
      </x:c>
      <x:c r="I11" s="102">
        <x:v>46402</x:v>
      </x:c>
      <x:c r="J11" s="100"/>
      <x:c r="K11" s="7" t="n">
        <x:f ca="1">IF($B11="","",IF($C11="Initiative",IF(COUNTIFS($B$12:$B$204,$B11,$C$12:$C$204,"Activity")+COUNTIFS($B$12:$B$204,$B11,$C$12:$C$204,"Variation")=0,"",IF(COUNTIFS($B$12:$B$204,$B11,$C$12:$C$204,"Activity")+COUNTIFS($B$12:$B$204,$B11,$C$12:$C$204,"Variation")&lt;&gt;COUNTIFS($B$12:$B$204,$B11,$C$12:$C$204,"Activity",$G$12:$G$204,"&lt;&gt;",$H$12:$H$204,"&lt;&gt;")+COUNTIFS($B$12:$B$204,$B11,$C$12:$C$204,"Variation",$G$12:$G$204,"&lt;&gt;",$H$12:$H$204,"&lt;&gt;"),"",(SUMIFS($K$12:$K$204,$B$12:$B$204,$B11,$C$12:$C$204,"Activity")+SUMIFS($K$12:$K$204,$B$12:$B$204,$B11,$C$12:$C$204,"Variation"))/(COUNTIFS($B$12:$B$204,$B11,$C$12:$C$204,"Activity")+COUNTIFS($B$12:$B$204,$B11,$C$12:$C$204,"Variation")))),IF($C11="Milestone",IF(COUNTIFS($D$12:$D$204,$A11,$C$12:$C$204,"Activity")+COUNTIFS($D$12:$D$204,$A11,$C$12:$C$204,"Variation")=0,"",IF(COUNTIFS($D$12:$D$204,$A11,$C$12:$C$204,"Activity")+COUNTIFS($D$12:$D$204,$A11,$C$12:$C$204,"Variation")&lt;&gt;COUNTIFS($D$12:$D$204,$A11,$C$12:$C$204,"Activity",$G$12:$G$204,"&lt;&gt;",$H$12:$H$204,"&lt;&gt;")+COUNTIFS($D$12:$D$204,$A11,$C$12:$C$204,"Variation",$G$12:$G$204,"&lt;&gt;",$H$12:$H$204,"&lt;&gt;"),"",(SUMIFS($K$12:$K$204,$D$12:$D$204,$A11,$C$12:$C$204,"Activity")+SUMIFS($K$12:$K$204,$D$12:$D$204,$A11,$C$12:$C$204,"Variation"))/(COUNTIFS($D$12:$D$204,$A11,$C$12:$C$204,"Activity")+COUNTIFS($D$12:$D$204,$A11,$C$12:$C$204,"Variation")))),IF(OR($C11="Activity",$C11="Variation"),IF(OR($G11="",$H11=""),"",IF($H11&lt;$G11,"",IF($H11=$G11,--(TODAY()&gt;=$H11),MAX(0,MIN(1,(TODAY()-$G11)/($H11-$G11)))))),""))))</x:f>
        <x:v>0.8419243986254296</x:v>
      </x:c>
      <x:c r="L11" s="7" t="n">
        <x:f t="shared" si="0">IF($B11="","",IF($C11="Initiative",IF(COUNTIFS($B$5:$B$204,$B11,$C$5:$C$204,"Activity")+COUNTIFS($B$5:$B$204,$B11,$C$5:$C$204,"Variation")=0,"",IF(COUNTIFS($B$5:$B$204,$B11,$C$5:$C$204,"Activity")+COUNTIFS($B$5:$B$204,$B11,$C$5:$C$204,"Variation")&lt;&gt;COUNTIFS($B$5:$B$204,$B11,$C$5:$C$204,"Activity",$J$5:$J$204,"&lt;&gt;",$J$5:$J$204,"&gt;=0",$J$5:$J$204,"&lt;=1")+COUNTIFS($B$5:$B$204,$B11,$C$5:$C$204,"Variation",$J$5:$J$204,"&lt;&gt;",$J$5:$J$204,"&gt;=0",$J$5:$J$204,"&lt;=1"),"",(SUMIFS($J$5:$J$204,$B$5:$B$204,$B11,$C$5:$C$204,"Activity")+SUMIFS($J$5:$J$204,$B$5:$B$204,$B11,$C$5:$C$204,"Variation"))/(COUNTIFS($B$5:$B$204,$B11,$C$5:$C$204,"Activity")+COUNTIFS($B$5:$B$204,$B11,$C$5:$C$204,"Variation")))),IF($C11="Milestone",IF(COUNTIFS($D$5:$D$204,$A11,$C$5:$C$204,"Activity")+COUNTIFS($D$5:$D$204,$A11,$C$5:$C$204,"Variation")=0,"",IF(COUNTIFS($D$5:$D$204,$A11,$C$5:$C$204,"Activity")+COUNTIFS($D$5:$D$204,$A11,$C$5:$C$204,"Variation")&lt;&gt;COUNTIFS($D$5:$D$204,$A11,$C$5:$C$204,"Activity",$J$5:$J$204,"&lt;&gt;",$J$5:$J$204,"&gt;=0",$J$5:$J$204,"&lt;=1")+COUNTIFS($D$5:$D$204,$A11,$C$5:$C$204,"Variation",$J$5:$J$204,"&lt;&gt;",$J$5:$J$204,"&gt;=0",$J$5:$J$204,"&lt;=1"),"",(SUMIFS($J$5:$J$204,$D$5:$D$204,$A11,$C$5:$C$204,"Activity")+SUMIFS($J$5:$J$204,$D$5:$D$204,$A11,$C$5:$C$204,"Variation"))/(COUNTIFS($D$5:$D$204,$A11,$C$5:$C$204,"Activity")+COUNTIFS($D$5:$D$204,$A11,$C$5:$C$204,"Variation")))),IF(OR($C11="Activity",$C11="Variation"),IF(AND(ISNUMBER($J11),$J11&gt;=0,$J11&lt;=1),$J11,""),""))))</x:f>
        <x:v>0.5833333333333334</x:v>
      </x:c>
      <x:c r="M11" s="7" t="n">
        <x:f t="shared" ca="1" si="1">IF(OR($K11="",$L11=""),"",$L11-$K11)</x:f>
        <x:v>-0.2585910652920962</x:v>
      </x:c>
      <x:c r="N11" s="6" t="str">
        <x:f ca="1">IF(OR($B11="",$I11="",$L11=""),"",IF(AND($L11&lt;1,$I11&lt;TODAY()),"Late",IF(AND($H11&lt;&gt;"",$I11&gt;$H11),"Forecast Slip","On Plan")))</x:f>
        <x:v>Forecast Slip</x:v>
      </x:c>
      <x:c r="O11" s="19" t="s">
        <x:v>103</x:v>
      </x:c>
      <x:c r="P11" s="6" t="str">
        <x:f t="shared" si="2">IF($B11="","",IF($A11="","Enter item ID",IF(COUNTIF($A$5:$A$204,$A11)&gt;1,"Duplicate item ID",IF($C11="Initiative",IF($D11&lt;&gt;"","Parent must be blank",IF(COUNTIFS($B$5:$B$204,$B11,$C$5:$C$204,"Initiative")&lt;&gt;1,"One Initiative row required",IF(COUNTIFS($D$5:$D$204,$A11,$C$5:$C$204,"Milestone")=0,"Add milestone","OK"))),IF($C11="Milestone",IF(COUNTIFS($A$5:$A$204,$D11,$B$5:$B$204,$B11,$C$5:$C$204,"Initiative")&lt;&gt;1,"Parent must be Initiative",IF(COUNTIFS($D$5:$D$204,$A11,$C$5:$C$204,"Activity")+COUNTIFS($D$5:$D$204,$A11,$C$5:$C$204,"Variation")=0,"Add activity or variation","OK")),IF(OR($C11="Activity",$C11="Variation"),IF(COUNTIFS($A$5:$A$204,$D11,$B$5:$B$204,$B11,$C$5:$C$204,"Milestone")&lt;&gt;1,"Parent must be Milestone",IF(OR($G11="",$H11=""),"Enter baseline dates",IF($H11&lt;$G11,"Baseline finish before start",IF($I11="","Enter forecast finish",IF(COUNT($J11)=0,"Enter actual %",IF(OR(NOT(ISNUMBER($J11)),$J11&lt;0,$J11&gt;1),"Actual % must be 0–100%","OK")))))),"Select level"))))))</x:f>
        <x:v>OK</x:v>
      </x:c>
    </x:row>
    <x:row r="12">
      <x:c r="A12" s="66" t="str" cm="1">
        <x:f t="array" ref="A12">IF(OR(B12="",C12=""),"",IF(C12="Initiative",COUNTIF($C$5:C12,"Initiative"),IF(C12="Milestone",IF(D12="","",D12&amp;"."&amp;COUNTIFS($D$5:D12,D12,$C$5:C12,"Milestone")),IF(OR(C12="Activity",C12="Variation"),IF(D12="","",D12&amp;"."&amp;(COUNTIFS($D$5:D12,D12,$C$5:C12,"Activity")+COUNTIFS($D$5:D12,D12,$C$5:C12,"Variation"))),""))))</x:f>
        <x:v>2.1.1</x:v>
      </x:c>
      <x:c r="B12" s="19" t="s">
        <x:v>40</x:v>
      </x:c>
      <x:c r="C12" s="19" t="s">
        <x:v>99</x:v>
      </x:c>
      <x:c r="D12" s="20">
        <x:v>2.1</x:v>
      </x:c>
      <x:c r="E12" s="21" t="s">
        <x:v>104</x:v>
      </x:c>
      <x:c r="F12" s="21" t="s">
        <x:v>43</x:v>
      </x:c>
      <x:c r="G12" s="102">
        <x:v>46027</x:v>
      </x:c>
      <x:c r="H12" s="102">
        <x:v>46125</x:v>
      </x:c>
      <x:c r="I12" s="102">
        <x:v>46125</x:v>
      </x:c>
      <x:c r="J12" s="100">
        <x:v>0.8</x:v>
      </x:c>
      <x:c r="K12" s="7" t="n">
        <x:f ca="1">IF($B12="","",IF($C12="Initiative",IF(COUNTIFS($B$13:$B$204,$B12,$C$13:$C$204,"Activity")+COUNTIFS($B$13:$B$204,$B12,$C$13:$C$204,"Variation")=0,"",IF(COUNTIFS($B$13:$B$204,$B12,$C$13:$C$204,"Activity")+COUNTIFS($B$13:$B$204,$B12,$C$13:$C$204,"Variation")&lt;&gt;COUNTIFS($B$13:$B$204,$B12,$C$13:$C$204,"Activity",$G$13:$G$204,"&lt;&gt;",$H$13:$H$204,"&lt;&gt;")+COUNTIFS($B$13:$B$204,$B12,$C$13:$C$204,"Variation",$G$13:$G$204,"&lt;&gt;",$H$13:$H$204,"&lt;&gt;"),"",(SUMIFS($K$13:$K$204,$B$13:$B$204,$B12,$C$13:$C$204,"Activity")+SUMIFS($K$13:$K$204,$B$13:$B$204,$B12,$C$13:$C$204,"Variation"))/(COUNTIFS($B$13:$B$204,$B12,$C$13:$C$204,"Activity")+COUNTIFS($B$13:$B$204,$B12,$C$13:$C$204,"Variation")))),IF($C12="Milestone",IF(COUNTIFS($D$13:$D$204,$A12,$C$13:$C$204,"Activity")+COUNTIFS($D$13:$D$204,$A12,$C$13:$C$204,"Variation")=0,"",IF(COUNTIFS($D$13:$D$204,$A12,$C$13:$C$204,"Activity")+COUNTIFS($D$13:$D$204,$A12,$C$13:$C$204,"Variation")&lt;&gt;COUNTIFS($D$13:$D$204,$A12,$C$13:$C$204,"Activity",$G$13:$G$204,"&lt;&gt;",$H$13:$H$204,"&lt;&gt;")+COUNTIFS($D$13:$D$204,$A12,$C$13:$C$204,"Variation",$G$13:$G$204,"&lt;&gt;",$H$13:$H$204,"&lt;&gt;"),"",(SUMIFS($K$13:$K$204,$D$13:$D$204,$A12,$C$13:$C$204,"Activity")+SUMIFS($K$13:$K$204,$D$13:$D$204,$A12,$C$13:$C$204,"Variation"))/(COUNTIFS($D$13:$D$204,$A12,$C$13:$C$204,"Activity")+COUNTIFS($D$13:$D$204,$A12,$C$13:$C$204,"Variation")))),IF(OR($C12="Activity",$C12="Variation"),IF(OR($G12="",$H12=""),"",IF($H12&lt;$G12,"",IF($H12=$G12,--(TODAY()&gt;=$H12),MAX(0,MIN(1,(TODAY()-$G12)/($H12-$G12)))))),""))))</x:f>
        <x:v>1</x:v>
      </x:c>
      <x:c r="L12" s="7" t="n">
        <x:f t="shared" si="0">IF($B12="","",IF($C12="Initiative",IF(COUNTIFS($B$5:$B$204,$B12,$C$5:$C$204,"Activity")+COUNTIFS($B$5:$B$204,$B12,$C$5:$C$204,"Variation")=0,"",IF(COUNTIFS($B$5:$B$204,$B12,$C$5:$C$204,"Activity")+COUNTIFS($B$5:$B$204,$B12,$C$5:$C$204,"Variation")&lt;&gt;COUNTIFS($B$5:$B$204,$B12,$C$5:$C$204,"Activity",$J$5:$J$204,"&lt;&gt;",$J$5:$J$204,"&gt;=0",$J$5:$J$204,"&lt;=1")+COUNTIFS($B$5:$B$204,$B12,$C$5:$C$204,"Variation",$J$5:$J$204,"&lt;&gt;",$J$5:$J$204,"&gt;=0",$J$5:$J$204,"&lt;=1"),"",(SUMIFS($J$5:$J$204,$B$5:$B$204,$B12,$C$5:$C$204,"Activity")+SUMIFS($J$5:$J$204,$B$5:$B$204,$B12,$C$5:$C$204,"Variation"))/(COUNTIFS($B$5:$B$204,$B12,$C$5:$C$204,"Activity")+COUNTIFS($B$5:$B$204,$B12,$C$5:$C$204,"Variation")))),IF($C12="Milestone",IF(COUNTIFS($D$5:$D$204,$A12,$C$5:$C$204,"Activity")+COUNTIFS($D$5:$D$204,$A12,$C$5:$C$204,"Variation")=0,"",IF(COUNTIFS($D$5:$D$204,$A12,$C$5:$C$204,"Activity")+COUNTIFS($D$5:$D$204,$A12,$C$5:$C$204,"Variation")&lt;&gt;COUNTIFS($D$5:$D$204,$A12,$C$5:$C$204,"Activity",$J$5:$J$204,"&lt;&gt;",$J$5:$J$204,"&gt;=0",$J$5:$J$204,"&lt;=1")+COUNTIFS($D$5:$D$204,$A12,$C$5:$C$204,"Variation",$J$5:$J$204,"&lt;&gt;",$J$5:$J$204,"&gt;=0",$J$5:$J$204,"&lt;=1"),"",(SUMIFS($J$5:$J$204,$D$5:$D$204,$A12,$C$5:$C$204,"Activity")+SUMIFS($J$5:$J$204,$D$5:$D$204,$A12,$C$5:$C$204,"Variation"))/(COUNTIFS($D$5:$D$204,$A12,$C$5:$C$204,"Activity")+COUNTIFS($D$5:$D$204,$A12,$C$5:$C$204,"Variation")))),IF(OR($C12="Activity",$C12="Variation"),IF(AND(ISNUMBER($J12),$J12&gt;=0,$J12&lt;=1),$J12,""),""))))</x:f>
        <x:v>0.8</x:v>
      </x:c>
      <x:c r="M12" s="7" t="n">
        <x:f t="shared" ca="1" si="1">IF(OR($K12="",$L12=""),"",$L12-$K12)</x:f>
        <x:v>-0.19999999999999996</x:v>
      </x:c>
      <x:c r="N12" s="6" t="str">
        <x:f ca="1">IF(OR($B12="",$I12="",$L12=""),"",IF(AND($L12&lt;1,$I12&lt;TODAY()),"Late",IF(AND($H12&lt;&gt;"",$I12&gt;$H12),"Forecast Slip","On Plan")))</x:f>
        <x:v>Late</x:v>
      </x:c>
      <x:c r="O12" s="19"/>
      <x:c r="P12" s="6" t="str">
        <x:f t="shared" si="2">IF($B12="","",IF($A12="","Enter item ID",IF(COUNTIF($A$5:$A$204,$A12)&gt;1,"Duplicate item ID",IF($C12="Initiative",IF($D12&lt;&gt;"","Parent must be blank",IF(COUNTIFS($B$5:$B$204,$B12,$C$5:$C$204,"Initiative")&lt;&gt;1,"One Initiative row required",IF(COUNTIFS($D$5:$D$204,$A12,$C$5:$C$204,"Milestone")=0,"Add milestone","OK"))),IF($C12="Milestone",IF(COUNTIFS($A$5:$A$204,$D12,$B$5:$B$204,$B12,$C$5:$C$204,"Initiative")&lt;&gt;1,"Parent must be Initiative",IF(COUNTIFS($D$5:$D$204,$A12,$C$5:$C$204,"Activity")+COUNTIFS($D$5:$D$204,$A12,$C$5:$C$204,"Variation")=0,"Add activity or variation","OK")),IF(OR($C12="Activity",$C12="Variation"),IF(COUNTIFS($A$5:$A$204,$D12,$B$5:$B$204,$B12,$C$5:$C$204,"Milestone")&lt;&gt;1,"Parent must be Milestone",IF(OR($G12="",$H12=""),"Enter baseline dates",IF($H12&lt;$G12,"Baseline finish before start",IF($I12="","Enter forecast finish",IF(COUNT($J12)=0,"Enter actual %",IF(OR(NOT(ISNUMBER($J12)),$J12&lt;0,$J12&gt;1),"Actual % must be 0–100%","OK")))))),"Select level"))))))</x:f>
        <x:v>OK</x:v>
      </x:c>
    </x:row>
    <x:row r="13" ht="38.599998474121094">
      <x:c r="A13" s="66" t="str" cm="1">
        <x:f t="array" ref="A13">IF(OR(B13="",C13=""),"",IF(C13="Initiative",COUNTIF($C$5:C13,"Initiative"),IF(C13="Milestone",IF(D13="","",D13&amp;"."&amp;COUNTIFS($D$5:D13,D13,$C$5:C13,"Milestone")),IF(OR(C13="Activity",C13="Variation"),IF(D13="","",D13&amp;"."&amp;(COUNTIFS($D$5:D13,D13,$C$5:C13,"Activity")+COUNTIFS($D$5:D13,D13,$C$5:C13,"Variation"))),""))))</x:f>
        <x:v>2.1.2</x:v>
      </x:c>
      <x:c r="B13" s="19" t="s">
        <x:v>40</x:v>
      </x:c>
      <x:c r="C13" s="19" t="s">
        <x:v>99</x:v>
      </x:c>
      <x:c r="D13" s="20">
        <x:v>2.1</x:v>
      </x:c>
      <x:c r="E13" s="21" t="s">
        <x:v>105</x:v>
      </x:c>
      <x:c r="F13" s="21" t="s">
        <x:v>43</x:v>
      </x:c>
      <x:c r="G13" s="102">
        <x:v>46126</x:v>
      </x:c>
      <x:c r="H13" s="102">
        <x:v>46227</x:v>
      </x:c>
      <x:c r="I13" s="102">
        <x:v>46304</x:v>
      </x:c>
      <x:c r="J13" s="100">
        <x:v>0.55000000000000004</x:v>
      </x:c>
      <x:c r="K13" s="7" t="n">
        <x:f ca="1">IF($B13="","",IF($C13="Initiative",IF(COUNTIFS($B$14:$B$204,$B13,$C$14:$C$204,"Activity")+COUNTIFS($B$14:$B$204,$B13,$C$14:$C$204,"Variation")=0,"",IF(COUNTIFS($B$14:$B$204,$B13,$C$14:$C$204,"Activity")+COUNTIFS($B$14:$B$204,$B13,$C$14:$C$204,"Variation")&lt;&gt;COUNTIFS($B$14:$B$204,$B13,$C$14:$C$204,"Activity",$G$14:$G$204,"&lt;&gt;",$H$14:$H$204,"&lt;&gt;")+COUNTIFS($B$14:$B$204,$B13,$C$14:$C$204,"Variation",$G$14:$G$204,"&lt;&gt;",$H$14:$H$204,"&lt;&gt;"),"",(SUMIFS($K$14:$K$204,$B$14:$B$204,$B13,$C$14:$C$204,"Activity")+SUMIFS($K$14:$K$204,$B$14:$B$204,$B13,$C$14:$C$204,"Variation"))/(COUNTIFS($B$14:$B$204,$B13,$C$14:$C$204,"Activity")+COUNTIFS($B$14:$B$204,$B13,$C$14:$C$204,"Variation")))),IF($C13="Milestone",IF(COUNTIFS($D$14:$D$204,$A13,$C$14:$C$204,"Activity")+COUNTIFS($D$14:$D$204,$A13,$C$14:$C$204,"Variation")=0,"",IF(COUNTIFS($D$14:$D$204,$A13,$C$14:$C$204,"Activity")+COUNTIFS($D$14:$D$204,$A13,$C$14:$C$204,"Variation")&lt;&gt;COUNTIFS($D$14:$D$204,$A13,$C$14:$C$204,"Activity",$G$14:$G$204,"&lt;&gt;",$H$14:$H$204,"&lt;&gt;")+COUNTIFS($D$14:$D$204,$A13,$C$14:$C$204,"Variation",$G$14:$G$204,"&lt;&gt;",$H$14:$H$204,"&lt;&gt;"),"",(SUMIFS($K$14:$K$204,$D$14:$D$204,$A13,$C$14:$C$204,"Activity")+SUMIFS($K$14:$K$204,$D$14:$D$204,$A13,$C$14:$C$204,"Variation"))/(COUNTIFS($D$14:$D$204,$A13,$C$14:$C$204,"Activity")+COUNTIFS($D$14:$D$204,$A13,$C$14:$C$204,"Variation")))),IF(OR($C13="Activity",$C13="Variation"),IF(OR($G13="",$H13=""),"",IF($H13&lt;$G13,"",IF($H13=$G13,--(TODAY()&gt;=$H13),MAX(0,MIN(1,(TODAY()-$G13)/($H13-$G13)))))),""))))</x:f>
        <x:v>1</x:v>
      </x:c>
      <x:c r="L13" s="7" t="n">
        <x:f t="shared" si="0">IF($B13="","",IF($C13="Initiative",IF(COUNTIFS($B$5:$B$204,$B13,$C$5:$C$204,"Activity")+COUNTIFS($B$5:$B$204,$B13,$C$5:$C$204,"Variation")=0,"",IF(COUNTIFS($B$5:$B$204,$B13,$C$5:$C$204,"Activity")+COUNTIFS($B$5:$B$204,$B13,$C$5:$C$204,"Variation")&lt;&gt;COUNTIFS($B$5:$B$204,$B13,$C$5:$C$204,"Activity",$J$5:$J$204,"&lt;&gt;",$J$5:$J$204,"&gt;=0",$J$5:$J$204,"&lt;=1")+COUNTIFS($B$5:$B$204,$B13,$C$5:$C$204,"Variation",$J$5:$J$204,"&lt;&gt;",$J$5:$J$204,"&gt;=0",$J$5:$J$204,"&lt;=1"),"",(SUMIFS($J$5:$J$204,$B$5:$B$204,$B13,$C$5:$C$204,"Activity")+SUMIFS($J$5:$J$204,$B$5:$B$204,$B13,$C$5:$C$204,"Variation"))/(COUNTIFS($B$5:$B$204,$B13,$C$5:$C$204,"Activity")+COUNTIFS($B$5:$B$204,$B13,$C$5:$C$204,"Variation")))),IF($C13="Milestone",IF(COUNTIFS($D$5:$D$204,$A13,$C$5:$C$204,"Activity")+COUNTIFS($D$5:$D$204,$A13,$C$5:$C$204,"Variation")=0,"",IF(COUNTIFS($D$5:$D$204,$A13,$C$5:$C$204,"Activity")+COUNTIFS($D$5:$D$204,$A13,$C$5:$C$204,"Variation")&lt;&gt;COUNTIFS($D$5:$D$204,$A13,$C$5:$C$204,"Activity",$J$5:$J$204,"&lt;&gt;",$J$5:$J$204,"&gt;=0",$J$5:$J$204,"&lt;=1")+COUNTIFS($D$5:$D$204,$A13,$C$5:$C$204,"Variation",$J$5:$J$204,"&lt;&gt;",$J$5:$J$204,"&gt;=0",$J$5:$J$204,"&lt;=1"),"",(SUMIFS($J$5:$J$204,$D$5:$D$204,$A13,$C$5:$C$204,"Activity")+SUMIFS($J$5:$J$204,$D$5:$D$204,$A13,$C$5:$C$204,"Variation"))/(COUNTIFS($D$5:$D$204,$A13,$C$5:$C$204,"Activity")+COUNTIFS($D$5:$D$204,$A13,$C$5:$C$204,"Variation")))),IF(OR($C13="Activity",$C13="Variation"),IF(AND(ISNUMBER($J13),$J13&gt;=0,$J13&lt;=1),$J13,""),""))))</x:f>
        <x:v>0.55</x:v>
      </x:c>
      <x:c r="M13" s="7" t="n">
        <x:f t="shared" ca="1" si="1">IF(OR($K13="",$L13=""),"",$L13-$K13)</x:f>
        <x:v>-0.44999999999999996</x:v>
      </x:c>
      <x:c r="N13" s="6" t="str">
        <x:f ca="1">IF(OR($B13="",$I13="",$L13=""),"",IF(AND($L13&lt;1,$I13&lt;TODAY()),"Late",IF(AND($H13&lt;&gt;"",$I13&gt;$H13),"Forecast Slip","On Plan")))</x:f>
        <x:v>Forecast Slip</x:v>
      </x:c>
      <x:c r="O13" s="19" t="s">
        <x:v>103</x:v>
      </x:c>
      <x:c r="P13" s="6" t="str">
        <x:f t="shared" si="2">IF($B13="","",IF($A13="","Enter item ID",IF(COUNTIF($A$5:$A$204,$A13)&gt;1,"Duplicate item ID",IF($C13="Initiative",IF($D13&lt;&gt;"","Parent must be blank",IF(COUNTIFS($B$5:$B$204,$B13,$C$5:$C$204,"Initiative")&lt;&gt;1,"One Initiative row required",IF(COUNTIFS($D$5:$D$204,$A13,$C$5:$C$204,"Milestone")=0,"Add milestone","OK"))),IF($C13="Milestone",IF(COUNTIFS($A$5:$A$204,$D13,$B$5:$B$204,$B13,$C$5:$C$204,"Initiative")&lt;&gt;1,"Parent must be Initiative",IF(COUNTIFS($D$5:$D$204,$A13,$C$5:$C$204,"Activity")+COUNTIFS($D$5:$D$204,$A13,$C$5:$C$204,"Variation")=0,"Add activity or variation","OK")),IF(OR($C13="Activity",$C13="Variation"),IF(COUNTIFS($A$5:$A$204,$D13,$B$5:$B$204,$B13,$C$5:$C$204,"Milestone")&lt;&gt;1,"Parent must be Milestone",IF(OR($G13="",$H13=""),"Enter baseline dates",IF($H13&lt;$G13,"Baseline finish before start",IF($I13="","Enter forecast finish",IF(COUNT($J13)=0,"Enter actual %",IF(OR(NOT(ISNUMBER($J13)),$J13&lt;0,$J13&gt;1),"Actual % must be 0–100%","OK")))))),"Select level"))))))</x:f>
        <x:v>OK</x:v>
      </x:c>
    </x:row>
    <x:row r="14" ht="38.599998474121094">
      <x:c r="A14" s="66" t="str" cm="1">
        <x:f t="array" ref="A14">IF(OR(B14="",C14=""),"",IF(C14="Initiative",COUNTIF($C$5:C14,"Initiative"),IF(C14="Milestone",IF(D14="","",D14&amp;"."&amp;COUNTIFS($D$5:D14,D14,$C$5:C14,"Milestone")),IF(OR(C14="Activity",C14="Variation"),IF(D14="","",D14&amp;"."&amp;(COUNTIFS($D$5:D14,D14,$C$5:C14,"Activity")+COUNTIFS($D$5:D14,D14,$C$5:C14,"Variation"))),""))))</x:f>
        <x:v>2.1.3</x:v>
      </x:c>
      <x:c r="B14" s="19" t="s">
        <x:v>40</x:v>
      </x:c>
      <x:c r="C14" s="19" t="s">
        <x:v>99</x:v>
      </x:c>
      <x:c r="D14" s="20">
        <x:v>2.1</x:v>
      </x:c>
      <x:c r="E14" s="21" t="s">
        <x:v>106</x:v>
      </x:c>
      <x:c r="F14" s="21" t="s">
        <x:v>43</x:v>
      </x:c>
      <x:c r="G14" s="102">
        <x:v>46228</x:v>
      </x:c>
      <x:c r="H14" s="102">
        <x:v>46325</x:v>
      </x:c>
      <x:c r="I14" s="102">
        <x:v>46402</x:v>
      </x:c>
      <x:c r="J14" s="100">
        <x:v>0.4</x:v>
      </x:c>
      <x:c r="K14" s="7" t="n">
        <x:f ca="1">IF($B14="","",IF($C14="Initiative",IF(COUNTIFS($B$15:$B$204,$B14,$C$15:$C$204,"Activity")+COUNTIFS($B$15:$B$204,$B14,$C$15:$C$204,"Variation")=0,"",IF(COUNTIFS($B$15:$B$204,$B14,$C$15:$C$204,"Activity")+COUNTIFS($B$15:$B$204,$B14,$C$15:$C$204,"Variation")&lt;&gt;COUNTIFS($B$15:$B$204,$B14,$C$15:$C$204,"Activity",$G$15:$G$204,"&lt;&gt;",$H$15:$H$204,"&lt;&gt;")+COUNTIFS($B$15:$B$204,$B14,$C$15:$C$204,"Variation",$G$15:$G$204,"&lt;&gt;",$H$15:$H$204,"&lt;&gt;"),"",(SUMIFS($K$15:$K$204,$B$15:$B$204,$B14,$C$15:$C$204,"Activity")+SUMIFS($K$15:$K$204,$B$15:$B$204,$B14,$C$15:$C$204,"Variation"))/(COUNTIFS($B$15:$B$204,$B14,$C$15:$C$204,"Activity")+COUNTIFS($B$15:$B$204,$B14,$C$15:$C$204,"Variation")))),IF($C14="Milestone",IF(COUNTIFS($D$15:$D$204,$A14,$C$15:$C$204,"Activity")+COUNTIFS($D$15:$D$204,$A14,$C$15:$C$204,"Variation")=0,"",IF(COUNTIFS($D$15:$D$204,$A14,$C$15:$C$204,"Activity")+COUNTIFS($D$15:$D$204,$A14,$C$15:$C$204,"Variation")&lt;&gt;COUNTIFS($D$15:$D$204,$A14,$C$15:$C$204,"Activity",$G$15:$G$204,"&lt;&gt;",$H$15:$H$204,"&lt;&gt;")+COUNTIFS($D$15:$D$204,$A14,$C$15:$C$204,"Variation",$G$15:$G$204,"&lt;&gt;",$H$15:$H$204,"&lt;&gt;"),"",(SUMIFS($K$15:$K$204,$D$15:$D$204,$A14,$C$15:$C$204,"Activity")+SUMIFS($K$15:$K$204,$D$15:$D$204,$A14,$C$15:$C$204,"Variation"))/(COUNTIFS($D$15:$D$204,$A14,$C$15:$C$204,"Activity")+COUNTIFS($D$15:$D$204,$A14,$C$15:$C$204,"Variation")))),IF(OR($C14="Activity",$C14="Variation"),IF(OR($G14="",$H14=""),"",IF($H14&lt;$G14,"",IF($H14=$G14,--(TODAY()&gt;=$H14),MAX(0,MIN(1,(TODAY()-$G14)/($H14-$G14)))))),""))))</x:f>
        <x:v>0.5257731958762887</x:v>
      </x:c>
      <x:c r="L14" s="7" t="n">
        <x:f t="shared" si="0">IF($B14="","",IF($C14="Initiative",IF(COUNTIFS($B$5:$B$204,$B14,$C$5:$C$204,"Activity")+COUNTIFS($B$5:$B$204,$B14,$C$5:$C$204,"Variation")=0,"",IF(COUNTIFS($B$5:$B$204,$B14,$C$5:$C$204,"Activity")+COUNTIFS($B$5:$B$204,$B14,$C$5:$C$204,"Variation")&lt;&gt;COUNTIFS($B$5:$B$204,$B14,$C$5:$C$204,"Activity",$J$5:$J$204,"&lt;&gt;",$J$5:$J$204,"&gt;=0",$J$5:$J$204,"&lt;=1")+COUNTIFS($B$5:$B$204,$B14,$C$5:$C$204,"Variation",$J$5:$J$204,"&lt;&gt;",$J$5:$J$204,"&gt;=0",$J$5:$J$204,"&lt;=1"),"",(SUMIFS($J$5:$J$204,$B$5:$B$204,$B14,$C$5:$C$204,"Activity")+SUMIFS($J$5:$J$204,$B$5:$B$204,$B14,$C$5:$C$204,"Variation"))/(COUNTIFS($B$5:$B$204,$B14,$C$5:$C$204,"Activity")+COUNTIFS($B$5:$B$204,$B14,$C$5:$C$204,"Variation")))),IF($C14="Milestone",IF(COUNTIFS($D$5:$D$204,$A14,$C$5:$C$204,"Activity")+COUNTIFS($D$5:$D$204,$A14,$C$5:$C$204,"Variation")=0,"",IF(COUNTIFS($D$5:$D$204,$A14,$C$5:$C$204,"Activity")+COUNTIFS($D$5:$D$204,$A14,$C$5:$C$204,"Variation")&lt;&gt;COUNTIFS($D$5:$D$204,$A14,$C$5:$C$204,"Activity",$J$5:$J$204,"&lt;&gt;",$J$5:$J$204,"&gt;=0",$J$5:$J$204,"&lt;=1")+COUNTIFS($D$5:$D$204,$A14,$C$5:$C$204,"Variation",$J$5:$J$204,"&lt;&gt;",$J$5:$J$204,"&gt;=0",$J$5:$J$204,"&lt;=1"),"",(SUMIFS($J$5:$J$204,$D$5:$D$204,$A14,$C$5:$C$204,"Activity")+SUMIFS($J$5:$J$204,$D$5:$D$204,$A14,$C$5:$C$204,"Variation"))/(COUNTIFS($D$5:$D$204,$A14,$C$5:$C$204,"Activity")+COUNTIFS($D$5:$D$204,$A14,$C$5:$C$204,"Variation")))),IF(OR($C14="Activity",$C14="Variation"),IF(AND(ISNUMBER($J14),$J14&gt;=0,$J14&lt;=1),$J14,""),""))))</x:f>
        <x:v>0.4</x:v>
      </x:c>
      <x:c r="M14" s="7" t="n">
        <x:f t="shared" ca="1" si="1">IF(OR($K14="",$L14=""),"",$L14-$K14)</x:f>
        <x:v>-0.12577319587628866</x:v>
      </x:c>
      <x:c r="N14" s="6" t="str">
        <x:f ca="1">IF(OR($B14="",$I14="",$L14=""),"",IF(AND($L14&lt;1,$I14&lt;TODAY()),"Late",IF(AND($H14&lt;&gt;"",$I14&gt;$H14),"Forecast Slip","On Plan")))</x:f>
        <x:v>Forecast Slip</x:v>
      </x:c>
      <x:c r="O14" s="19" t="s">
        <x:v>103</x:v>
      </x:c>
      <x:c r="P14" s="6" t="str">
        <x:f t="shared" si="2">IF($B14="","",IF($A14="","Enter item ID",IF(COUNTIF($A$5:$A$204,$A14)&gt;1,"Duplicate item ID",IF($C14="Initiative",IF($D14&lt;&gt;"","Parent must be blank",IF(COUNTIFS($B$5:$B$204,$B14,$C$5:$C$204,"Initiative")&lt;&gt;1,"One Initiative row required",IF(COUNTIFS($D$5:$D$204,$A14,$C$5:$C$204,"Milestone")=0,"Add milestone","OK"))),IF($C14="Milestone",IF(COUNTIFS($A$5:$A$204,$D14,$B$5:$B$204,$B14,$C$5:$C$204,"Initiative")&lt;&gt;1,"Parent must be Initiative",IF(COUNTIFS($D$5:$D$204,$A14,$C$5:$C$204,"Activity")+COUNTIFS($D$5:$D$204,$A14,$C$5:$C$204,"Variation")=0,"Add activity or variation","OK")),IF(OR($C14="Activity",$C14="Variation"),IF(COUNTIFS($A$5:$A$204,$D14,$B$5:$B$204,$B14,$C$5:$C$204,"Milestone")&lt;&gt;1,"Parent must be Milestone",IF(OR($G14="",$H14=""),"Enter baseline dates",IF($H14&lt;$G14,"Baseline finish before start",IF($I14="","Enter forecast finish",IF(COUNT($J14)=0,"Enter actual %",IF(OR(NOT(ISNUMBER($J14)),$J14&lt;0,$J14&gt;1),"Actual % must be 0–100%","OK")))))),"Select level"))))))</x:f>
        <x:v>OK</x:v>
      </x:c>
    </x:row>
    <x:row r="15">
      <x:c r="A15" s="66" t="n" cm="1">
        <x:f t="array" ref="A15">IF(OR(B15="",C15=""),"",IF(C15="Initiative",COUNTIF($C$5:C15,"Initiative"),IF(C15="Milestone",IF(D15="","",D15&amp;"."&amp;COUNTIFS($D$5:D15,D15,$C$5:C15,"Milestone")),IF(OR(C15="Activity",C15="Variation"),IF(D15="","",D15&amp;"."&amp;(COUNTIFS($D$5:D15,D15,$C$5:C15,"Activity")+COUNTIFS($D$5:D15,D15,$C$5:C15,"Variation"))),""))))</x:f>
        <x:v>3</x:v>
      </x:c>
      <x:c r="B15" s="19" t="s">
        <x:v>47</x:v>
      </x:c>
      <x:c r="C15" s="19" t="s">
        <x:v>7</x:v>
      </x:c>
      <x:c r="D15" s="20"/>
      <x:c r="E15" s="21" t="s">
        <x:v>48</x:v>
      </x:c>
      <x:c r="F15" s="21" t="s">
        <x:v>50</x:v>
      </x:c>
      <x:c r="G15" s="102">
        <x:v>46083</x:v>
      </x:c>
      <x:c r="H15" s="102">
        <x:v>46353</x:v>
      </x:c>
      <x:c r="I15" s="102">
        <x:v>46353</x:v>
      </x:c>
      <x:c r="J15" s="100"/>
      <x:c r="K15" s="7" t="n">
        <x:f ca="1">IF($B15="","",IF($C15="Initiative",IF(COUNTIFS($B$16:$B$204,$B15,$C$16:$C$204,"Activity")+COUNTIFS($B$16:$B$204,$B15,$C$16:$C$204,"Variation")=0,"",IF(COUNTIFS($B$16:$B$204,$B15,$C$16:$C$204,"Activity")+COUNTIFS($B$16:$B$204,$B15,$C$16:$C$204,"Variation")&lt;&gt;COUNTIFS($B$16:$B$204,$B15,$C$16:$C$204,"Activity",$G$16:$G$204,"&lt;&gt;",$H$16:$H$204,"&lt;&gt;")+COUNTIFS($B$16:$B$204,$B15,$C$16:$C$204,"Variation",$G$16:$G$204,"&lt;&gt;",$H$16:$H$204,"&lt;&gt;"),"",(SUMIFS($K$16:$K$204,$B$16:$B$204,$B15,$C$16:$C$204,"Activity")+SUMIFS($K$16:$K$204,$B$16:$B$204,$B15,$C$16:$C$204,"Variation"))/(COUNTIFS($B$16:$B$204,$B15,$C$16:$C$204,"Activity")+COUNTIFS($B$16:$B$204,$B15,$C$16:$C$204,"Variation")))),IF($C15="Milestone",IF(COUNTIFS($D$16:$D$204,$A15,$C$16:$C$204,"Activity")+COUNTIFS($D$16:$D$204,$A15,$C$16:$C$204,"Variation")=0,"",IF(COUNTIFS($D$16:$D$204,$A15,$C$16:$C$204,"Activity")+COUNTIFS($D$16:$D$204,$A15,$C$16:$C$204,"Variation")&lt;&gt;COUNTIFS($D$16:$D$204,$A15,$C$16:$C$204,"Activity",$G$16:$G$204,"&lt;&gt;",$H$16:$H$204,"&lt;&gt;")+COUNTIFS($D$16:$D$204,$A15,$C$16:$C$204,"Variation",$G$16:$G$204,"&lt;&gt;",$H$16:$H$204,"&lt;&gt;"),"",(SUMIFS($K$16:$K$204,$D$16:$D$204,$A15,$C$16:$C$204,"Activity")+SUMIFS($K$16:$K$204,$D$16:$D$204,$A15,$C$16:$C$204,"Variation"))/(COUNTIFS($D$16:$D$204,$A15,$C$16:$C$204,"Activity")+COUNTIFS($D$16:$D$204,$A15,$C$16:$C$204,"Variation")))),IF(OR($C15="Activity",$C15="Variation"),IF(OR($G15="",$H15=""),"",IF($H15&lt;$G15,"",IF($H15=$G15,--(TODAY()&gt;=$H15),MAX(0,MIN(1,(TODAY()-$G15)/($H15-$G15)))))),""))))</x:f>
        <x:v>0.7196969696969697</x:v>
      </x:c>
      <x:c r="L15" s="7" t="n">
        <x:f t="shared" si="0">IF($B15="","",IF($C15="Initiative",IF(COUNTIFS($B$5:$B$204,$B15,$C$5:$C$204,"Activity")+COUNTIFS($B$5:$B$204,$B15,$C$5:$C$204,"Variation")=0,"",IF(COUNTIFS($B$5:$B$204,$B15,$C$5:$C$204,"Activity")+COUNTIFS($B$5:$B$204,$B15,$C$5:$C$204,"Variation")&lt;&gt;COUNTIFS($B$5:$B$204,$B15,$C$5:$C$204,"Activity",$J$5:$J$204,"&lt;&gt;",$J$5:$J$204,"&gt;=0",$J$5:$J$204,"&lt;=1")+COUNTIFS($B$5:$B$204,$B15,$C$5:$C$204,"Variation",$J$5:$J$204,"&lt;&gt;",$J$5:$J$204,"&gt;=0",$J$5:$J$204,"&lt;=1"),"",(SUMIFS($J$5:$J$204,$B$5:$B$204,$B15,$C$5:$C$204,"Activity")+SUMIFS($J$5:$J$204,$B$5:$B$204,$B15,$C$5:$C$204,"Variation"))/(COUNTIFS($B$5:$B$204,$B15,$C$5:$C$204,"Activity")+COUNTIFS($B$5:$B$204,$B15,$C$5:$C$204,"Variation")))),IF($C15="Milestone",IF(COUNTIFS($D$5:$D$204,$A15,$C$5:$C$204,"Activity")+COUNTIFS($D$5:$D$204,$A15,$C$5:$C$204,"Variation")=0,"",IF(COUNTIFS($D$5:$D$204,$A15,$C$5:$C$204,"Activity")+COUNTIFS($D$5:$D$204,$A15,$C$5:$C$204,"Variation")&lt;&gt;COUNTIFS($D$5:$D$204,$A15,$C$5:$C$204,"Activity",$J$5:$J$204,"&lt;&gt;",$J$5:$J$204,"&gt;=0",$J$5:$J$204,"&lt;=1")+COUNTIFS($D$5:$D$204,$A15,$C$5:$C$204,"Variation",$J$5:$J$204,"&lt;&gt;",$J$5:$J$204,"&gt;=0",$J$5:$J$204,"&lt;=1"),"",(SUMIFS($J$5:$J$204,$D$5:$D$204,$A15,$C$5:$C$204,"Activity")+SUMIFS($J$5:$J$204,$D$5:$D$204,$A15,$C$5:$C$204,"Variation"))/(COUNTIFS($D$5:$D$204,$A15,$C$5:$C$204,"Activity")+COUNTIFS($D$5:$D$204,$A15,$C$5:$C$204,"Variation")))),IF(OR($C15="Activity",$C15="Variation"),IF(AND(ISNUMBER($J15),$J15&gt;=0,$J15&lt;=1),$J15,""),""))))</x:f>
        <x:v>0.8166666666666668</x:v>
      </x:c>
      <x:c r="M15" s="7" t="n">
        <x:f t="shared" ca="1" si="1">IF(OR($K15="",$L15=""),"",$L15-$K15)</x:f>
        <x:v>0.09696969696969704</x:v>
      </x:c>
      <x:c r="N15" s="6" t="str">
        <x:f ca="1">IF(OR($B15="",$I15="",$L15=""),"",IF(AND($L15&lt;1,$I15&lt;TODAY()),"Late",IF(AND($H15&lt;&gt;"",$I15&gt;$H15),"Forecast Slip","On Plan")))</x:f>
        <x:v>On Plan</x:v>
      </x:c>
      <x:c r="O15" s="19"/>
      <x:c r="P15" s="6" t="str">
        <x:f t="shared" si="2">IF($B15="","",IF($A15="","Enter item ID",IF(COUNTIF($A$5:$A$204,$A15)&gt;1,"Duplicate item ID",IF($C15="Initiative",IF($D15&lt;&gt;"","Parent must be blank",IF(COUNTIFS($B$5:$B$204,$B15,$C$5:$C$204,"Initiative")&lt;&gt;1,"One Initiative row required",IF(COUNTIFS($D$5:$D$204,$A15,$C$5:$C$204,"Milestone")=0,"Add milestone","OK"))),IF($C15="Milestone",IF(COUNTIFS($A$5:$A$204,$D15,$B$5:$B$204,$B15,$C$5:$C$204,"Initiative")&lt;&gt;1,"Parent must be Initiative",IF(COUNTIFS($D$5:$D$204,$A15,$C$5:$C$204,"Activity")+COUNTIFS($D$5:$D$204,$A15,$C$5:$C$204,"Variation")=0,"Add activity or variation","OK")),IF(OR($C15="Activity",$C15="Variation"),IF(COUNTIFS($A$5:$A$204,$D15,$B$5:$B$204,$B15,$C$5:$C$204,"Milestone")&lt;&gt;1,"Parent must be Milestone",IF(OR($G15="",$H15=""),"Enter baseline dates",IF($H15&lt;$G15,"Baseline finish before start",IF($I15="","Enter forecast finish",IF(COUNT($J15)=0,"Enter actual %",IF(OR(NOT(ISNUMBER($J15)),$J15&lt;0,$J15&gt;1),"Actual % must be 0–100%","OK")))))),"Select level"))))))</x:f>
        <x:v>OK</x:v>
      </x:c>
    </x:row>
    <x:row r="16" ht="25.75">
      <x:c r="A16" s="66" t="str" cm="1">
        <x:f t="array" ref="A16">IF(OR(B16="",C16=""),"",IF(C16="Initiative",COUNTIF($C$5:C16,"Initiative"),IF(C16="Milestone",IF(D16="","",D16&amp;"."&amp;COUNTIFS($D$5:D16,D16,$C$5:C16,"Milestone")),IF(OR(C16="Activity",C16="Variation"),IF(D16="","",D16&amp;"."&amp;(COUNTIFS($D$5:D16,D16,$C$5:C16,"Activity")+COUNTIFS($D$5:D16,D16,$C$5:C16,"Variation"))),""))))</x:f>
        <x:v>3.1</x:v>
      </x:c>
      <x:c r="B16" s="19" t="s">
        <x:v>47</x:v>
      </x:c>
      <x:c r="C16" s="19" t="s">
        <x:v>97</x:v>
      </x:c>
      <x:c r="D16" s="20">
        <x:v>3</x:v>
      </x:c>
      <x:c r="E16" s="21" t="s">
        <x:v>98</x:v>
      </x:c>
      <x:c r="F16" s="21" t="s">
        <x:v>50</x:v>
      </x:c>
      <x:c r="G16" s="102">
        <x:v>46083</x:v>
      </x:c>
      <x:c r="H16" s="102">
        <x:v>46353</x:v>
      </x:c>
      <x:c r="I16" s="102">
        <x:v>46353</x:v>
      </x:c>
      <x:c r="J16" s="100"/>
      <x:c r="K16" s="7" t="n">
        <x:f ca="1">IF($B16="","",IF($C16="Initiative",IF(COUNTIFS($B$17:$B$204,$B16,$C$17:$C$204,"Activity")+COUNTIFS($B$17:$B$204,$B16,$C$17:$C$204,"Variation")=0,"",IF(COUNTIFS($B$17:$B$204,$B16,$C$17:$C$204,"Activity")+COUNTIFS($B$17:$B$204,$B16,$C$17:$C$204,"Variation")&lt;&gt;COUNTIFS($B$17:$B$204,$B16,$C$17:$C$204,"Activity",$G$17:$G$204,"&lt;&gt;",$H$17:$H$204,"&lt;&gt;")+COUNTIFS($B$17:$B$204,$B16,$C$17:$C$204,"Variation",$G$17:$G$204,"&lt;&gt;",$H$17:$H$204,"&lt;&gt;"),"",(SUMIFS($K$17:$K$204,$B$17:$B$204,$B16,$C$17:$C$204,"Activity")+SUMIFS($K$17:$K$204,$B$17:$B$204,$B16,$C$17:$C$204,"Variation"))/(COUNTIFS($B$17:$B$204,$B16,$C$17:$C$204,"Activity")+COUNTIFS($B$17:$B$204,$B16,$C$17:$C$204,"Variation")))),IF($C16="Milestone",IF(COUNTIFS($D$17:$D$204,$A16,$C$17:$C$204,"Activity")+COUNTIFS($D$17:$D$204,$A16,$C$17:$C$204,"Variation")=0,"",IF(COUNTIFS($D$17:$D$204,$A16,$C$17:$C$204,"Activity")+COUNTIFS($D$17:$D$204,$A16,$C$17:$C$204,"Variation")&lt;&gt;COUNTIFS($D$17:$D$204,$A16,$C$17:$C$204,"Activity",$G$17:$G$204,"&lt;&gt;",$H$17:$H$204,"&lt;&gt;")+COUNTIFS($D$17:$D$204,$A16,$C$17:$C$204,"Variation",$G$17:$G$204,"&lt;&gt;",$H$17:$H$204,"&lt;&gt;"),"",(SUMIFS($K$17:$K$204,$D$17:$D$204,$A16,$C$17:$C$204,"Activity")+SUMIFS($K$17:$K$204,$D$17:$D$204,$A16,$C$17:$C$204,"Variation"))/(COUNTIFS($D$17:$D$204,$A16,$C$17:$C$204,"Activity")+COUNTIFS($D$17:$D$204,$A16,$C$17:$C$204,"Variation")))),IF(OR($C16="Activity",$C16="Variation"),IF(OR($G16="",$H16=""),"",IF($H16&lt;$G16,"",IF($H16=$G16,--(TODAY()&gt;=$H16),MAX(0,MIN(1,(TODAY()-$G16)/($H16-$G16)))))),""))))</x:f>
        <x:v>0.7196969696969697</x:v>
      </x:c>
      <x:c r="L16" s="7" t="n">
        <x:f t="shared" si="0">IF($B16="","",IF($C16="Initiative",IF(COUNTIFS($B$5:$B$204,$B16,$C$5:$C$204,"Activity")+COUNTIFS($B$5:$B$204,$B16,$C$5:$C$204,"Variation")=0,"",IF(COUNTIFS($B$5:$B$204,$B16,$C$5:$C$204,"Activity")+COUNTIFS($B$5:$B$204,$B16,$C$5:$C$204,"Variation")&lt;&gt;COUNTIFS($B$5:$B$204,$B16,$C$5:$C$204,"Activity",$J$5:$J$204,"&lt;&gt;",$J$5:$J$204,"&gt;=0",$J$5:$J$204,"&lt;=1")+COUNTIFS($B$5:$B$204,$B16,$C$5:$C$204,"Variation",$J$5:$J$204,"&lt;&gt;",$J$5:$J$204,"&gt;=0",$J$5:$J$204,"&lt;=1"),"",(SUMIFS($J$5:$J$204,$B$5:$B$204,$B16,$C$5:$C$204,"Activity")+SUMIFS($J$5:$J$204,$B$5:$B$204,$B16,$C$5:$C$204,"Variation"))/(COUNTIFS($B$5:$B$204,$B16,$C$5:$C$204,"Activity")+COUNTIFS($B$5:$B$204,$B16,$C$5:$C$204,"Variation")))),IF($C16="Milestone",IF(COUNTIFS($D$5:$D$204,$A16,$C$5:$C$204,"Activity")+COUNTIFS($D$5:$D$204,$A16,$C$5:$C$204,"Variation")=0,"",IF(COUNTIFS($D$5:$D$204,$A16,$C$5:$C$204,"Activity")+COUNTIFS($D$5:$D$204,$A16,$C$5:$C$204,"Variation")&lt;&gt;COUNTIFS($D$5:$D$204,$A16,$C$5:$C$204,"Activity",$J$5:$J$204,"&lt;&gt;",$J$5:$J$204,"&gt;=0",$J$5:$J$204,"&lt;=1")+COUNTIFS($D$5:$D$204,$A16,$C$5:$C$204,"Variation",$J$5:$J$204,"&lt;&gt;",$J$5:$J$204,"&gt;=0",$J$5:$J$204,"&lt;=1"),"",(SUMIFS($J$5:$J$204,$D$5:$D$204,$A16,$C$5:$C$204,"Activity")+SUMIFS($J$5:$J$204,$D$5:$D$204,$A16,$C$5:$C$204,"Variation"))/(COUNTIFS($D$5:$D$204,$A16,$C$5:$C$204,"Activity")+COUNTIFS($D$5:$D$204,$A16,$C$5:$C$204,"Variation")))),IF(OR($C16="Activity",$C16="Variation"),IF(AND(ISNUMBER($J16),$J16&gt;=0,$J16&lt;=1),$J16,""),""))))</x:f>
        <x:v>0.8166666666666668</x:v>
      </x:c>
      <x:c r="M16" s="7" t="n">
        <x:f t="shared" ca="1" si="1">IF(OR($K16="",$L16=""),"",$L16-$K16)</x:f>
        <x:v>0.09696969696969704</x:v>
      </x:c>
      <x:c r="N16" s="6" t="str">
        <x:f ca="1">IF(OR($B16="",$I16="",$L16=""),"",IF(AND($L16&lt;1,$I16&lt;TODAY()),"Late",IF(AND($H16&lt;&gt;"",$I16&gt;$H16),"Forecast Slip","On Plan")))</x:f>
        <x:v>On Plan</x:v>
      </x:c>
      <x:c r="O16" s="19"/>
      <x:c r="P16" s="6" t="str">
        <x:f t="shared" si="2">IF($B16="","",IF($A16="","Enter item ID",IF(COUNTIF($A$5:$A$204,$A16)&gt;1,"Duplicate item ID",IF($C16="Initiative",IF($D16&lt;&gt;"","Parent must be blank",IF(COUNTIFS($B$5:$B$204,$B16,$C$5:$C$204,"Initiative")&lt;&gt;1,"One Initiative row required",IF(COUNTIFS($D$5:$D$204,$A16,$C$5:$C$204,"Milestone")=0,"Add milestone","OK"))),IF($C16="Milestone",IF(COUNTIFS($A$5:$A$204,$D16,$B$5:$B$204,$B16,$C$5:$C$204,"Initiative")&lt;&gt;1,"Parent must be Initiative",IF(COUNTIFS($D$5:$D$204,$A16,$C$5:$C$204,"Activity")+COUNTIFS($D$5:$D$204,$A16,$C$5:$C$204,"Variation")=0,"Add activity or variation","OK")),IF(OR($C16="Activity",$C16="Variation"),IF(COUNTIFS($A$5:$A$204,$D16,$B$5:$B$204,$B16,$C$5:$C$204,"Milestone")&lt;&gt;1,"Parent must be Milestone",IF(OR($G16="",$H16=""),"Enter baseline dates",IF($H16&lt;$G16,"Baseline finish before start",IF($I16="","Enter forecast finish",IF(COUNT($J16)=0,"Enter actual %",IF(OR(NOT(ISNUMBER($J16)),$J16&lt;0,$J16&gt;1),"Actual % must be 0–100%","OK")))))),"Select level"))))))</x:f>
        <x:v>OK</x:v>
      </x:c>
    </x:row>
    <x:row r="17" ht="25.75">
      <x:c r="A17" s="66" t="str" cm="1">
        <x:f t="array" ref="A17">IF(OR(B17="",C17=""),"",IF(C17="Initiative",COUNTIF($C$5:C17,"Initiative"),IF(C17="Milestone",IF(D17="","",D17&amp;"."&amp;COUNTIFS($D$5:D17,D17,$C$5:C17,"Milestone")),IF(OR(C17="Activity",C17="Variation"),IF(D17="","",D17&amp;"."&amp;(COUNTIFS($D$5:D17,D17,$C$5:C17,"Activity")+COUNTIFS($D$5:D17,D17,$C$5:C17,"Variation"))),""))))</x:f>
        <x:v>3.1.1</x:v>
      </x:c>
      <x:c r="B17" s="19" t="s">
        <x:v>47</x:v>
      </x:c>
      <x:c r="C17" s="19" t="s">
        <x:v>99</x:v>
      </x:c>
      <x:c r="D17" s="20">
        <x:v>3.1</x:v>
      </x:c>
      <x:c r="E17" s="21" t="s">
        <x:v>107</x:v>
      </x:c>
      <x:c r="F17" s="21" t="s">
        <x:v>50</x:v>
      </x:c>
      <x:c r="G17" s="102">
        <x:v>46083</x:v>
      </x:c>
      <x:c r="H17" s="102">
        <x:v>46172</x:v>
      </x:c>
      <x:c r="I17" s="102">
        <x:v>46172</x:v>
      </x:c>
      <x:c r="J17" s="100">
        <x:v>0.9</x:v>
      </x:c>
      <x:c r="K17" s="7" t="n">
        <x:f ca="1">IF($B17="","",IF($C17="Initiative",IF(COUNTIFS($B$18:$B$204,$B17,$C$18:$C$204,"Activity")+COUNTIFS($B$18:$B$204,$B17,$C$18:$C$204,"Variation")=0,"",IF(COUNTIFS($B$18:$B$204,$B17,$C$18:$C$204,"Activity")+COUNTIFS($B$18:$B$204,$B17,$C$18:$C$204,"Variation")&lt;&gt;COUNTIFS($B$18:$B$204,$B17,$C$18:$C$204,"Activity",$G$18:$G$204,"&lt;&gt;",$H$18:$H$204,"&lt;&gt;")+COUNTIFS($B$18:$B$204,$B17,$C$18:$C$204,"Variation",$G$18:$G$204,"&lt;&gt;",$H$18:$H$204,"&lt;&gt;"),"",(SUMIFS($K$18:$K$204,$B$18:$B$204,$B17,$C$18:$C$204,"Activity")+SUMIFS($K$18:$K$204,$B$18:$B$204,$B17,$C$18:$C$204,"Variation"))/(COUNTIFS($B$18:$B$204,$B17,$C$18:$C$204,"Activity")+COUNTIFS($B$18:$B$204,$B17,$C$18:$C$204,"Variation")))),IF($C17="Milestone",IF(COUNTIFS($D$18:$D$204,$A17,$C$18:$C$204,"Activity")+COUNTIFS($D$18:$D$204,$A17,$C$18:$C$204,"Variation")=0,"",IF(COUNTIFS($D$18:$D$204,$A17,$C$18:$C$204,"Activity")+COUNTIFS($D$18:$D$204,$A17,$C$18:$C$204,"Variation")&lt;&gt;COUNTIFS($D$18:$D$204,$A17,$C$18:$C$204,"Activity",$G$18:$G$204,"&lt;&gt;",$H$18:$H$204,"&lt;&gt;")+COUNTIFS($D$18:$D$204,$A17,$C$18:$C$204,"Variation",$G$18:$G$204,"&lt;&gt;",$H$18:$H$204,"&lt;&gt;"),"",(SUMIFS($K$18:$K$204,$D$18:$D$204,$A17,$C$18:$C$204,"Activity")+SUMIFS($K$18:$K$204,$D$18:$D$204,$A17,$C$18:$C$204,"Variation"))/(COUNTIFS($D$18:$D$204,$A17,$C$18:$C$204,"Activity")+COUNTIFS($D$18:$D$204,$A17,$C$18:$C$204,"Variation")))),IF(OR($C17="Activity",$C17="Variation"),IF(OR($G17="",$H17=""),"",IF($H17&lt;$G17,"",IF($H17=$G17,--(TODAY()&gt;=$H17),MAX(0,MIN(1,(TODAY()-$G17)/($H17-$G17)))))),""))))</x:f>
        <x:v>1</x:v>
      </x:c>
      <x:c r="L17" s="7" t="n">
        <x:f t="shared" si="0">IF($B17="","",IF($C17="Initiative",IF(COUNTIFS($B$5:$B$204,$B17,$C$5:$C$204,"Activity")+COUNTIFS($B$5:$B$204,$B17,$C$5:$C$204,"Variation")=0,"",IF(COUNTIFS($B$5:$B$204,$B17,$C$5:$C$204,"Activity")+COUNTIFS($B$5:$B$204,$B17,$C$5:$C$204,"Variation")&lt;&gt;COUNTIFS($B$5:$B$204,$B17,$C$5:$C$204,"Activity",$J$5:$J$204,"&lt;&gt;",$J$5:$J$204,"&gt;=0",$J$5:$J$204,"&lt;=1")+COUNTIFS($B$5:$B$204,$B17,$C$5:$C$204,"Variation",$J$5:$J$204,"&lt;&gt;",$J$5:$J$204,"&gt;=0",$J$5:$J$204,"&lt;=1"),"",(SUMIFS($J$5:$J$204,$B$5:$B$204,$B17,$C$5:$C$204,"Activity")+SUMIFS($J$5:$J$204,$B$5:$B$204,$B17,$C$5:$C$204,"Variation"))/(COUNTIFS($B$5:$B$204,$B17,$C$5:$C$204,"Activity")+COUNTIFS($B$5:$B$204,$B17,$C$5:$C$204,"Variation")))),IF($C17="Milestone",IF(COUNTIFS($D$5:$D$204,$A17,$C$5:$C$204,"Activity")+COUNTIFS($D$5:$D$204,$A17,$C$5:$C$204,"Variation")=0,"",IF(COUNTIFS($D$5:$D$204,$A17,$C$5:$C$204,"Activity")+COUNTIFS($D$5:$D$204,$A17,$C$5:$C$204,"Variation")&lt;&gt;COUNTIFS($D$5:$D$204,$A17,$C$5:$C$204,"Activity",$J$5:$J$204,"&lt;&gt;",$J$5:$J$204,"&gt;=0",$J$5:$J$204,"&lt;=1")+COUNTIFS($D$5:$D$204,$A17,$C$5:$C$204,"Variation",$J$5:$J$204,"&lt;&gt;",$J$5:$J$204,"&gt;=0",$J$5:$J$204,"&lt;=1"),"",(SUMIFS($J$5:$J$204,$D$5:$D$204,$A17,$C$5:$C$204,"Activity")+SUMIFS($J$5:$J$204,$D$5:$D$204,$A17,$C$5:$C$204,"Variation"))/(COUNTIFS($D$5:$D$204,$A17,$C$5:$C$204,"Activity")+COUNTIFS($D$5:$D$204,$A17,$C$5:$C$204,"Variation")))),IF(OR($C17="Activity",$C17="Variation"),IF(AND(ISNUMBER($J17),$J17&gt;=0,$J17&lt;=1),$J17,""),""))))</x:f>
        <x:v>0.9</x:v>
      </x:c>
      <x:c r="M17" s="7" t="n">
        <x:f t="shared" ca="1" si="1">IF(OR($K17="",$L17=""),"",$L17-$K17)</x:f>
        <x:v>-0.09999999999999998</x:v>
      </x:c>
      <x:c r="N17" s="6" t="str">
        <x:f ca="1">IF(OR($B17="",$I17="",$L17=""),"",IF(AND($L17&lt;1,$I17&lt;TODAY()),"Late",IF(AND($H17&lt;&gt;"",$I17&gt;$H17),"Forecast Slip","On Plan")))</x:f>
        <x:v>Late</x:v>
      </x:c>
      <x:c r="O17" s="19"/>
      <x:c r="P17" s="6" t="str">
        <x:f t="shared" si="2">IF($B17="","",IF($A17="","Enter item ID",IF(COUNTIF($A$5:$A$204,$A17)&gt;1,"Duplicate item ID",IF($C17="Initiative",IF($D17&lt;&gt;"","Parent must be blank",IF(COUNTIFS($B$5:$B$204,$B17,$C$5:$C$204,"Initiative")&lt;&gt;1,"One Initiative row required",IF(COUNTIFS($D$5:$D$204,$A17,$C$5:$C$204,"Milestone")=0,"Add milestone","OK"))),IF($C17="Milestone",IF(COUNTIFS($A$5:$A$204,$D17,$B$5:$B$204,$B17,$C$5:$C$204,"Initiative")&lt;&gt;1,"Parent must be Initiative",IF(COUNTIFS($D$5:$D$204,$A17,$C$5:$C$204,"Activity")+COUNTIFS($D$5:$D$204,$A17,$C$5:$C$204,"Variation")=0,"Add activity or variation","OK")),IF(OR($C17="Activity",$C17="Variation"),IF(COUNTIFS($A$5:$A$204,$D17,$B$5:$B$204,$B17,$C$5:$C$204,"Milestone")&lt;&gt;1,"Parent must be Milestone",IF(OR($G17="",$H17=""),"Enter baseline dates",IF($H17&lt;$G17,"Baseline finish before start",IF($I17="","Enter forecast finish",IF(COUNT($J17)=0,"Enter actual %",IF(OR(NOT(ISNUMBER($J17)),$J17&lt;0,$J17&gt;1),"Actual % must be 0–100%","OK")))))),"Select level"))))))</x:f>
        <x:v>OK</x:v>
      </x:c>
    </x:row>
    <x:row r="18" ht="25.75">
      <x:c r="A18" s="66" t="str" cm="1">
        <x:f t="array" ref="A18">IF(OR(B18="",C18=""),"",IF(C18="Initiative",COUNTIF($C$5:C18,"Initiative"),IF(C18="Milestone",IF(D18="","",D18&amp;"."&amp;COUNTIFS($D$5:D18,D18,$C$5:C18,"Milestone")),IF(OR(C18="Activity",C18="Variation"),IF(D18="","",D18&amp;"."&amp;(COUNTIFS($D$5:D18,D18,$C$5:C18,"Activity")+COUNTIFS($D$5:D18,D18,$C$5:C18,"Variation"))),""))))</x:f>
        <x:v>3.1.2</x:v>
      </x:c>
      <x:c r="B18" s="19" t="s">
        <x:v>47</x:v>
      </x:c>
      <x:c r="C18" s="19" t="s">
        <x:v>99</x:v>
      </x:c>
      <x:c r="D18" s="20">
        <x:v>3.1</x:v>
      </x:c>
      <x:c r="E18" s="21" t="s">
        <x:v>108</x:v>
      </x:c>
      <x:c r="F18" s="21" t="s">
        <x:v>50</x:v>
      </x:c>
      <x:c r="G18" s="102">
        <x:v>46173</x:v>
      </x:c>
      <x:c r="H18" s="102">
        <x:v>46264</x:v>
      </x:c>
      <x:c r="I18" s="102">
        <x:v>46264</x:v>
      </x:c>
      <x:c r="J18" s="100">
        <x:v>0.85</x:v>
      </x:c>
      <x:c r="K18" s="7" t="n">
        <x:f ca="1">IF($B18="","",IF($C18="Initiative",IF(COUNTIFS($B$19:$B$204,$B18,$C$19:$C$204,"Activity")+COUNTIFS($B$19:$B$204,$B18,$C$19:$C$204,"Variation")=0,"",IF(COUNTIFS($B$19:$B$204,$B18,$C$19:$C$204,"Activity")+COUNTIFS($B$19:$B$204,$B18,$C$19:$C$204,"Variation")&lt;&gt;COUNTIFS($B$19:$B$204,$B18,$C$19:$C$204,"Activity",$G$19:$G$204,"&lt;&gt;",$H$19:$H$204,"&lt;&gt;")+COUNTIFS($B$19:$B$204,$B18,$C$19:$C$204,"Variation",$G$19:$G$204,"&lt;&gt;",$H$19:$H$204,"&lt;&gt;"),"",(SUMIFS($K$19:$K$204,$B$19:$B$204,$B18,$C$19:$C$204,"Activity")+SUMIFS($K$19:$K$204,$B$19:$B$204,$B18,$C$19:$C$204,"Variation"))/(COUNTIFS($B$19:$B$204,$B18,$C$19:$C$204,"Activity")+COUNTIFS($B$19:$B$204,$B18,$C$19:$C$204,"Variation")))),IF($C18="Milestone",IF(COUNTIFS($D$19:$D$204,$A18,$C$19:$C$204,"Activity")+COUNTIFS($D$19:$D$204,$A18,$C$19:$C$204,"Variation")=0,"",IF(COUNTIFS($D$19:$D$204,$A18,$C$19:$C$204,"Activity")+COUNTIFS($D$19:$D$204,$A18,$C$19:$C$204,"Variation")&lt;&gt;COUNTIFS($D$19:$D$204,$A18,$C$19:$C$204,"Activity",$G$19:$G$204,"&lt;&gt;",$H$19:$H$204,"&lt;&gt;")+COUNTIFS($D$19:$D$204,$A18,$C$19:$C$204,"Variation",$G$19:$G$204,"&lt;&gt;",$H$19:$H$204,"&lt;&gt;"),"",(SUMIFS($K$19:$K$204,$D$19:$D$204,$A18,$C$19:$C$204,"Activity")+SUMIFS($K$19:$K$204,$D$19:$D$204,$A18,$C$19:$C$204,"Variation"))/(COUNTIFS($D$19:$D$204,$A18,$C$19:$C$204,"Activity")+COUNTIFS($D$19:$D$204,$A18,$C$19:$C$204,"Variation")))),IF(OR($C18="Activity",$C18="Variation"),IF(OR($G18="",$H18=""),"",IF($H18&lt;$G18,"",IF($H18=$G18,--(TODAY()&gt;=$H18),MAX(0,MIN(1,(TODAY()-$G18)/($H18-$G18)))))),""))))</x:f>
        <x:v>1</x:v>
      </x:c>
      <x:c r="L18" s="7" t="n">
        <x:f t="shared" si="0">IF($B18="","",IF($C18="Initiative",IF(COUNTIFS($B$5:$B$204,$B18,$C$5:$C$204,"Activity")+COUNTIFS($B$5:$B$204,$B18,$C$5:$C$204,"Variation")=0,"",IF(COUNTIFS($B$5:$B$204,$B18,$C$5:$C$204,"Activity")+COUNTIFS($B$5:$B$204,$B18,$C$5:$C$204,"Variation")&lt;&gt;COUNTIFS($B$5:$B$204,$B18,$C$5:$C$204,"Activity",$J$5:$J$204,"&lt;&gt;",$J$5:$J$204,"&gt;=0",$J$5:$J$204,"&lt;=1")+COUNTIFS($B$5:$B$204,$B18,$C$5:$C$204,"Variation",$J$5:$J$204,"&lt;&gt;",$J$5:$J$204,"&gt;=0",$J$5:$J$204,"&lt;=1"),"",(SUMIFS($J$5:$J$204,$B$5:$B$204,$B18,$C$5:$C$204,"Activity")+SUMIFS($J$5:$J$204,$B$5:$B$204,$B18,$C$5:$C$204,"Variation"))/(COUNTIFS($B$5:$B$204,$B18,$C$5:$C$204,"Activity")+COUNTIFS($B$5:$B$204,$B18,$C$5:$C$204,"Variation")))),IF($C18="Milestone",IF(COUNTIFS($D$5:$D$204,$A18,$C$5:$C$204,"Activity")+COUNTIFS($D$5:$D$204,$A18,$C$5:$C$204,"Variation")=0,"",IF(COUNTIFS($D$5:$D$204,$A18,$C$5:$C$204,"Activity")+COUNTIFS($D$5:$D$204,$A18,$C$5:$C$204,"Variation")&lt;&gt;COUNTIFS($D$5:$D$204,$A18,$C$5:$C$204,"Activity",$J$5:$J$204,"&lt;&gt;",$J$5:$J$204,"&gt;=0",$J$5:$J$204,"&lt;=1")+COUNTIFS($D$5:$D$204,$A18,$C$5:$C$204,"Variation",$J$5:$J$204,"&lt;&gt;",$J$5:$J$204,"&gt;=0",$J$5:$J$204,"&lt;=1"),"",(SUMIFS($J$5:$J$204,$D$5:$D$204,$A18,$C$5:$C$204,"Activity")+SUMIFS($J$5:$J$204,$D$5:$D$204,$A18,$C$5:$C$204,"Variation"))/(COUNTIFS($D$5:$D$204,$A18,$C$5:$C$204,"Activity")+COUNTIFS($D$5:$D$204,$A18,$C$5:$C$204,"Variation")))),IF(OR($C18="Activity",$C18="Variation"),IF(AND(ISNUMBER($J18),$J18&gt;=0,$J18&lt;=1),$J18,""),""))))</x:f>
        <x:v>0.85</x:v>
      </x:c>
      <x:c r="M18" s="7" t="n">
        <x:f t="shared" ca="1" si="1">IF(OR($K18="",$L18=""),"",$L18-$K18)</x:f>
        <x:v>-0.15000000000000002</x:v>
      </x:c>
      <x:c r="N18" s="6" t="str">
        <x:f ca="1">IF(OR($B18="",$I18="",$L18=""),"",IF(AND($L18&lt;1,$I18&lt;TODAY()),"Late",IF(AND($H18&lt;&gt;"",$I18&gt;$H18),"Forecast Slip","On Plan")))</x:f>
        <x:v>Late</x:v>
      </x:c>
      <x:c r="O18" s="19"/>
      <x:c r="P18" s="6" t="str">
        <x:f t="shared" si="2">IF($B18="","",IF($A18="","Enter item ID",IF(COUNTIF($A$5:$A$204,$A18)&gt;1,"Duplicate item ID",IF($C18="Initiative",IF($D18&lt;&gt;"","Parent must be blank",IF(COUNTIFS($B$5:$B$204,$B18,$C$5:$C$204,"Initiative")&lt;&gt;1,"One Initiative row required",IF(COUNTIFS($D$5:$D$204,$A18,$C$5:$C$204,"Milestone")=0,"Add milestone","OK"))),IF($C18="Milestone",IF(COUNTIFS($A$5:$A$204,$D18,$B$5:$B$204,$B18,$C$5:$C$204,"Initiative")&lt;&gt;1,"Parent must be Initiative",IF(COUNTIFS($D$5:$D$204,$A18,$C$5:$C$204,"Activity")+COUNTIFS($D$5:$D$204,$A18,$C$5:$C$204,"Variation")=0,"Add activity or variation","OK")),IF(OR($C18="Activity",$C18="Variation"),IF(COUNTIFS($A$5:$A$204,$D18,$B$5:$B$204,$B18,$C$5:$C$204,"Milestone")&lt;&gt;1,"Parent must be Milestone",IF(OR($G18="",$H18=""),"Enter baseline dates",IF($H18&lt;$G18,"Baseline finish before start",IF($I18="","Enter forecast finish",IF(COUNT($J18)=0,"Enter actual %",IF(OR(NOT(ISNUMBER($J18)),$J18&lt;0,$J18&gt;1),"Actual % must be 0–100%","OK")))))),"Select level"))))))</x:f>
        <x:v>OK</x:v>
      </x:c>
    </x:row>
    <x:row r="19" ht="25.75">
      <x:c r="A19" s="66" t="str" cm="1">
        <x:f t="array" ref="A19">IF(OR(B19="",C19=""),"",IF(C19="Initiative",COUNTIF($C$5:C19,"Initiative"),IF(C19="Milestone",IF(D19="","",D19&amp;"."&amp;COUNTIFS($D$5:D19,D19,$C$5:C19,"Milestone")),IF(OR(C19="Activity",C19="Variation"),IF(D19="","",D19&amp;"."&amp;(COUNTIFS($D$5:D19,D19,$C$5:C19,"Activity")+COUNTIFS($D$5:D19,D19,$C$5:C19,"Variation"))),""))))</x:f>
        <x:v>3.1.3</x:v>
      </x:c>
      <x:c r="B19" s="19" t="s">
        <x:v>47</x:v>
      </x:c>
      <x:c r="C19" s="19" t="s">
        <x:v>99</x:v>
      </x:c>
      <x:c r="D19" s="20">
        <x:v>3.1</x:v>
      </x:c>
      <x:c r="E19" s="21" t="s">
        <x:v>109</x:v>
      </x:c>
      <x:c r="F19" s="21" t="s">
        <x:v>50</x:v>
      </x:c>
      <x:c r="G19" s="102">
        <x:v>46265</x:v>
      </x:c>
      <x:c r="H19" s="102">
        <x:v>46353</x:v>
      </x:c>
      <x:c r="I19" s="102">
        <x:v>46353</x:v>
      </x:c>
      <x:c r="J19" s="100">
        <x:v>0.7</x:v>
      </x:c>
      <x:c r="K19" s="7" t="n">
        <x:f ca="1">IF($B19="","",IF($C19="Initiative",IF(COUNTIFS($B$20:$B$204,$B19,$C$20:$C$204,"Activity")+COUNTIFS($B$20:$B$204,$B19,$C$20:$C$204,"Variation")=0,"",IF(COUNTIFS($B$20:$B$204,$B19,$C$20:$C$204,"Activity")+COUNTIFS($B$20:$B$204,$B19,$C$20:$C$204,"Variation")&lt;&gt;COUNTIFS($B$20:$B$204,$B19,$C$20:$C$204,"Activity",$G$20:$G$204,"&lt;&gt;",$H$20:$H$204,"&lt;&gt;")+COUNTIFS($B$20:$B$204,$B19,$C$20:$C$204,"Variation",$G$20:$G$204,"&lt;&gt;",$H$20:$H$204,"&lt;&gt;"),"",(SUMIFS($K$20:$K$204,$B$20:$B$204,$B19,$C$20:$C$204,"Activity")+SUMIFS($K$20:$K$204,$B$20:$B$204,$B19,$C$20:$C$204,"Variation"))/(COUNTIFS($B$20:$B$204,$B19,$C$20:$C$204,"Activity")+COUNTIFS($B$20:$B$204,$B19,$C$20:$C$204,"Variation")))),IF($C19="Milestone",IF(COUNTIFS($D$20:$D$204,$A19,$C$20:$C$204,"Activity")+COUNTIFS($D$20:$D$204,$A19,$C$20:$C$204,"Variation")=0,"",IF(COUNTIFS($D$20:$D$204,$A19,$C$20:$C$204,"Activity")+COUNTIFS($D$20:$D$204,$A19,$C$20:$C$204,"Variation")&lt;&gt;COUNTIFS($D$20:$D$204,$A19,$C$20:$C$204,"Activity",$G$20:$G$204,"&lt;&gt;",$H$20:$H$204,"&lt;&gt;")+COUNTIFS($D$20:$D$204,$A19,$C$20:$C$204,"Variation",$G$20:$G$204,"&lt;&gt;",$H$20:$H$204,"&lt;&gt;"),"",(SUMIFS($K$20:$K$204,$D$20:$D$204,$A19,$C$20:$C$204,"Activity")+SUMIFS($K$20:$K$204,$D$20:$D$204,$A19,$C$20:$C$204,"Variation"))/(COUNTIFS($D$20:$D$204,$A19,$C$20:$C$204,"Activity")+COUNTIFS($D$20:$D$204,$A19,$C$20:$C$204,"Variation")))),IF(OR($C19="Activity",$C19="Variation"),IF(OR($G19="",$H19=""),"",IF($H19&lt;$G19,"",IF($H19=$G19,--(TODAY()&gt;=$H19),MAX(0,MIN(1,(TODAY()-$G19)/($H19-$G19)))))),""))))</x:f>
        <x:v>0.1590909090909091</x:v>
      </x:c>
      <x:c r="L19" s="7" t="n">
        <x:f t="shared" si="0">IF($B19="","",IF($C19="Initiative",IF(COUNTIFS($B$5:$B$204,$B19,$C$5:$C$204,"Activity")+COUNTIFS($B$5:$B$204,$B19,$C$5:$C$204,"Variation")=0,"",IF(COUNTIFS($B$5:$B$204,$B19,$C$5:$C$204,"Activity")+COUNTIFS($B$5:$B$204,$B19,$C$5:$C$204,"Variation")&lt;&gt;COUNTIFS($B$5:$B$204,$B19,$C$5:$C$204,"Activity",$J$5:$J$204,"&lt;&gt;",$J$5:$J$204,"&gt;=0",$J$5:$J$204,"&lt;=1")+COUNTIFS($B$5:$B$204,$B19,$C$5:$C$204,"Variation",$J$5:$J$204,"&lt;&gt;",$J$5:$J$204,"&gt;=0",$J$5:$J$204,"&lt;=1"),"",(SUMIFS($J$5:$J$204,$B$5:$B$204,$B19,$C$5:$C$204,"Activity")+SUMIFS($J$5:$J$204,$B$5:$B$204,$B19,$C$5:$C$204,"Variation"))/(COUNTIFS($B$5:$B$204,$B19,$C$5:$C$204,"Activity")+COUNTIFS($B$5:$B$204,$B19,$C$5:$C$204,"Variation")))),IF($C19="Milestone",IF(COUNTIFS($D$5:$D$204,$A19,$C$5:$C$204,"Activity")+COUNTIFS($D$5:$D$204,$A19,$C$5:$C$204,"Variation")=0,"",IF(COUNTIFS($D$5:$D$204,$A19,$C$5:$C$204,"Activity")+COUNTIFS($D$5:$D$204,$A19,$C$5:$C$204,"Variation")&lt;&gt;COUNTIFS($D$5:$D$204,$A19,$C$5:$C$204,"Activity",$J$5:$J$204,"&lt;&gt;",$J$5:$J$204,"&gt;=0",$J$5:$J$204,"&lt;=1")+COUNTIFS($D$5:$D$204,$A19,$C$5:$C$204,"Variation",$J$5:$J$204,"&lt;&gt;",$J$5:$J$204,"&gt;=0",$J$5:$J$204,"&lt;=1"),"",(SUMIFS($J$5:$J$204,$D$5:$D$204,$A19,$C$5:$C$204,"Activity")+SUMIFS($J$5:$J$204,$D$5:$D$204,$A19,$C$5:$C$204,"Variation"))/(COUNTIFS($D$5:$D$204,$A19,$C$5:$C$204,"Activity")+COUNTIFS($D$5:$D$204,$A19,$C$5:$C$204,"Variation")))),IF(OR($C19="Activity",$C19="Variation"),IF(AND(ISNUMBER($J19),$J19&gt;=0,$J19&lt;=1),$J19,""),""))))</x:f>
        <x:v>0.7</x:v>
      </x:c>
      <x:c r="M19" s="7" t="n">
        <x:f t="shared" ca="1" si="1">IF(OR($K19="",$L19=""),"",$L19-$K19)</x:f>
        <x:v>0.5409090909090909</x:v>
      </x:c>
      <x:c r="N19" s="6" t="str">
        <x:f ca="1">IF(OR($B19="",$I19="",$L19=""),"",IF(AND($L19&lt;1,$I19&lt;TODAY()),"Late",IF(AND($H19&lt;&gt;"",$I19&gt;$H19),"Forecast Slip","On Plan")))</x:f>
        <x:v>On Plan</x:v>
      </x:c>
      <x:c r="O19" s="19"/>
      <x:c r="P19" s="6" t="str">
        <x:f t="shared" si="2">IF($B19="","",IF($A19="","Enter item ID",IF(COUNTIF($A$5:$A$204,$A19)&gt;1,"Duplicate item ID",IF($C19="Initiative",IF($D19&lt;&gt;"","Parent must be blank",IF(COUNTIFS($B$5:$B$204,$B19,$C$5:$C$204,"Initiative")&lt;&gt;1,"One Initiative row required",IF(COUNTIFS($D$5:$D$204,$A19,$C$5:$C$204,"Milestone")=0,"Add milestone","OK"))),IF($C19="Milestone",IF(COUNTIFS($A$5:$A$204,$D19,$B$5:$B$204,$B19,$C$5:$C$204,"Initiative")&lt;&gt;1,"Parent must be Initiative",IF(COUNTIFS($D$5:$D$204,$A19,$C$5:$C$204,"Activity")+COUNTIFS($D$5:$D$204,$A19,$C$5:$C$204,"Variation")=0,"Add activity or variation","OK")),IF(OR($C19="Activity",$C19="Variation"),IF(COUNTIFS($A$5:$A$204,$D19,$B$5:$B$204,$B19,$C$5:$C$204,"Milestone")&lt;&gt;1,"Parent must be Milestone",IF(OR($G19="",$H19=""),"Enter baseline dates",IF($H19&lt;$G19,"Baseline finish before start",IF($I19="","Enter forecast finish",IF(COUNT($J19)=0,"Enter actual %",IF(OR(NOT(ISNUMBER($J19)),$J19&lt;0,$J19&gt;1),"Actual % must be 0–100%","OK")))))),"Select level"))))))</x:f>
        <x:v>OK</x:v>
      </x:c>
    </x:row>
    <x:row r="20" ht="38.599998474121094">
      <x:c r="A20" s="66" t="n" cm="1">
        <x:f t="array" ref="A20">IF(OR(B20="",C20=""),"",IF(C20="Initiative",COUNTIF($C$5:C20,"Initiative"),IF(C20="Milestone",IF(D20="","",D20&amp;"."&amp;COUNTIFS($D$5:D20,D20,$C$5:C20,"Milestone")),IF(OR(C20="Activity",C20="Variation"),IF(D20="","",D20&amp;"."&amp;(COUNTIFS($D$5:D20,D20,$C$5:C20,"Activity")+COUNTIFS($D$5:D20,D20,$C$5:C20,"Variation"))),""))))</x:f>
        <x:v>4</x:v>
      </x:c>
      <x:c r="B20" s="19" t="s">
        <x:v>51</x:v>
      </x:c>
      <x:c r="C20" s="19" t="s">
        <x:v>7</x:v>
      </x:c>
      <x:c r="D20" s="20"/>
      <x:c r="E20" s="21" t="s">
        <x:v>52</x:v>
      </x:c>
      <x:c r="F20" s="21" t="s">
        <x:v>54</x:v>
      </x:c>
      <x:c r="G20" s="102">
        <x:v>46146</x:v>
      </x:c>
      <x:c r="H20" s="102">
        <x:v>46477</x:v>
      </x:c>
      <x:c r="I20" s="102">
        <x:v>46477</x:v>
      </x:c>
      <x:c r="J20" s="100"/>
      <x:c r="K20" s="7" t="n">
        <x:f ca="1">IF($B20="","",IF($C20="Initiative",IF(COUNTIFS($B$21:$B$204,$B20,$C$21:$C$204,"Activity")+COUNTIFS($B$21:$B$204,$B20,$C$21:$C$204,"Variation")=0,"",IF(COUNTIFS($B$21:$B$204,$B20,$C$21:$C$204,"Activity")+COUNTIFS($B$21:$B$204,$B20,$C$21:$C$204,"Variation")&lt;&gt;COUNTIFS($B$21:$B$204,$B20,$C$21:$C$204,"Activity",$G$21:$G$204,"&lt;&gt;",$H$21:$H$204,"&lt;&gt;")+COUNTIFS($B$21:$B$204,$B20,$C$21:$C$204,"Variation",$G$21:$G$204,"&lt;&gt;",$H$21:$H$204,"&lt;&gt;"),"",(SUMIFS($K$21:$K$204,$B$21:$B$204,$B20,$C$21:$C$204,"Activity")+SUMIFS($K$21:$K$204,$B$21:$B$204,$B20,$C$21:$C$204,"Variation"))/(COUNTIFS($B$21:$B$204,$B20,$C$21:$C$204,"Activity")+COUNTIFS($B$21:$B$204,$B20,$C$21:$C$204,"Variation")))),IF($C20="Milestone",IF(COUNTIFS($D$21:$D$204,$A20,$C$21:$C$204,"Activity")+COUNTIFS($D$21:$D$204,$A20,$C$21:$C$204,"Variation")=0,"",IF(COUNTIFS($D$21:$D$204,$A20,$C$21:$C$204,"Activity")+COUNTIFS($D$21:$D$204,$A20,$C$21:$C$204,"Variation")&lt;&gt;COUNTIFS($D$21:$D$204,$A20,$C$21:$C$204,"Activity",$G$21:$G$204,"&lt;&gt;",$H$21:$H$204,"&lt;&gt;")+COUNTIFS($D$21:$D$204,$A20,$C$21:$C$204,"Variation",$G$21:$G$204,"&lt;&gt;",$H$21:$H$204,"&lt;&gt;"),"",(SUMIFS($K$21:$K$204,$D$21:$D$204,$A20,$C$21:$C$204,"Activity")+SUMIFS($K$21:$K$204,$D$21:$D$204,$A20,$C$21:$C$204,"Variation"))/(COUNTIFS($D$21:$D$204,$A20,$C$21:$C$204,"Activity")+COUNTIFS($D$21:$D$204,$A20,$C$21:$C$204,"Variation")))),IF(OR($C20="Activity",$C20="Variation"),IF(OR($G20="",$H20=""),"",IF($H20&lt;$G20,"",IF($H20=$G20,--(TODAY()&gt;=$H20),MAX(0,MIN(1,(TODAY()-$G20)/($H20-$G20)))))),""))))</x:f>
        <x:v>0.40178571428571425</x:v>
      </x:c>
      <x:c r="L20" s="7" t="n">
        <x:f t="shared" si="0">IF($B20="","",IF($C20="Initiative",IF(COUNTIFS($B$5:$B$204,$B20,$C$5:$C$204,"Activity")+COUNTIFS($B$5:$B$204,$B20,$C$5:$C$204,"Variation")=0,"",IF(COUNTIFS($B$5:$B$204,$B20,$C$5:$C$204,"Activity")+COUNTIFS($B$5:$B$204,$B20,$C$5:$C$204,"Variation")&lt;&gt;COUNTIFS($B$5:$B$204,$B20,$C$5:$C$204,"Activity",$J$5:$J$204,"&lt;&gt;",$J$5:$J$204,"&gt;=0",$J$5:$J$204,"&lt;=1")+COUNTIFS($B$5:$B$204,$B20,$C$5:$C$204,"Variation",$J$5:$J$204,"&lt;&gt;",$J$5:$J$204,"&gt;=0",$J$5:$J$204,"&lt;=1"),"",(SUMIFS($J$5:$J$204,$B$5:$B$204,$B20,$C$5:$C$204,"Activity")+SUMIFS($J$5:$J$204,$B$5:$B$204,$B20,$C$5:$C$204,"Variation"))/(COUNTIFS($B$5:$B$204,$B20,$C$5:$C$204,"Activity")+COUNTIFS($B$5:$B$204,$B20,$C$5:$C$204,"Variation")))),IF($C20="Milestone",IF(COUNTIFS($D$5:$D$204,$A20,$C$5:$C$204,"Activity")+COUNTIFS($D$5:$D$204,$A20,$C$5:$C$204,"Variation")=0,"",IF(COUNTIFS($D$5:$D$204,$A20,$C$5:$C$204,"Activity")+COUNTIFS($D$5:$D$204,$A20,$C$5:$C$204,"Variation")&lt;&gt;COUNTIFS($D$5:$D$204,$A20,$C$5:$C$204,"Activity",$J$5:$J$204,"&lt;&gt;",$J$5:$J$204,"&gt;=0",$J$5:$J$204,"&lt;=1")+COUNTIFS($D$5:$D$204,$A20,$C$5:$C$204,"Variation",$J$5:$J$204,"&lt;&gt;",$J$5:$J$204,"&gt;=0",$J$5:$J$204,"&lt;=1"),"",(SUMIFS($J$5:$J$204,$D$5:$D$204,$A20,$C$5:$C$204,"Activity")+SUMIFS($J$5:$J$204,$D$5:$D$204,$A20,$C$5:$C$204,"Variation"))/(COUNTIFS($D$5:$D$204,$A20,$C$5:$C$204,"Activity")+COUNTIFS($D$5:$D$204,$A20,$C$5:$C$204,"Variation")))),IF(OR($C20="Activity",$C20="Variation"),IF(AND(ISNUMBER($J20),$J20&gt;=0,$J20&lt;=1),$J20,""),""))))</x:f>
        <x:v>0.35000000000000003</x:v>
      </x:c>
      <x:c r="M20" s="7" t="n">
        <x:f t="shared" ca="1" si="1">IF(OR($K20="",$L20=""),"",$L20-$K20)</x:f>
        <x:v>-0.05178571428571421</x:v>
      </x:c>
      <x:c r="N20" s="6" t="str">
        <x:f ca="1">IF(OR($B20="",$I20="",$L20=""),"",IF(AND($L20&lt;1,$I20&lt;TODAY()),"Late",IF(AND($H20&lt;&gt;"",$I20&gt;$H20),"Forecast Slip","On Plan")))</x:f>
        <x:v>On Plan</x:v>
      </x:c>
      <x:c r="O20" s="19" t="s">
        <x:v>110</x:v>
      </x:c>
      <x:c r="P20" s="6" t="str">
        <x:f t="shared" si="2">IF($B20="","",IF($A20="","Enter item ID",IF(COUNTIF($A$5:$A$204,$A20)&gt;1,"Duplicate item ID",IF($C20="Initiative",IF($D20&lt;&gt;"","Parent must be blank",IF(COUNTIFS($B$5:$B$204,$B20,$C$5:$C$204,"Initiative")&lt;&gt;1,"One Initiative row required",IF(COUNTIFS($D$5:$D$204,$A20,$C$5:$C$204,"Milestone")=0,"Add milestone","OK"))),IF($C20="Milestone",IF(COUNTIFS($A$5:$A$204,$D20,$B$5:$B$204,$B20,$C$5:$C$204,"Initiative")&lt;&gt;1,"Parent must be Initiative",IF(COUNTIFS($D$5:$D$204,$A20,$C$5:$C$204,"Activity")+COUNTIFS($D$5:$D$204,$A20,$C$5:$C$204,"Variation")=0,"Add activity or variation","OK")),IF(OR($C20="Activity",$C20="Variation"),IF(COUNTIFS($A$5:$A$204,$D20,$B$5:$B$204,$B20,$C$5:$C$204,"Milestone")&lt;&gt;1,"Parent must be Milestone",IF(OR($G20="",$H20=""),"Enter baseline dates",IF($H20&lt;$G20,"Baseline finish before start",IF($I20="","Enter forecast finish",IF(COUNT($J20)=0,"Enter actual %",IF(OR(NOT(ISNUMBER($J20)),$J20&lt;0,$J20&gt;1),"Actual % must be 0–100%","OK")))))),"Select level"))))))</x:f>
        <x:v>OK</x:v>
      </x:c>
    </x:row>
    <x:row r="21" ht="38.599998474121094">
      <x:c r="A21" s="66" t="str" cm="1">
        <x:f t="array" ref="A21">IF(OR(B21="",C21=""),"",IF(C21="Initiative",COUNTIF($C$5:C21,"Initiative"),IF(C21="Milestone",IF(D21="","",D21&amp;"."&amp;COUNTIFS($D$5:D21,D21,$C$5:C21,"Milestone")),IF(OR(C21="Activity",C21="Variation"),IF(D21="","",D21&amp;"."&amp;(COUNTIFS($D$5:D21,D21,$C$5:C21,"Activity")+COUNTIFS($D$5:D21,D21,$C$5:C21,"Variation"))),""))))</x:f>
        <x:v>4.1</x:v>
      </x:c>
      <x:c r="B21" s="19" t="s">
        <x:v>51</x:v>
      </x:c>
      <x:c r="C21" s="19" t="s">
        <x:v>97</x:v>
      </x:c>
      <x:c r="D21" s="20">
        <x:v>4</x:v>
      </x:c>
      <x:c r="E21" s="21" t="s">
        <x:v>98</x:v>
      </x:c>
      <x:c r="F21" s="21" t="s">
        <x:v>54</x:v>
      </x:c>
      <x:c r="G21" s="102">
        <x:v>46146</x:v>
      </x:c>
      <x:c r="H21" s="102">
        <x:v>46477</x:v>
      </x:c>
      <x:c r="I21" s="102">
        <x:v>46477</x:v>
      </x:c>
      <x:c r="J21" s="100"/>
      <x:c r="K21" s="7" t="n">
        <x:f ca="1">IF($B21="","",IF($C21="Initiative",IF(COUNTIFS($B$22:$B$204,$B21,$C$22:$C$204,"Activity")+COUNTIFS($B$22:$B$204,$B21,$C$22:$C$204,"Variation")=0,"",IF(COUNTIFS($B$22:$B$204,$B21,$C$22:$C$204,"Activity")+COUNTIFS($B$22:$B$204,$B21,$C$22:$C$204,"Variation")&lt;&gt;COUNTIFS($B$22:$B$204,$B21,$C$22:$C$204,"Activity",$G$22:$G$204,"&lt;&gt;",$H$22:$H$204,"&lt;&gt;")+COUNTIFS($B$22:$B$204,$B21,$C$22:$C$204,"Variation",$G$22:$G$204,"&lt;&gt;",$H$22:$H$204,"&lt;&gt;"),"",(SUMIFS($K$22:$K$204,$B$22:$B$204,$B21,$C$22:$C$204,"Activity")+SUMIFS($K$22:$K$204,$B$22:$B$204,$B21,$C$22:$C$204,"Variation"))/(COUNTIFS($B$22:$B$204,$B21,$C$22:$C$204,"Activity")+COUNTIFS($B$22:$B$204,$B21,$C$22:$C$204,"Variation")))),IF($C21="Milestone",IF(COUNTIFS($D$22:$D$204,$A21,$C$22:$C$204,"Activity")+COUNTIFS($D$22:$D$204,$A21,$C$22:$C$204,"Variation")=0,"",IF(COUNTIFS($D$22:$D$204,$A21,$C$22:$C$204,"Activity")+COUNTIFS($D$22:$D$204,$A21,$C$22:$C$204,"Variation")&lt;&gt;COUNTIFS($D$22:$D$204,$A21,$C$22:$C$204,"Activity",$G$22:$G$204,"&lt;&gt;",$H$22:$H$204,"&lt;&gt;")+COUNTIFS($D$22:$D$204,$A21,$C$22:$C$204,"Variation",$G$22:$G$204,"&lt;&gt;",$H$22:$H$204,"&lt;&gt;"),"",(SUMIFS($K$22:$K$204,$D$22:$D$204,$A21,$C$22:$C$204,"Activity")+SUMIFS($K$22:$K$204,$D$22:$D$204,$A21,$C$22:$C$204,"Variation"))/(COUNTIFS($D$22:$D$204,$A21,$C$22:$C$204,"Activity")+COUNTIFS($D$22:$D$204,$A21,$C$22:$C$204,"Variation")))),IF(OR($C21="Activity",$C21="Variation"),IF(OR($G21="",$H21=""),"",IF($H21&lt;$G21,"",IF($H21=$G21,--(TODAY()&gt;=$H21),MAX(0,MIN(1,(TODAY()-$G21)/($H21-$G21)))))),""))))</x:f>
        <x:v>0.40178571428571425</x:v>
      </x:c>
      <x:c r="L21" s="7" t="n">
        <x:f t="shared" si="0">IF($B21="","",IF($C21="Initiative",IF(COUNTIFS($B$5:$B$204,$B21,$C$5:$C$204,"Activity")+COUNTIFS($B$5:$B$204,$B21,$C$5:$C$204,"Variation")=0,"",IF(COUNTIFS($B$5:$B$204,$B21,$C$5:$C$204,"Activity")+COUNTIFS($B$5:$B$204,$B21,$C$5:$C$204,"Variation")&lt;&gt;COUNTIFS($B$5:$B$204,$B21,$C$5:$C$204,"Activity",$J$5:$J$204,"&lt;&gt;",$J$5:$J$204,"&gt;=0",$J$5:$J$204,"&lt;=1")+COUNTIFS($B$5:$B$204,$B21,$C$5:$C$204,"Variation",$J$5:$J$204,"&lt;&gt;",$J$5:$J$204,"&gt;=0",$J$5:$J$204,"&lt;=1"),"",(SUMIFS($J$5:$J$204,$B$5:$B$204,$B21,$C$5:$C$204,"Activity")+SUMIFS($J$5:$J$204,$B$5:$B$204,$B21,$C$5:$C$204,"Variation"))/(COUNTIFS($B$5:$B$204,$B21,$C$5:$C$204,"Activity")+COUNTIFS($B$5:$B$204,$B21,$C$5:$C$204,"Variation")))),IF($C21="Milestone",IF(COUNTIFS($D$5:$D$204,$A21,$C$5:$C$204,"Activity")+COUNTIFS($D$5:$D$204,$A21,$C$5:$C$204,"Variation")=0,"",IF(COUNTIFS($D$5:$D$204,$A21,$C$5:$C$204,"Activity")+COUNTIFS($D$5:$D$204,$A21,$C$5:$C$204,"Variation")&lt;&gt;COUNTIFS($D$5:$D$204,$A21,$C$5:$C$204,"Activity",$J$5:$J$204,"&lt;&gt;",$J$5:$J$204,"&gt;=0",$J$5:$J$204,"&lt;=1")+COUNTIFS($D$5:$D$204,$A21,$C$5:$C$204,"Variation",$J$5:$J$204,"&lt;&gt;",$J$5:$J$204,"&gt;=0",$J$5:$J$204,"&lt;=1"),"",(SUMIFS($J$5:$J$204,$D$5:$D$204,$A21,$C$5:$C$204,"Activity")+SUMIFS($J$5:$J$204,$D$5:$D$204,$A21,$C$5:$C$204,"Variation"))/(COUNTIFS($D$5:$D$204,$A21,$C$5:$C$204,"Activity")+COUNTIFS($D$5:$D$204,$A21,$C$5:$C$204,"Variation")))),IF(OR($C21="Activity",$C21="Variation"),IF(AND(ISNUMBER($J21),$J21&gt;=0,$J21&lt;=1),$J21,""),""))))</x:f>
        <x:v>0.35000000000000003</x:v>
      </x:c>
      <x:c r="M21" s="7" t="n">
        <x:f t="shared" ca="1" si="1">IF(OR($K21="",$L21=""),"",$L21-$K21)</x:f>
        <x:v>-0.05178571428571421</x:v>
      </x:c>
      <x:c r="N21" s="6" t="str">
        <x:f ca="1">IF(OR($B21="",$I21="",$L21=""),"",IF(AND($L21&lt;1,$I21&lt;TODAY()),"Late",IF(AND($H21&lt;&gt;"",$I21&gt;$H21),"Forecast Slip","On Plan")))</x:f>
        <x:v>On Plan</x:v>
      </x:c>
      <x:c r="O21" s="19" t="s">
        <x:v>110</x:v>
      </x:c>
      <x:c r="P21" s="6" t="str">
        <x:f t="shared" si="2">IF($B21="","",IF($A21="","Enter item ID",IF(COUNTIF($A$5:$A$204,$A21)&gt;1,"Duplicate item ID",IF($C21="Initiative",IF($D21&lt;&gt;"","Parent must be blank",IF(COUNTIFS($B$5:$B$204,$B21,$C$5:$C$204,"Initiative")&lt;&gt;1,"One Initiative row required",IF(COUNTIFS($D$5:$D$204,$A21,$C$5:$C$204,"Milestone")=0,"Add milestone","OK"))),IF($C21="Milestone",IF(COUNTIFS($A$5:$A$204,$D21,$B$5:$B$204,$B21,$C$5:$C$204,"Initiative")&lt;&gt;1,"Parent must be Initiative",IF(COUNTIFS($D$5:$D$204,$A21,$C$5:$C$204,"Activity")+COUNTIFS($D$5:$D$204,$A21,$C$5:$C$204,"Variation")=0,"Add activity or variation","OK")),IF(OR($C21="Activity",$C21="Variation"),IF(COUNTIFS($A$5:$A$204,$D21,$B$5:$B$204,$B21,$C$5:$C$204,"Milestone")&lt;&gt;1,"Parent must be Milestone",IF(OR($G21="",$H21=""),"Enter baseline dates",IF($H21&lt;$G21,"Baseline finish before start",IF($I21="","Enter forecast finish",IF(COUNT($J21)=0,"Enter actual %",IF(OR(NOT(ISNUMBER($J21)),$J21&lt;0,$J21&gt;1),"Actual % must be 0–100%","OK")))))),"Select level"))))))</x:f>
        <x:v>OK</x:v>
      </x:c>
    </x:row>
    <x:row r="22">
      <x:c r="A22" s="66" t="str" cm="1">
        <x:f t="array" ref="A22">IF(OR(B22="",C22=""),"",IF(C22="Initiative",COUNTIF($C$5:C22,"Initiative"),IF(C22="Milestone",IF(D22="","",D22&amp;"."&amp;COUNTIFS($D$5:D22,D22,$C$5:C22,"Milestone")),IF(OR(C22="Activity",C22="Variation"),IF(D22="","",D22&amp;"."&amp;(COUNTIFS($D$5:D22,D22,$C$5:C22,"Activity")+COUNTIFS($D$5:D22,D22,$C$5:C22,"Variation"))),""))))</x:f>
        <x:v>4.1.1</x:v>
      </x:c>
      <x:c r="B22" s="19" t="s">
        <x:v>51</x:v>
      </x:c>
      <x:c r="C22" s="19" t="s">
        <x:v>99</x:v>
      </x:c>
      <x:c r="D22" s="20">
        <x:v>4.0999999999999996</x:v>
      </x:c>
      <x:c r="E22" s="21" t="s">
        <x:v>111</x:v>
      </x:c>
      <x:c r="F22" s="21" t="s">
        <x:v>54</x:v>
      </x:c>
      <x:c r="G22" s="102">
        <x:v>46146</x:v>
      </x:c>
      <x:c r="H22" s="102">
        <x:v>46255</x:v>
      </x:c>
      <x:c r="I22" s="102">
        <x:v>46255</x:v>
      </x:c>
      <x:c r="J22" s="100">
        <x:v>0.45</x:v>
      </x:c>
      <x:c r="K22" s="7" t="n">
        <x:f ca="1">IF($B22="","",IF($C22="Initiative",IF(COUNTIFS($B$23:$B$204,$B22,$C$23:$C$204,"Activity")+COUNTIFS($B$23:$B$204,$B22,$C$23:$C$204,"Variation")=0,"",IF(COUNTIFS($B$23:$B$204,$B22,$C$23:$C$204,"Activity")+COUNTIFS($B$23:$B$204,$B22,$C$23:$C$204,"Variation")&lt;&gt;COUNTIFS($B$23:$B$204,$B22,$C$23:$C$204,"Activity",$G$23:$G$204,"&lt;&gt;",$H$23:$H$204,"&lt;&gt;")+COUNTIFS($B$23:$B$204,$B22,$C$23:$C$204,"Variation",$G$23:$G$204,"&lt;&gt;",$H$23:$H$204,"&lt;&gt;"),"",(SUMIFS($K$23:$K$204,$B$23:$B$204,$B22,$C$23:$C$204,"Activity")+SUMIFS($K$23:$K$204,$B$23:$B$204,$B22,$C$23:$C$204,"Variation"))/(COUNTIFS($B$23:$B$204,$B22,$C$23:$C$204,"Activity")+COUNTIFS($B$23:$B$204,$B22,$C$23:$C$204,"Variation")))),IF($C22="Milestone",IF(COUNTIFS($D$23:$D$204,$A22,$C$23:$C$204,"Activity")+COUNTIFS($D$23:$D$204,$A22,$C$23:$C$204,"Variation")=0,"",IF(COUNTIFS($D$23:$D$204,$A22,$C$23:$C$204,"Activity")+COUNTIFS($D$23:$D$204,$A22,$C$23:$C$204,"Variation")&lt;&gt;COUNTIFS($D$23:$D$204,$A22,$C$23:$C$204,"Activity",$G$23:$G$204,"&lt;&gt;",$H$23:$H$204,"&lt;&gt;")+COUNTIFS($D$23:$D$204,$A22,$C$23:$C$204,"Variation",$G$23:$G$204,"&lt;&gt;",$H$23:$H$204,"&lt;&gt;"),"",(SUMIFS($K$23:$K$204,$D$23:$D$204,$A22,$C$23:$C$204,"Activity")+SUMIFS($K$23:$K$204,$D$23:$D$204,$A22,$C$23:$C$204,"Variation"))/(COUNTIFS($D$23:$D$204,$A22,$C$23:$C$204,"Activity")+COUNTIFS($D$23:$D$204,$A22,$C$23:$C$204,"Variation")))),IF(OR($C22="Activity",$C22="Variation"),IF(OR($G22="",$H22=""),"",IF($H22&lt;$G22,"",IF($H22=$G22,--(TODAY()&gt;=$H22),MAX(0,MIN(1,(TODAY()-$G22)/($H22-$G22)))))),""))))</x:f>
        <x:v>1</x:v>
      </x:c>
      <x:c r="L22" s="7" t="n">
        <x:f t="shared" si="0">IF($B22="","",IF($C22="Initiative",IF(COUNTIFS($B$5:$B$204,$B22,$C$5:$C$204,"Activity")+COUNTIFS($B$5:$B$204,$B22,$C$5:$C$204,"Variation")=0,"",IF(COUNTIFS($B$5:$B$204,$B22,$C$5:$C$204,"Activity")+COUNTIFS($B$5:$B$204,$B22,$C$5:$C$204,"Variation")&lt;&gt;COUNTIFS($B$5:$B$204,$B22,$C$5:$C$204,"Activity",$J$5:$J$204,"&lt;&gt;",$J$5:$J$204,"&gt;=0",$J$5:$J$204,"&lt;=1")+COUNTIFS($B$5:$B$204,$B22,$C$5:$C$204,"Variation",$J$5:$J$204,"&lt;&gt;",$J$5:$J$204,"&gt;=0",$J$5:$J$204,"&lt;=1"),"",(SUMIFS($J$5:$J$204,$B$5:$B$204,$B22,$C$5:$C$204,"Activity")+SUMIFS($J$5:$J$204,$B$5:$B$204,$B22,$C$5:$C$204,"Variation"))/(COUNTIFS($B$5:$B$204,$B22,$C$5:$C$204,"Activity")+COUNTIFS($B$5:$B$204,$B22,$C$5:$C$204,"Variation")))),IF($C22="Milestone",IF(COUNTIFS($D$5:$D$204,$A22,$C$5:$C$204,"Activity")+COUNTIFS($D$5:$D$204,$A22,$C$5:$C$204,"Variation")=0,"",IF(COUNTIFS($D$5:$D$204,$A22,$C$5:$C$204,"Activity")+COUNTIFS($D$5:$D$204,$A22,$C$5:$C$204,"Variation")&lt;&gt;COUNTIFS($D$5:$D$204,$A22,$C$5:$C$204,"Activity",$J$5:$J$204,"&lt;&gt;",$J$5:$J$204,"&gt;=0",$J$5:$J$204,"&lt;=1")+COUNTIFS($D$5:$D$204,$A22,$C$5:$C$204,"Variation",$J$5:$J$204,"&lt;&gt;",$J$5:$J$204,"&gt;=0",$J$5:$J$204,"&lt;=1"),"",(SUMIFS($J$5:$J$204,$D$5:$D$204,$A22,$C$5:$C$204,"Activity")+SUMIFS($J$5:$J$204,$D$5:$D$204,$A22,$C$5:$C$204,"Variation"))/(COUNTIFS($D$5:$D$204,$A22,$C$5:$C$204,"Activity")+COUNTIFS($D$5:$D$204,$A22,$C$5:$C$204,"Variation")))),IF(OR($C22="Activity",$C22="Variation"),IF(AND(ISNUMBER($J22),$J22&gt;=0,$J22&lt;=1),$J22,""),""))))</x:f>
        <x:v>0.45</x:v>
      </x:c>
      <x:c r="M22" s="7" t="n">
        <x:f t="shared" ca="1" si="1">IF(OR($K22="",$L22=""),"",$L22-$K22)</x:f>
        <x:v>-0.55</x:v>
      </x:c>
      <x:c r="N22" s="6" t="str">
        <x:f ca="1">IF(OR($B22="",$I22="",$L22=""),"",IF(AND($L22&lt;1,$I22&lt;TODAY()),"Late",IF(AND($H22&lt;&gt;"",$I22&gt;$H22),"Forecast Slip","On Plan")))</x:f>
        <x:v>Late</x:v>
      </x:c>
      <x:c r="O22" s="19"/>
      <x:c r="P22" s="6" t="str">
        <x:f t="shared" si="2">IF($B22="","",IF($A22="","Enter item ID",IF(COUNTIF($A$5:$A$204,$A22)&gt;1,"Duplicate item ID",IF($C22="Initiative",IF($D22&lt;&gt;"","Parent must be blank",IF(COUNTIFS($B$5:$B$204,$B22,$C$5:$C$204,"Initiative")&lt;&gt;1,"One Initiative row required",IF(COUNTIFS($D$5:$D$204,$A22,$C$5:$C$204,"Milestone")=0,"Add milestone","OK"))),IF($C22="Milestone",IF(COUNTIFS($A$5:$A$204,$D22,$B$5:$B$204,$B22,$C$5:$C$204,"Initiative")&lt;&gt;1,"Parent must be Initiative",IF(COUNTIFS($D$5:$D$204,$A22,$C$5:$C$204,"Activity")+COUNTIFS($D$5:$D$204,$A22,$C$5:$C$204,"Variation")=0,"Add activity or variation","OK")),IF(OR($C22="Activity",$C22="Variation"),IF(COUNTIFS($A$5:$A$204,$D22,$B$5:$B$204,$B22,$C$5:$C$204,"Milestone")&lt;&gt;1,"Parent must be Milestone",IF(OR($G22="",$H22=""),"Enter baseline dates",IF($H22&lt;$G22,"Baseline finish before start",IF($I22="","Enter forecast finish",IF(COUNT($J22)=0,"Enter actual %",IF(OR(NOT(ISNUMBER($J22)),$J22&lt;0,$J22&gt;1),"Actual % must be 0–100%","OK")))))),"Select level"))))))</x:f>
        <x:v>OK</x:v>
      </x:c>
    </x:row>
    <x:row r="23" ht="38.599998474121094">
      <x:c r="A23" s="66" t="str" cm="1">
        <x:f t="array" ref="A23">IF(OR(B23="",C23=""),"",IF(C23="Initiative",COUNTIF($C$5:C23,"Initiative"),IF(C23="Milestone",IF(D23="","",D23&amp;"."&amp;COUNTIFS($D$5:D23,D23,$C$5:C23,"Milestone")),IF(OR(C23="Activity",C23="Variation"),IF(D23="","",D23&amp;"."&amp;(COUNTIFS($D$5:D23,D23,$C$5:C23,"Activity")+COUNTIFS($D$5:D23,D23,$C$5:C23,"Variation"))),""))))</x:f>
        <x:v>4.1.2</x:v>
      </x:c>
      <x:c r="B23" s="19" t="s">
        <x:v>51</x:v>
      </x:c>
      <x:c r="C23" s="19" t="s">
        <x:v>99</x:v>
      </x:c>
      <x:c r="D23" s="20">
        <x:v>4.0999999999999996</x:v>
      </x:c>
      <x:c r="E23" s="21" t="s">
        <x:v>112</x:v>
      </x:c>
      <x:c r="F23" s="21" t="s">
        <x:v>54</x:v>
      </x:c>
      <x:c r="G23" s="102">
        <x:v>46256</x:v>
      </x:c>
      <x:c r="H23" s="102">
        <x:v>46368</x:v>
      </x:c>
      <x:c r="I23" s="102">
        <x:v>46368</x:v>
      </x:c>
      <x:c r="J23" s="100">
        <x:v>0.35</x:v>
      </x:c>
      <x:c r="K23" s="7" t="n">
        <x:f ca="1">IF($B23="","",IF($C23="Initiative",IF(COUNTIFS($B$24:$B$204,$B23,$C$24:$C$204,"Activity")+COUNTIFS($B$24:$B$204,$B23,$C$24:$C$204,"Variation")=0,"",IF(COUNTIFS($B$24:$B$204,$B23,$C$24:$C$204,"Activity")+COUNTIFS($B$24:$B$204,$B23,$C$24:$C$204,"Variation")&lt;&gt;COUNTIFS($B$24:$B$204,$B23,$C$24:$C$204,"Activity",$G$24:$G$204,"&lt;&gt;",$H$24:$H$204,"&lt;&gt;")+COUNTIFS($B$24:$B$204,$B23,$C$24:$C$204,"Variation",$G$24:$G$204,"&lt;&gt;",$H$24:$H$204,"&lt;&gt;"),"",(SUMIFS($K$24:$K$204,$B$24:$B$204,$B23,$C$24:$C$204,"Activity")+SUMIFS($K$24:$K$204,$B$24:$B$204,$B23,$C$24:$C$204,"Variation"))/(COUNTIFS($B$24:$B$204,$B23,$C$24:$C$204,"Activity")+COUNTIFS($B$24:$B$204,$B23,$C$24:$C$204,"Variation")))),IF($C23="Milestone",IF(COUNTIFS($D$24:$D$204,$A23,$C$24:$C$204,"Activity")+COUNTIFS($D$24:$D$204,$A23,$C$24:$C$204,"Variation")=0,"",IF(COUNTIFS($D$24:$D$204,$A23,$C$24:$C$204,"Activity")+COUNTIFS($D$24:$D$204,$A23,$C$24:$C$204,"Variation")&lt;&gt;COUNTIFS($D$24:$D$204,$A23,$C$24:$C$204,"Activity",$G$24:$G$204,"&lt;&gt;",$H$24:$H$204,"&lt;&gt;")+COUNTIFS($D$24:$D$204,$A23,$C$24:$C$204,"Variation",$G$24:$G$204,"&lt;&gt;",$H$24:$H$204,"&lt;&gt;"),"",(SUMIFS($K$24:$K$204,$D$24:$D$204,$A23,$C$24:$C$204,"Activity")+SUMIFS($K$24:$K$204,$D$24:$D$204,$A23,$C$24:$C$204,"Variation"))/(COUNTIFS($D$24:$D$204,$A23,$C$24:$C$204,"Activity")+COUNTIFS($D$24:$D$204,$A23,$C$24:$C$204,"Variation")))),IF(OR($C23="Activity",$C23="Variation"),IF(OR($G23="",$H23=""),"",IF($H23&lt;$G23,"",IF($H23=$G23,--(TODAY()&gt;=$H23),MAX(0,MIN(1,(TODAY()-$G23)/($H23-$G23)))))),""))))</x:f>
        <x:v>0.20535714285714285</x:v>
      </x:c>
      <x:c r="L23" s="7" t="n">
        <x:f t="shared" si="0">IF($B23="","",IF($C23="Initiative",IF(COUNTIFS($B$5:$B$204,$B23,$C$5:$C$204,"Activity")+COUNTIFS($B$5:$B$204,$B23,$C$5:$C$204,"Variation")=0,"",IF(COUNTIFS($B$5:$B$204,$B23,$C$5:$C$204,"Activity")+COUNTIFS($B$5:$B$204,$B23,$C$5:$C$204,"Variation")&lt;&gt;COUNTIFS($B$5:$B$204,$B23,$C$5:$C$204,"Activity",$J$5:$J$204,"&lt;&gt;",$J$5:$J$204,"&gt;=0",$J$5:$J$204,"&lt;=1")+COUNTIFS($B$5:$B$204,$B23,$C$5:$C$204,"Variation",$J$5:$J$204,"&lt;&gt;",$J$5:$J$204,"&gt;=0",$J$5:$J$204,"&lt;=1"),"",(SUMIFS($J$5:$J$204,$B$5:$B$204,$B23,$C$5:$C$204,"Activity")+SUMIFS($J$5:$J$204,$B$5:$B$204,$B23,$C$5:$C$204,"Variation"))/(COUNTIFS($B$5:$B$204,$B23,$C$5:$C$204,"Activity")+COUNTIFS($B$5:$B$204,$B23,$C$5:$C$204,"Variation")))),IF($C23="Milestone",IF(COUNTIFS($D$5:$D$204,$A23,$C$5:$C$204,"Activity")+COUNTIFS($D$5:$D$204,$A23,$C$5:$C$204,"Variation")=0,"",IF(COUNTIFS($D$5:$D$204,$A23,$C$5:$C$204,"Activity")+COUNTIFS($D$5:$D$204,$A23,$C$5:$C$204,"Variation")&lt;&gt;COUNTIFS($D$5:$D$204,$A23,$C$5:$C$204,"Activity",$J$5:$J$204,"&lt;&gt;",$J$5:$J$204,"&gt;=0",$J$5:$J$204,"&lt;=1")+COUNTIFS($D$5:$D$204,$A23,$C$5:$C$204,"Variation",$J$5:$J$204,"&lt;&gt;",$J$5:$J$204,"&gt;=0",$J$5:$J$204,"&lt;=1"),"",(SUMIFS($J$5:$J$204,$D$5:$D$204,$A23,$C$5:$C$204,"Activity")+SUMIFS($J$5:$J$204,$D$5:$D$204,$A23,$C$5:$C$204,"Variation"))/(COUNTIFS($D$5:$D$204,$A23,$C$5:$C$204,"Activity")+COUNTIFS($D$5:$D$204,$A23,$C$5:$C$204,"Variation")))),IF(OR($C23="Activity",$C23="Variation"),IF(AND(ISNUMBER($J23),$J23&gt;=0,$J23&lt;=1),$J23,""),""))))</x:f>
        <x:v>0.35</x:v>
      </x:c>
      <x:c r="M23" s="7" t="n">
        <x:f t="shared" ca="1" si="1">IF(OR($K23="",$L23=""),"",$L23-$K23)</x:f>
        <x:v>0.14464285714285713</x:v>
      </x:c>
      <x:c r="N23" s="6" t="str">
        <x:f ca="1">IF(OR($B23="",$I23="",$L23=""),"",IF(AND($L23&lt;1,$I23&lt;TODAY()),"Late",IF(AND($H23&lt;&gt;"",$I23&gt;$H23),"Forecast Slip","On Plan")))</x:f>
        <x:v>On Plan</x:v>
      </x:c>
      <x:c r="O23" s="19" t="s">
        <x:v>110</x:v>
      </x:c>
      <x:c r="P23" s="6" t="str">
        <x:f t="shared" si="2">IF($B23="","",IF($A23="","Enter item ID",IF(COUNTIF($A$5:$A$204,$A23)&gt;1,"Duplicate item ID",IF($C23="Initiative",IF($D23&lt;&gt;"","Parent must be blank",IF(COUNTIFS($B$5:$B$204,$B23,$C$5:$C$204,"Initiative")&lt;&gt;1,"One Initiative row required",IF(COUNTIFS($D$5:$D$204,$A23,$C$5:$C$204,"Milestone")=0,"Add milestone","OK"))),IF($C23="Milestone",IF(COUNTIFS($A$5:$A$204,$D23,$B$5:$B$204,$B23,$C$5:$C$204,"Initiative")&lt;&gt;1,"Parent must be Initiative",IF(COUNTIFS($D$5:$D$204,$A23,$C$5:$C$204,"Activity")+COUNTIFS($D$5:$D$204,$A23,$C$5:$C$204,"Variation")=0,"Add activity or variation","OK")),IF(OR($C23="Activity",$C23="Variation"),IF(COUNTIFS($A$5:$A$204,$D23,$B$5:$B$204,$B23,$C$5:$C$204,"Milestone")&lt;&gt;1,"Parent must be Milestone",IF(OR($G23="",$H23=""),"Enter baseline dates",IF($H23&lt;$G23,"Baseline finish before start",IF($I23="","Enter forecast finish",IF(COUNT($J23)=0,"Enter actual %",IF(OR(NOT(ISNUMBER($J23)),$J23&lt;0,$J23&gt;1),"Actual % must be 0–100%","OK")))))),"Select level"))))))</x:f>
        <x:v>OK</x:v>
      </x:c>
    </x:row>
    <x:row r="24" ht="38.599998474121094">
      <x:c r="A24" s="66" t="str" cm="1">
        <x:f t="array" ref="A24">IF(OR(B24="",C24=""),"",IF(C24="Initiative",COUNTIF($C$5:C24,"Initiative"),IF(C24="Milestone",IF(D24="","",D24&amp;"."&amp;COUNTIFS($D$5:D24,D24,$C$5:C24,"Milestone")),IF(OR(C24="Activity",C24="Variation"),IF(D24="","",D24&amp;"."&amp;(COUNTIFS($D$5:D24,D24,$C$5:C24,"Activity")+COUNTIFS($D$5:D24,D24,$C$5:C24,"Variation"))),""))))</x:f>
        <x:v>4.1.3</x:v>
      </x:c>
      <x:c r="B24" s="19" t="s">
        <x:v>51</x:v>
      </x:c>
      <x:c r="C24" s="19" t="s">
        <x:v>99</x:v>
      </x:c>
      <x:c r="D24" s="20">
        <x:v>4.0999999999999996</x:v>
      </x:c>
      <x:c r="E24" s="21" t="s">
        <x:v>113</x:v>
      </x:c>
      <x:c r="F24" s="21" t="s">
        <x:v>54</x:v>
      </x:c>
      <x:c r="G24" s="102">
        <x:v>46369</x:v>
      </x:c>
      <x:c r="H24" s="102">
        <x:v>46477</x:v>
      </x:c>
      <x:c r="I24" s="102">
        <x:v>46477</x:v>
      </x:c>
      <x:c r="J24" s="100">
        <x:v>0.25</x:v>
      </x:c>
      <x:c r="K24" s="7" t="n">
        <x:f ca="1">IF($B24="","",IF($C24="Initiative",IF(COUNTIFS($B$25:$B$204,$B24,$C$25:$C$204,"Activity")+COUNTIFS($B$25:$B$204,$B24,$C$25:$C$204,"Variation")=0,"",IF(COUNTIFS($B$25:$B$204,$B24,$C$25:$C$204,"Activity")+COUNTIFS($B$25:$B$204,$B24,$C$25:$C$204,"Variation")&lt;&gt;COUNTIFS($B$25:$B$204,$B24,$C$25:$C$204,"Activity",$G$25:$G$204,"&lt;&gt;",$H$25:$H$204,"&lt;&gt;")+COUNTIFS($B$25:$B$204,$B24,$C$25:$C$204,"Variation",$G$25:$G$204,"&lt;&gt;",$H$25:$H$204,"&lt;&gt;"),"",(SUMIFS($K$25:$K$204,$B$25:$B$204,$B24,$C$25:$C$204,"Activity")+SUMIFS($K$25:$K$204,$B$25:$B$204,$B24,$C$25:$C$204,"Variation"))/(COUNTIFS($B$25:$B$204,$B24,$C$25:$C$204,"Activity")+COUNTIFS($B$25:$B$204,$B24,$C$25:$C$204,"Variation")))),IF($C24="Milestone",IF(COUNTIFS($D$25:$D$204,$A24,$C$25:$C$204,"Activity")+COUNTIFS($D$25:$D$204,$A24,$C$25:$C$204,"Variation")=0,"",IF(COUNTIFS($D$25:$D$204,$A24,$C$25:$C$204,"Activity")+COUNTIFS($D$25:$D$204,$A24,$C$25:$C$204,"Variation")&lt;&gt;COUNTIFS($D$25:$D$204,$A24,$C$25:$C$204,"Activity",$G$25:$G$204,"&lt;&gt;",$H$25:$H$204,"&lt;&gt;")+COUNTIFS($D$25:$D$204,$A24,$C$25:$C$204,"Variation",$G$25:$G$204,"&lt;&gt;",$H$25:$H$204,"&lt;&gt;"),"",(SUMIFS($K$25:$K$204,$D$25:$D$204,$A24,$C$25:$C$204,"Activity")+SUMIFS($K$25:$K$204,$D$25:$D$204,$A24,$C$25:$C$204,"Variation"))/(COUNTIFS($D$25:$D$204,$A24,$C$25:$C$204,"Activity")+COUNTIFS($D$25:$D$204,$A24,$C$25:$C$204,"Variation")))),IF(OR($C24="Activity",$C24="Variation"),IF(OR($G24="",$H24=""),"",IF($H24&lt;$G24,"",IF($H24=$G24,--(TODAY()&gt;=$H24),MAX(0,MIN(1,(TODAY()-$G24)/($H24-$G24)))))),""))))</x:f>
        <x:v>0</x:v>
      </x:c>
      <x:c r="L24" s="7" t="n">
        <x:f t="shared" si="0">IF($B24="","",IF($C24="Initiative",IF(COUNTIFS($B$5:$B$204,$B24,$C$5:$C$204,"Activity")+COUNTIFS($B$5:$B$204,$B24,$C$5:$C$204,"Variation")=0,"",IF(COUNTIFS($B$5:$B$204,$B24,$C$5:$C$204,"Activity")+COUNTIFS($B$5:$B$204,$B24,$C$5:$C$204,"Variation")&lt;&gt;COUNTIFS($B$5:$B$204,$B24,$C$5:$C$204,"Activity",$J$5:$J$204,"&lt;&gt;",$J$5:$J$204,"&gt;=0",$J$5:$J$204,"&lt;=1")+COUNTIFS($B$5:$B$204,$B24,$C$5:$C$204,"Variation",$J$5:$J$204,"&lt;&gt;",$J$5:$J$204,"&gt;=0",$J$5:$J$204,"&lt;=1"),"",(SUMIFS($J$5:$J$204,$B$5:$B$204,$B24,$C$5:$C$204,"Activity")+SUMIFS($J$5:$J$204,$B$5:$B$204,$B24,$C$5:$C$204,"Variation"))/(COUNTIFS($B$5:$B$204,$B24,$C$5:$C$204,"Activity")+COUNTIFS($B$5:$B$204,$B24,$C$5:$C$204,"Variation")))),IF($C24="Milestone",IF(COUNTIFS($D$5:$D$204,$A24,$C$5:$C$204,"Activity")+COUNTIFS($D$5:$D$204,$A24,$C$5:$C$204,"Variation")=0,"",IF(COUNTIFS($D$5:$D$204,$A24,$C$5:$C$204,"Activity")+COUNTIFS($D$5:$D$204,$A24,$C$5:$C$204,"Variation")&lt;&gt;COUNTIFS($D$5:$D$204,$A24,$C$5:$C$204,"Activity",$J$5:$J$204,"&lt;&gt;",$J$5:$J$204,"&gt;=0",$J$5:$J$204,"&lt;=1")+COUNTIFS($D$5:$D$204,$A24,$C$5:$C$204,"Variation",$J$5:$J$204,"&lt;&gt;",$J$5:$J$204,"&gt;=0",$J$5:$J$204,"&lt;=1"),"",(SUMIFS($J$5:$J$204,$D$5:$D$204,$A24,$C$5:$C$204,"Activity")+SUMIFS($J$5:$J$204,$D$5:$D$204,$A24,$C$5:$C$204,"Variation"))/(COUNTIFS($D$5:$D$204,$A24,$C$5:$C$204,"Activity")+COUNTIFS($D$5:$D$204,$A24,$C$5:$C$204,"Variation")))),IF(OR($C24="Activity",$C24="Variation"),IF(AND(ISNUMBER($J24),$J24&gt;=0,$J24&lt;=1),$J24,""),""))))</x:f>
        <x:v>0.25</x:v>
      </x:c>
      <x:c r="M24" s="7" t="str">
        <x:f t="shared" ca="1" si="1">IF(OR($K24="",$L24=""),"",$L24-$K24)</x:f>
      </x:c>
      <x:c r="N24" s="6" t="str">
        <x:f ca="1">IF(OR($B24="",$I24="",$L24=""),"",IF(AND($L24&lt;1,$I24&lt;TODAY()),"Late",IF(AND($H24&lt;&gt;"",$I24&gt;$H24),"Forecast Slip","On Plan")))</x:f>
        <x:v>On Plan</x:v>
      </x:c>
      <x:c r="O24" s="19" t="s">
        <x:v>110</x:v>
      </x:c>
      <x:c r="P24" s="6" t="str">
        <x:f t="shared" si="2">IF($B24="","",IF($A24="","Enter item ID",IF(COUNTIF($A$5:$A$204,$A24)&gt;1,"Duplicate item ID",IF($C24="Initiative",IF($D24&lt;&gt;"","Parent must be blank",IF(COUNTIFS($B$5:$B$204,$B24,$C$5:$C$204,"Initiative")&lt;&gt;1,"One Initiative row required",IF(COUNTIFS($D$5:$D$204,$A24,$C$5:$C$204,"Milestone")=0,"Add milestone","OK"))),IF($C24="Milestone",IF(COUNTIFS($A$5:$A$204,$D24,$B$5:$B$204,$B24,$C$5:$C$204,"Initiative")&lt;&gt;1,"Parent must be Initiative",IF(COUNTIFS($D$5:$D$204,$A24,$C$5:$C$204,"Activity")+COUNTIFS($D$5:$D$204,$A24,$C$5:$C$204,"Variation")=0,"Add activity or variation","OK")),IF(OR($C24="Activity",$C24="Variation"),IF(COUNTIFS($A$5:$A$204,$D24,$B$5:$B$204,$B24,$C$5:$C$204,"Milestone")&lt;&gt;1,"Parent must be Milestone",IF(OR($G24="",$H24=""),"Enter baseline dates",IF($H24&lt;$G24,"Baseline finish before start",IF($I24="","Enter forecast finish",IF(COUNT($J24)=0,"Enter actual %",IF(OR(NOT(ISNUMBER($J24)),$J24&lt;0,$J24&gt;1),"Actual % must be 0–100%","OK")))))),"Select level"))))))</x:f>
        <x:v>OK</x:v>
      </x:c>
    </x:row>
    <x:row r="25">
      <x:c r="A25" s="66" t="n" cm="1">
        <x:f t="array" ref="A25">IF(OR(B25="",C25=""),"",IF(C25="Initiative",COUNTIF($C$5:C25,"Initiative"),IF(C25="Milestone",IF(D25="","",D25&amp;"."&amp;COUNTIFS($D$5:D25,D25,$C$5:C25,"Milestone")),IF(OR(C25="Activity",C25="Variation"),IF(D25="","",D25&amp;"."&amp;(COUNTIFS($D$5:D25,D25,$C$5:C25,"Activity")+COUNTIFS($D$5:D25,D25,$C$5:C25,"Variation"))),""))))</x:f>
        <x:v>5</x:v>
      </x:c>
      <x:c r="B25" s="19" t="s">
        <x:v>57</x:v>
      </x:c>
      <x:c r="C25" s="19" t="s">
        <x:v>7</x:v>
      </x:c>
      <x:c r="D25" s="20"/>
      <x:c r="E25" s="21" t="s">
        <x:v>58</x:v>
      </x:c>
      <x:c r="F25" s="21" t="s">
        <x:v>36</x:v>
      </x:c>
      <x:c r="G25" s="102">
        <x:v>46034</x:v>
      </x:c>
      <x:c r="H25" s="102">
        <x:v>46262</x:v>
      </x:c>
      <x:c r="I25" s="102">
        <x:v>46262</x:v>
      </x:c>
      <x:c r="J25" s="100"/>
      <x:c r="K25" s="7" t="n">
        <x:f ca="1">IF($B25="","",IF($C25="Initiative",IF(COUNTIFS($B$26:$B$204,$B25,$C$26:$C$204,"Activity")+COUNTIFS($B$26:$B$204,$B25,$C$26:$C$204,"Variation")=0,"",IF(COUNTIFS($B$26:$B$204,$B25,$C$26:$C$204,"Activity")+COUNTIFS($B$26:$B$204,$B25,$C$26:$C$204,"Variation")&lt;&gt;COUNTIFS($B$26:$B$204,$B25,$C$26:$C$204,"Activity",$G$26:$G$204,"&lt;&gt;",$H$26:$H$204,"&lt;&gt;")+COUNTIFS($B$26:$B$204,$B25,$C$26:$C$204,"Variation",$G$26:$G$204,"&lt;&gt;",$H$26:$H$204,"&lt;&gt;"),"",(SUMIFS($K$26:$K$204,$B$26:$B$204,$B25,$C$26:$C$204,"Activity")+SUMIFS($K$26:$K$204,$B$26:$B$204,$B25,$C$26:$C$204,"Variation"))/(COUNTIFS($B$26:$B$204,$B25,$C$26:$C$204,"Activity")+COUNTIFS($B$26:$B$204,$B25,$C$26:$C$204,"Variation")))),IF($C25="Milestone",IF(COUNTIFS($D$26:$D$204,$A25,$C$26:$C$204,"Activity")+COUNTIFS($D$26:$D$204,$A25,$C$26:$C$204,"Variation")=0,"",IF(COUNTIFS($D$26:$D$204,$A25,$C$26:$C$204,"Activity")+COUNTIFS($D$26:$D$204,$A25,$C$26:$C$204,"Variation")&lt;&gt;COUNTIFS($D$26:$D$204,$A25,$C$26:$C$204,"Activity",$G$26:$G$204,"&lt;&gt;",$H$26:$H$204,"&lt;&gt;")+COUNTIFS($D$26:$D$204,$A25,$C$26:$C$204,"Variation",$G$26:$G$204,"&lt;&gt;",$H$26:$H$204,"&lt;&gt;"),"",(SUMIFS($K$26:$K$204,$D$26:$D$204,$A25,$C$26:$C$204,"Activity")+SUMIFS($K$26:$K$204,$D$26:$D$204,$A25,$C$26:$C$204,"Variation"))/(COUNTIFS($D$26:$D$204,$A25,$C$26:$C$204,"Activity")+COUNTIFS($D$26:$D$204,$A25,$C$26:$C$204,"Variation")))),IF(OR($C25="Activity",$C25="Variation"),IF(OR($G25="",$H25=""),"",IF($H25&lt;$G25,"",IF($H25=$G25,--(TODAY()&gt;=$H25),MAX(0,MIN(1,(TODAY()-$G25)/($H25-$G25)))))),""))))</x:f>
        <x:v>1</x:v>
      </x:c>
      <x:c r="L25" s="7" t="n">
        <x:f t="shared" si="0">IF($B25="","",IF($C25="Initiative",IF(COUNTIFS($B$5:$B$204,$B25,$C$5:$C$204,"Activity")+COUNTIFS($B$5:$B$204,$B25,$C$5:$C$204,"Variation")=0,"",IF(COUNTIFS($B$5:$B$204,$B25,$C$5:$C$204,"Activity")+COUNTIFS($B$5:$B$204,$B25,$C$5:$C$204,"Variation")&lt;&gt;COUNTIFS($B$5:$B$204,$B25,$C$5:$C$204,"Activity",$J$5:$J$204,"&lt;&gt;",$J$5:$J$204,"&gt;=0",$J$5:$J$204,"&lt;=1")+COUNTIFS($B$5:$B$204,$B25,$C$5:$C$204,"Variation",$J$5:$J$204,"&lt;&gt;",$J$5:$J$204,"&gt;=0",$J$5:$J$204,"&lt;=1"),"",(SUMIFS($J$5:$J$204,$B$5:$B$204,$B25,$C$5:$C$204,"Activity")+SUMIFS($J$5:$J$204,$B$5:$B$204,$B25,$C$5:$C$204,"Variation"))/(COUNTIFS($B$5:$B$204,$B25,$C$5:$C$204,"Activity")+COUNTIFS($B$5:$B$204,$B25,$C$5:$C$204,"Variation")))),IF($C25="Milestone",IF(COUNTIFS($D$5:$D$204,$A25,$C$5:$C$204,"Activity")+COUNTIFS($D$5:$D$204,$A25,$C$5:$C$204,"Variation")=0,"",IF(COUNTIFS($D$5:$D$204,$A25,$C$5:$C$204,"Activity")+COUNTIFS($D$5:$D$204,$A25,$C$5:$C$204,"Variation")&lt;&gt;COUNTIFS($D$5:$D$204,$A25,$C$5:$C$204,"Activity",$J$5:$J$204,"&lt;&gt;",$J$5:$J$204,"&gt;=0",$J$5:$J$204,"&lt;=1")+COUNTIFS($D$5:$D$204,$A25,$C$5:$C$204,"Variation",$J$5:$J$204,"&lt;&gt;",$J$5:$J$204,"&gt;=0",$J$5:$J$204,"&lt;=1"),"",(SUMIFS($J$5:$J$204,$D$5:$D$204,$A25,$C$5:$C$204,"Activity")+SUMIFS($J$5:$J$204,$D$5:$D$204,$A25,$C$5:$C$204,"Variation"))/(COUNTIFS($D$5:$D$204,$A25,$C$5:$C$204,"Activity")+COUNTIFS($D$5:$D$204,$A25,$C$5:$C$204,"Variation")))),IF(OR($C25="Activity",$C25="Variation"),IF(AND(ISNUMBER($J25),$J25&gt;=0,$J25&lt;=1),$J25,""),""))))</x:f>
        <x:v>1</x:v>
      </x:c>
      <x:c r="M25" s="7" t="n">
        <x:f t="shared" ca="1" si="1">IF(OR($K25="",$L25=""),"",$L25-$K25)</x:f>
        <x:v>0</x:v>
      </x:c>
      <x:c r="N25" s="6" t="str">
        <x:f ca="1">IF(OR($B25="",$I25="",$L25=""),"",IF(AND($L25&lt;1,$I25&lt;TODAY()),"Late",IF(AND($H25&lt;&gt;"",$I25&gt;$H25),"Forecast Slip","On Plan")))</x:f>
        <x:v>On Plan</x:v>
      </x:c>
      <x:c r="O25" s="19"/>
      <x:c r="P25" s="6" t="str">
        <x:f t="shared" si="2">IF($B25="","",IF($A25="","Enter item ID",IF(COUNTIF($A$5:$A$204,$A25)&gt;1,"Duplicate item ID",IF($C25="Initiative",IF($D25&lt;&gt;"","Parent must be blank",IF(COUNTIFS($B$5:$B$204,$B25,$C$5:$C$204,"Initiative")&lt;&gt;1,"One Initiative row required",IF(COUNTIFS($D$5:$D$204,$A25,$C$5:$C$204,"Milestone")=0,"Add milestone","OK"))),IF($C25="Milestone",IF(COUNTIFS($A$5:$A$204,$D25,$B$5:$B$204,$B25,$C$5:$C$204,"Initiative")&lt;&gt;1,"Parent must be Initiative",IF(COUNTIFS($D$5:$D$204,$A25,$C$5:$C$204,"Activity")+COUNTIFS($D$5:$D$204,$A25,$C$5:$C$204,"Variation")=0,"Add activity or variation","OK")),IF(OR($C25="Activity",$C25="Variation"),IF(COUNTIFS($A$5:$A$204,$D25,$B$5:$B$204,$B25,$C$5:$C$204,"Milestone")&lt;&gt;1,"Parent must be Milestone",IF(OR($G25="",$H25=""),"Enter baseline dates",IF($H25&lt;$G25,"Baseline finish before start",IF($I25="","Enter forecast finish",IF(COUNT($J25)=0,"Enter actual %",IF(OR(NOT(ISNUMBER($J25)),$J25&lt;0,$J25&gt;1),"Actual % must be 0–100%","OK")))))),"Select level"))))))</x:f>
        <x:v>OK</x:v>
      </x:c>
    </x:row>
    <x:row r="26" ht="25.75">
      <x:c r="A26" s="66" t="str" cm="1">
        <x:f t="array" ref="A26">IF(OR(B26="",C26=""),"",IF(C26="Initiative",COUNTIF($C$5:C26,"Initiative"),IF(C26="Milestone",IF(D26="","",D26&amp;"."&amp;COUNTIFS($D$5:D26,D26,$C$5:C26,"Milestone")),IF(OR(C26="Activity",C26="Variation"),IF(D26="","",D26&amp;"."&amp;(COUNTIFS($D$5:D26,D26,$C$5:C26,"Activity")+COUNTIFS($D$5:D26,D26,$C$5:C26,"Variation"))),""))))</x:f>
        <x:v>5.1</x:v>
      </x:c>
      <x:c r="B26" s="19" t="s">
        <x:v>57</x:v>
      </x:c>
      <x:c r="C26" s="19" t="s">
        <x:v>97</x:v>
      </x:c>
      <x:c r="D26" s="20">
        <x:v>5</x:v>
      </x:c>
      <x:c r="E26" s="21" t="s">
        <x:v>98</x:v>
      </x:c>
      <x:c r="F26" s="21" t="s">
        <x:v>36</x:v>
      </x:c>
      <x:c r="G26" s="102">
        <x:v>46034</x:v>
      </x:c>
      <x:c r="H26" s="102">
        <x:v>46262</x:v>
      </x:c>
      <x:c r="I26" s="102">
        <x:v>46262</x:v>
      </x:c>
      <x:c r="J26" s="100"/>
      <x:c r="K26" s="7" t="n">
        <x:f ca="1">IF($B26="","",IF($C26="Initiative",IF(COUNTIFS($B$27:$B$204,$B26,$C$27:$C$204,"Activity")+COUNTIFS($B$27:$B$204,$B26,$C$27:$C$204,"Variation")=0,"",IF(COUNTIFS($B$27:$B$204,$B26,$C$27:$C$204,"Activity")+COUNTIFS($B$27:$B$204,$B26,$C$27:$C$204,"Variation")&lt;&gt;COUNTIFS($B$27:$B$204,$B26,$C$27:$C$204,"Activity",$G$27:$G$204,"&lt;&gt;",$H$27:$H$204,"&lt;&gt;")+COUNTIFS($B$27:$B$204,$B26,$C$27:$C$204,"Variation",$G$27:$G$204,"&lt;&gt;",$H$27:$H$204,"&lt;&gt;"),"",(SUMIFS($K$27:$K$204,$B$27:$B$204,$B26,$C$27:$C$204,"Activity")+SUMIFS($K$27:$K$204,$B$27:$B$204,$B26,$C$27:$C$204,"Variation"))/(COUNTIFS($B$27:$B$204,$B26,$C$27:$C$204,"Activity")+COUNTIFS($B$27:$B$204,$B26,$C$27:$C$204,"Variation")))),IF($C26="Milestone",IF(COUNTIFS($D$27:$D$204,$A26,$C$27:$C$204,"Activity")+COUNTIFS($D$27:$D$204,$A26,$C$27:$C$204,"Variation")=0,"",IF(COUNTIFS($D$27:$D$204,$A26,$C$27:$C$204,"Activity")+COUNTIFS($D$27:$D$204,$A26,$C$27:$C$204,"Variation")&lt;&gt;COUNTIFS($D$27:$D$204,$A26,$C$27:$C$204,"Activity",$G$27:$G$204,"&lt;&gt;",$H$27:$H$204,"&lt;&gt;")+COUNTIFS($D$27:$D$204,$A26,$C$27:$C$204,"Variation",$G$27:$G$204,"&lt;&gt;",$H$27:$H$204,"&lt;&gt;"),"",(SUMIFS($K$27:$K$204,$D$27:$D$204,$A26,$C$27:$C$204,"Activity")+SUMIFS($K$27:$K$204,$D$27:$D$204,$A26,$C$27:$C$204,"Variation"))/(COUNTIFS($D$27:$D$204,$A26,$C$27:$C$204,"Activity")+COUNTIFS($D$27:$D$204,$A26,$C$27:$C$204,"Variation")))),IF(OR($C26="Activity",$C26="Variation"),IF(OR($G26="",$H26=""),"",IF($H26&lt;$G26,"",IF($H26=$G26,--(TODAY()&gt;=$H26),MAX(0,MIN(1,(TODAY()-$G26)/($H26-$G26)))))),""))))</x:f>
        <x:v>1</x:v>
      </x:c>
      <x:c r="L26" s="7" t="n">
        <x:f t="shared" si="0">IF($B26="","",IF($C26="Initiative",IF(COUNTIFS($B$5:$B$204,$B26,$C$5:$C$204,"Activity")+COUNTIFS($B$5:$B$204,$B26,$C$5:$C$204,"Variation")=0,"",IF(COUNTIFS($B$5:$B$204,$B26,$C$5:$C$204,"Activity")+COUNTIFS($B$5:$B$204,$B26,$C$5:$C$204,"Variation")&lt;&gt;COUNTIFS($B$5:$B$204,$B26,$C$5:$C$204,"Activity",$J$5:$J$204,"&lt;&gt;",$J$5:$J$204,"&gt;=0",$J$5:$J$204,"&lt;=1")+COUNTIFS($B$5:$B$204,$B26,$C$5:$C$204,"Variation",$J$5:$J$204,"&lt;&gt;",$J$5:$J$204,"&gt;=0",$J$5:$J$204,"&lt;=1"),"",(SUMIFS($J$5:$J$204,$B$5:$B$204,$B26,$C$5:$C$204,"Activity")+SUMIFS($J$5:$J$204,$B$5:$B$204,$B26,$C$5:$C$204,"Variation"))/(COUNTIFS($B$5:$B$204,$B26,$C$5:$C$204,"Activity")+COUNTIFS($B$5:$B$204,$B26,$C$5:$C$204,"Variation")))),IF($C26="Milestone",IF(COUNTIFS($D$5:$D$204,$A26,$C$5:$C$204,"Activity")+COUNTIFS($D$5:$D$204,$A26,$C$5:$C$204,"Variation")=0,"",IF(COUNTIFS($D$5:$D$204,$A26,$C$5:$C$204,"Activity")+COUNTIFS($D$5:$D$204,$A26,$C$5:$C$204,"Variation")&lt;&gt;COUNTIFS($D$5:$D$204,$A26,$C$5:$C$204,"Activity",$J$5:$J$204,"&lt;&gt;",$J$5:$J$204,"&gt;=0",$J$5:$J$204,"&lt;=1")+COUNTIFS($D$5:$D$204,$A26,$C$5:$C$204,"Variation",$J$5:$J$204,"&lt;&gt;",$J$5:$J$204,"&gt;=0",$J$5:$J$204,"&lt;=1"),"",(SUMIFS($J$5:$J$204,$D$5:$D$204,$A26,$C$5:$C$204,"Activity")+SUMIFS($J$5:$J$204,$D$5:$D$204,$A26,$C$5:$C$204,"Variation"))/(COUNTIFS($D$5:$D$204,$A26,$C$5:$C$204,"Activity")+COUNTIFS($D$5:$D$204,$A26,$C$5:$C$204,"Variation")))),IF(OR($C26="Activity",$C26="Variation"),IF(AND(ISNUMBER($J26),$J26&gt;=0,$J26&lt;=1),$J26,""),""))))</x:f>
        <x:v>1</x:v>
      </x:c>
      <x:c r="M26" s="7" t="n">
        <x:f t="shared" ca="1" si="1">IF(OR($K26="",$L26=""),"",$L26-$K26)</x:f>
        <x:v>0</x:v>
      </x:c>
      <x:c r="N26" s="6" t="str">
        <x:f ca="1">IF(OR($B26="",$I26="",$L26=""),"",IF(AND($L26&lt;1,$I26&lt;TODAY()),"Late",IF(AND($H26&lt;&gt;"",$I26&gt;$H26),"Forecast Slip","On Plan")))</x:f>
        <x:v>On Plan</x:v>
      </x:c>
      <x:c r="O26" s="19"/>
      <x:c r="P26" s="6" t="str">
        <x:f t="shared" si="2">IF($B26="","",IF($A26="","Enter item ID",IF(COUNTIF($A$5:$A$204,$A26)&gt;1,"Duplicate item ID",IF($C26="Initiative",IF($D26&lt;&gt;"","Parent must be blank",IF(COUNTIFS($B$5:$B$204,$B26,$C$5:$C$204,"Initiative")&lt;&gt;1,"One Initiative row required",IF(COUNTIFS($D$5:$D$204,$A26,$C$5:$C$204,"Milestone")=0,"Add milestone","OK"))),IF($C26="Milestone",IF(COUNTIFS($A$5:$A$204,$D26,$B$5:$B$204,$B26,$C$5:$C$204,"Initiative")&lt;&gt;1,"Parent must be Initiative",IF(COUNTIFS($D$5:$D$204,$A26,$C$5:$C$204,"Activity")+COUNTIFS($D$5:$D$204,$A26,$C$5:$C$204,"Variation")=0,"Add activity or variation","OK")),IF(OR($C26="Activity",$C26="Variation"),IF(COUNTIFS($A$5:$A$204,$D26,$B$5:$B$204,$B26,$C$5:$C$204,"Milestone")&lt;&gt;1,"Parent must be Milestone",IF(OR($G26="",$H26=""),"Enter baseline dates",IF($H26&lt;$G26,"Baseline finish before start",IF($I26="","Enter forecast finish",IF(COUNT($J26)=0,"Enter actual %",IF(OR(NOT(ISNUMBER($J26)),$J26&lt;0,$J26&gt;1),"Actual % must be 0–100%","OK")))))),"Select level"))))))</x:f>
        <x:v>OK</x:v>
      </x:c>
    </x:row>
    <x:row r="27">
      <x:c r="A27" s="66" t="str" cm="1">
        <x:f t="array" ref="A27">IF(OR(B27="",C27=""),"",IF(C27="Initiative",COUNTIF($C$5:C27,"Initiative"),IF(C27="Milestone",IF(D27="","",D27&amp;"."&amp;COUNTIFS($D$5:D27,D27,$C$5:C27,"Milestone")),IF(OR(C27="Activity",C27="Variation"),IF(D27="","",D27&amp;"."&amp;(COUNTIFS($D$5:D27,D27,$C$5:C27,"Activity")+COUNTIFS($D$5:D27,D27,$C$5:C27,"Variation"))),""))))</x:f>
        <x:v>5.1.1</x:v>
      </x:c>
      <x:c r="B27" s="19" t="s">
        <x:v>57</x:v>
      </x:c>
      <x:c r="C27" s="19" t="s">
        <x:v>99</x:v>
      </x:c>
      <x:c r="D27" s="20">
        <x:v>5.0999999999999996</x:v>
      </x:c>
      <x:c r="E27" s="21" t="s">
        <x:v>114</x:v>
      </x:c>
      <x:c r="F27" s="21" t="s">
        <x:v>36</x:v>
      </x:c>
      <x:c r="G27" s="102">
        <x:v>46034</x:v>
      </x:c>
      <x:c r="H27" s="102">
        <x:v>46109</x:v>
      </x:c>
      <x:c r="I27" s="102">
        <x:v>46109</x:v>
      </x:c>
      <x:c r="J27" s="100">
        <x:v>1</x:v>
      </x:c>
      <x:c r="K27" s="7" t="n">
        <x:f ca="1">IF($B27="","",IF($C27="Initiative",IF(COUNTIFS($B$28:$B$204,$B27,$C$28:$C$204,"Activity")+COUNTIFS($B$28:$B$204,$B27,$C$28:$C$204,"Variation")=0,"",IF(COUNTIFS($B$28:$B$204,$B27,$C$28:$C$204,"Activity")+COUNTIFS($B$28:$B$204,$B27,$C$28:$C$204,"Variation")&lt;&gt;COUNTIFS($B$28:$B$204,$B27,$C$28:$C$204,"Activity",$G$28:$G$204,"&lt;&gt;",$H$28:$H$204,"&lt;&gt;")+COUNTIFS($B$28:$B$204,$B27,$C$28:$C$204,"Variation",$G$28:$G$204,"&lt;&gt;",$H$28:$H$204,"&lt;&gt;"),"",(SUMIFS($K$28:$K$204,$B$28:$B$204,$B27,$C$28:$C$204,"Activity")+SUMIFS($K$28:$K$204,$B$28:$B$204,$B27,$C$28:$C$204,"Variation"))/(COUNTIFS($B$28:$B$204,$B27,$C$28:$C$204,"Activity")+COUNTIFS($B$28:$B$204,$B27,$C$28:$C$204,"Variation")))),IF($C27="Milestone",IF(COUNTIFS($D$28:$D$204,$A27,$C$28:$C$204,"Activity")+COUNTIFS($D$28:$D$204,$A27,$C$28:$C$204,"Variation")=0,"",IF(COUNTIFS($D$28:$D$204,$A27,$C$28:$C$204,"Activity")+COUNTIFS($D$28:$D$204,$A27,$C$28:$C$204,"Variation")&lt;&gt;COUNTIFS($D$28:$D$204,$A27,$C$28:$C$204,"Activity",$G$28:$G$204,"&lt;&gt;",$H$28:$H$204,"&lt;&gt;")+COUNTIFS($D$28:$D$204,$A27,$C$28:$C$204,"Variation",$G$28:$G$204,"&lt;&gt;",$H$28:$H$204,"&lt;&gt;"),"",(SUMIFS($K$28:$K$204,$D$28:$D$204,$A27,$C$28:$C$204,"Activity")+SUMIFS($K$28:$K$204,$D$28:$D$204,$A27,$C$28:$C$204,"Variation"))/(COUNTIFS($D$28:$D$204,$A27,$C$28:$C$204,"Activity")+COUNTIFS($D$28:$D$204,$A27,$C$28:$C$204,"Variation")))),IF(OR($C27="Activity",$C27="Variation"),IF(OR($G27="",$H27=""),"",IF($H27&lt;$G27,"",IF($H27=$G27,--(TODAY()&gt;=$H27),MAX(0,MIN(1,(TODAY()-$G27)/($H27-$G27)))))),""))))</x:f>
        <x:v>1</x:v>
      </x:c>
      <x:c r="L27" s="7" t="n">
        <x:f t="shared" si="0">IF($B27="","",IF($C27="Initiative",IF(COUNTIFS($B$5:$B$204,$B27,$C$5:$C$204,"Activity")+COUNTIFS($B$5:$B$204,$B27,$C$5:$C$204,"Variation")=0,"",IF(COUNTIFS($B$5:$B$204,$B27,$C$5:$C$204,"Activity")+COUNTIFS($B$5:$B$204,$B27,$C$5:$C$204,"Variation")&lt;&gt;COUNTIFS($B$5:$B$204,$B27,$C$5:$C$204,"Activity",$J$5:$J$204,"&lt;&gt;",$J$5:$J$204,"&gt;=0",$J$5:$J$204,"&lt;=1")+COUNTIFS($B$5:$B$204,$B27,$C$5:$C$204,"Variation",$J$5:$J$204,"&lt;&gt;",$J$5:$J$204,"&gt;=0",$J$5:$J$204,"&lt;=1"),"",(SUMIFS($J$5:$J$204,$B$5:$B$204,$B27,$C$5:$C$204,"Activity")+SUMIFS($J$5:$J$204,$B$5:$B$204,$B27,$C$5:$C$204,"Variation"))/(COUNTIFS($B$5:$B$204,$B27,$C$5:$C$204,"Activity")+COUNTIFS($B$5:$B$204,$B27,$C$5:$C$204,"Variation")))),IF($C27="Milestone",IF(COUNTIFS($D$5:$D$204,$A27,$C$5:$C$204,"Activity")+COUNTIFS($D$5:$D$204,$A27,$C$5:$C$204,"Variation")=0,"",IF(COUNTIFS($D$5:$D$204,$A27,$C$5:$C$204,"Activity")+COUNTIFS($D$5:$D$204,$A27,$C$5:$C$204,"Variation")&lt;&gt;COUNTIFS($D$5:$D$204,$A27,$C$5:$C$204,"Activity",$J$5:$J$204,"&lt;&gt;",$J$5:$J$204,"&gt;=0",$J$5:$J$204,"&lt;=1")+COUNTIFS($D$5:$D$204,$A27,$C$5:$C$204,"Variation",$J$5:$J$204,"&lt;&gt;",$J$5:$J$204,"&gt;=0",$J$5:$J$204,"&lt;=1"),"",(SUMIFS($J$5:$J$204,$D$5:$D$204,$A27,$C$5:$C$204,"Activity")+SUMIFS($J$5:$J$204,$D$5:$D$204,$A27,$C$5:$C$204,"Variation"))/(COUNTIFS($D$5:$D$204,$A27,$C$5:$C$204,"Activity")+COUNTIFS($D$5:$D$204,$A27,$C$5:$C$204,"Variation")))),IF(OR($C27="Activity",$C27="Variation"),IF(AND(ISNUMBER($J27),$J27&gt;=0,$J27&lt;=1),$J27,""),""))))</x:f>
        <x:v>1</x:v>
      </x:c>
      <x:c r="M27" s="7" t="n">
        <x:f t="shared" ca="1" si="1">IF(OR($K27="",$L27=""),"",$L27-$K27)</x:f>
        <x:v>0</x:v>
      </x:c>
      <x:c r="N27" s="6" t="str">
        <x:f ca="1">IF(OR($B27="",$I27="",$L27=""),"",IF(AND($L27&lt;1,$I27&lt;TODAY()),"Late",IF(AND($H27&lt;&gt;"",$I27&gt;$H27),"Forecast Slip","On Plan")))</x:f>
        <x:v>On Plan</x:v>
      </x:c>
      <x:c r="O27" s="19"/>
      <x:c r="P27" s="6" t="str">
        <x:f t="shared" si="2">IF($B27="","",IF($A27="","Enter item ID",IF(COUNTIF($A$5:$A$204,$A27)&gt;1,"Duplicate item ID",IF($C27="Initiative",IF($D27&lt;&gt;"","Parent must be blank",IF(COUNTIFS($B$5:$B$204,$B27,$C$5:$C$204,"Initiative")&lt;&gt;1,"One Initiative row required",IF(COUNTIFS($D$5:$D$204,$A27,$C$5:$C$204,"Milestone")=0,"Add milestone","OK"))),IF($C27="Milestone",IF(COUNTIFS($A$5:$A$204,$D27,$B$5:$B$204,$B27,$C$5:$C$204,"Initiative")&lt;&gt;1,"Parent must be Initiative",IF(COUNTIFS($D$5:$D$204,$A27,$C$5:$C$204,"Activity")+COUNTIFS($D$5:$D$204,$A27,$C$5:$C$204,"Variation")=0,"Add activity or variation","OK")),IF(OR($C27="Activity",$C27="Variation"),IF(COUNTIFS($A$5:$A$204,$D27,$B$5:$B$204,$B27,$C$5:$C$204,"Milestone")&lt;&gt;1,"Parent must be Milestone",IF(OR($G27="",$H27=""),"Enter baseline dates",IF($H27&lt;$G27,"Baseline finish before start",IF($I27="","Enter forecast finish",IF(COUNT($J27)=0,"Enter actual %",IF(OR(NOT(ISNUMBER($J27)),$J27&lt;0,$J27&gt;1),"Actual % must be 0–100%","OK")))))),"Select level"))))))</x:f>
        <x:v>OK</x:v>
      </x:c>
    </x:row>
    <x:row r="28">
      <x:c r="A28" s="66" t="str" cm="1">
        <x:f t="array" ref="A28">IF(OR(B28="",C28=""),"",IF(C28="Initiative",COUNTIF($C$5:C28,"Initiative"),IF(C28="Milestone",IF(D28="","",D28&amp;"."&amp;COUNTIFS($D$5:D28,D28,$C$5:C28,"Milestone")),IF(OR(C28="Activity",C28="Variation"),IF(D28="","",D28&amp;"."&amp;(COUNTIFS($D$5:D28,D28,$C$5:C28,"Activity")+COUNTIFS($D$5:D28,D28,$C$5:C28,"Variation"))),""))))</x:f>
        <x:v>5.1.2</x:v>
      </x:c>
      <x:c r="B28" s="19" t="s">
        <x:v>57</x:v>
      </x:c>
      <x:c r="C28" s="19" t="s">
        <x:v>99</x:v>
      </x:c>
      <x:c r="D28" s="20">
        <x:v>5.0999999999999996</x:v>
      </x:c>
      <x:c r="E28" s="21" t="s">
        <x:v>115</x:v>
      </x:c>
      <x:c r="F28" s="21" t="s">
        <x:v>36</x:v>
      </x:c>
      <x:c r="G28" s="102">
        <x:v>46110</x:v>
      </x:c>
      <x:c r="H28" s="102">
        <x:v>46187</x:v>
      </x:c>
      <x:c r="I28" s="102">
        <x:v>46187</x:v>
      </x:c>
      <x:c r="J28" s="100">
        <x:v>1</x:v>
      </x:c>
      <x:c r="K28" s="7" t="n">
        <x:f ca="1">IF($B28="","",IF($C28="Initiative",IF(COUNTIFS($B$29:$B$204,$B28,$C$29:$C$204,"Activity")+COUNTIFS($B$29:$B$204,$B28,$C$29:$C$204,"Variation")=0,"",IF(COUNTIFS($B$29:$B$204,$B28,$C$29:$C$204,"Activity")+COUNTIFS($B$29:$B$204,$B28,$C$29:$C$204,"Variation")&lt;&gt;COUNTIFS($B$29:$B$204,$B28,$C$29:$C$204,"Activity",$G$29:$G$204,"&lt;&gt;",$H$29:$H$204,"&lt;&gt;")+COUNTIFS($B$29:$B$204,$B28,$C$29:$C$204,"Variation",$G$29:$G$204,"&lt;&gt;",$H$29:$H$204,"&lt;&gt;"),"",(SUMIFS($K$29:$K$204,$B$29:$B$204,$B28,$C$29:$C$204,"Activity")+SUMIFS($K$29:$K$204,$B$29:$B$204,$B28,$C$29:$C$204,"Variation"))/(COUNTIFS($B$29:$B$204,$B28,$C$29:$C$204,"Activity")+COUNTIFS($B$29:$B$204,$B28,$C$29:$C$204,"Variation")))),IF($C28="Milestone",IF(COUNTIFS($D$29:$D$204,$A28,$C$29:$C$204,"Activity")+COUNTIFS($D$29:$D$204,$A28,$C$29:$C$204,"Variation")=0,"",IF(COUNTIFS($D$29:$D$204,$A28,$C$29:$C$204,"Activity")+COUNTIFS($D$29:$D$204,$A28,$C$29:$C$204,"Variation")&lt;&gt;COUNTIFS($D$29:$D$204,$A28,$C$29:$C$204,"Activity",$G$29:$G$204,"&lt;&gt;",$H$29:$H$204,"&lt;&gt;")+COUNTIFS($D$29:$D$204,$A28,$C$29:$C$204,"Variation",$G$29:$G$204,"&lt;&gt;",$H$29:$H$204,"&lt;&gt;"),"",(SUMIFS($K$29:$K$204,$D$29:$D$204,$A28,$C$29:$C$204,"Activity")+SUMIFS($K$29:$K$204,$D$29:$D$204,$A28,$C$29:$C$204,"Variation"))/(COUNTIFS($D$29:$D$204,$A28,$C$29:$C$204,"Activity")+COUNTIFS($D$29:$D$204,$A28,$C$29:$C$204,"Variation")))),IF(OR($C28="Activity",$C28="Variation"),IF(OR($G28="",$H28=""),"",IF($H28&lt;$G28,"",IF($H28=$G28,--(TODAY()&gt;=$H28),MAX(0,MIN(1,(TODAY()-$G28)/($H28-$G28)))))),""))))</x:f>
        <x:v>1</x:v>
      </x:c>
      <x:c r="L28" s="7" t="n">
        <x:f t="shared" si="0">IF($B28="","",IF($C28="Initiative",IF(COUNTIFS($B$5:$B$204,$B28,$C$5:$C$204,"Activity")+COUNTIFS($B$5:$B$204,$B28,$C$5:$C$204,"Variation")=0,"",IF(COUNTIFS($B$5:$B$204,$B28,$C$5:$C$204,"Activity")+COUNTIFS($B$5:$B$204,$B28,$C$5:$C$204,"Variation")&lt;&gt;COUNTIFS($B$5:$B$204,$B28,$C$5:$C$204,"Activity",$J$5:$J$204,"&lt;&gt;",$J$5:$J$204,"&gt;=0",$J$5:$J$204,"&lt;=1")+COUNTIFS($B$5:$B$204,$B28,$C$5:$C$204,"Variation",$J$5:$J$204,"&lt;&gt;",$J$5:$J$204,"&gt;=0",$J$5:$J$204,"&lt;=1"),"",(SUMIFS($J$5:$J$204,$B$5:$B$204,$B28,$C$5:$C$204,"Activity")+SUMIFS($J$5:$J$204,$B$5:$B$204,$B28,$C$5:$C$204,"Variation"))/(COUNTIFS($B$5:$B$204,$B28,$C$5:$C$204,"Activity")+COUNTIFS($B$5:$B$204,$B28,$C$5:$C$204,"Variation")))),IF($C28="Milestone",IF(COUNTIFS($D$5:$D$204,$A28,$C$5:$C$204,"Activity")+COUNTIFS($D$5:$D$204,$A28,$C$5:$C$204,"Variation")=0,"",IF(COUNTIFS($D$5:$D$204,$A28,$C$5:$C$204,"Activity")+COUNTIFS($D$5:$D$204,$A28,$C$5:$C$204,"Variation")&lt;&gt;COUNTIFS($D$5:$D$204,$A28,$C$5:$C$204,"Activity",$J$5:$J$204,"&lt;&gt;",$J$5:$J$204,"&gt;=0",$J$5:$J$204,"&lt;=1")+COUNTIFS($D$5:$D$204,$A28,$C$5:$C$204,"Variation",$J$5:$J$204,"&lt;&gt;",$J$5:$J$204,"&gt;=0",$J$5:$J$204,"&lt;=1"),"",(SUMIFS($J$5:$J$204,$D$5:$D$204,$A28,$C$5:$C$204,"Activity")+SUMIFS($J$5:$J$204,$D$5:$D$204,$A28,$C$5:$C$204,"Variation"))/(COUNTIFS($D$5:$D$204,$A28,$C$5:$C$204,"Activity")+COUNTIFS($D$5:$D$204,$A28,$C$5:$C$204,"Variation")))),IF(OR($C28="Activity",$C28="Variation"),IF(AND(ISNUMBER($J28),$J28&gt;=0,$J28&lt;=1),$J28,""),""))))</x:f>
        <x:v>1</x:v>
      </x:c>
      <x:c r="M28" s="7" t="n">
        <x:f t="shared" ca="1" si="1">IF(OR($K28="",$L28=""),"",$L28-$K28)</x:f>
        <x:v>0</x:v>
      </x:c>
      <x:c r="N28" s="6" t="str">
        <x:f ca="1">IF(OR($B28="",$I28="",$L28=""),"",IF(AND($L28&lt;1,$I28&lt;TODAY()),"Late",IF(AND($H28&lt;&gt;"",$I28&gt;$H28),"Forecast Slip","On Plan")))</x:f>
        <x:v>On Plan</x:v>
      </x:c>
      <x:c r="O28" s="19"/>
      <x:c r="P28" s="6" t="str">
        <x:f t="shared" si="2">IF($B28="","",IF($A28="","Enter item ID",IF(COUNTIF($A$5:$A$204,$A28)&gt;1,"Duplicate item ID",IF($C28="Initiative",IF($D28&lt;&gt;"","Parent must be blank",IF(COUNTIFS($B$5:$B$204,$B28,$C$5:$C$204,"Initiative")&lt;&gt;1,"One Initiative row required",IF(COUNTIFS($D$5:$D$204,$A28,$C$5:$C$204,"Milestone")=0,"Add milestone","OK"))),IF($C28="Milestone",IF(COUNTIFS($A$5:$A$204,$D28,$B$5:$B$204,$B28,$C$5:$C$204,"Initiative")&lt;&gt;1,"Parent must be Initiative",IF(COUNTIFS($D$5:$D$204,$A28,$C$5:$C$204,"Activity")+COUNTIFS($D$5:$D$204,$A28,$C$5:$C$204,"Variation")=0,"Add activity or variation","OK")),IF(OR($C28="Activity",$C28="Variation"),IF(COUNTIFS($A$5:$A$204,$D28,$B$5:$B$204,$B28,$C$5:$C$204,"Milestone")&lt;&gt;1,"Parent must be Milestone",IF(OR($G28="",$H28=""),"Enter baseline dates",IF($H28&lt;$G28,"Baseline finish before start",IF($I28="","Enter forecast finish",IF(COUNT($J28)=0,"Enter actual %",IF(OR(NOT(ISNUMBER($J28)),$J28&lt;0,$J28&gt;1),"Actual % must be 0–100%","OK")))))),"Select level"))))))</x:f>
        <x:v>OK</x:v>
      </x:c>
    </x:row>
    <x:row r="29">
      <x:c r="A29" s="66" t="str" cm="1">
        <x:f t="array" ref="A29">IF(OR(B29="",C29=""),"",IF(C29="Initiative",COUNTIF($C$5:C29,"Initiative"),IF(C29="Milestone",IF(D29="","",D29&amp;"."&amp;COUNTIFS($D$5:D29,D29,$C$5:C29,"Milestone")),IF(OR(C29="Activity",C29="Variation"),IF(D29="","",D29&amp;"."&amp;(COUNTIFS($D$5:D29,D29,$C$5:C29,"Activity")+COUNTIFS($D$5:D29,D29,$C$5:C29,"Variation"))),""))))</x:f>
        <x:v>5.1.3</x:v>
      </x:c>
      <x:c r="B29" s="19" t="s">
        <x:v>57</x:v>
      </x:c>
      <x:c r="C29" s="19" t="s">
        <x:v>99</x:v>
      </x:c>
      <x:c r="D29" s="20">
        <x:v>5.0999999999999996</x:v>
      </x:c>
      <x:c r="E29" s="21" t="s">
        <x:v>116</x:v>
      </x:c>
      <x:c r="F29" s="21" t="s">
        <x:v>36</x:v>
      </x:c>
      <x:c r="G29" s="102">
        <x:v>46188</x:v>
      </x:c>
      <x:c r="H29" s="102">
        <x:v>46262</x:v>
      </x:c>
      <x:c r="I29" s="102">
        <x:v>46262</x:v>
      </x:c>
      <x:c r="J29" s="100">
        <x:v>1</x:v>
      </x:c>
      <x:c r="K29" s="7" t="n">
        <x:f ca="1">IF($B29="","",IF($C29="Initiative",IF(COUNTIFS($B$30:$B$204,$B29,$C$30:$C$204,"Activity")+COUNTIFS($B$30:$B$204,$B29,$C$30:$C$204,"Variation")=0,"",IF(COUNTIFS($B$30:$B$204,$B29,$C$30:$C$204,"Activity")+COUNTIFS($B$30:$B$204,$B29,$C$30:$C$204,"Variation")&lt;&gt;COUNTIFS($B$30:$B$204,$B29,$C$30:$C$204,"Activity",$G$30:$G$204,"&lt;&gt;",$H$30:$H$204,"&lt;&gt;")+COUNTIFS($B$30:$B$204,$B29,$C$30:$C$204,"Variation",$G$30:$G$204,"&lt;&gt;",$H$30:$H$204,"&lt;&gt;"),"",(SUMIFS($K$30:$K$204,$B$30:$B$204,$B29,$C$30:$C$204,"Activity")+SUMIFS($K$30:$K$204,$B$30:$B$204,$B29,$C$30:$C$204,"Variation"))/(COUNTIFS($B$30:$B$204,$B29,$C$30:$C$204,"Activity")+COUNTIFS($B$30:$B$204,$B29,$C$30:$C$204,"Variation")))),IF($C29="Milestone",IF(COUNTIFS($D$30:$D$204,$A29,$C$30:$C$204,"Activity")+COUNTIFS($D$30:$D$204,$A29,$C$30:$C$204,"Variation")=0,"",IF(COUNTIFS($D$30:$D$204,$A29,$C$30:$C$204,"Activity")+COUNTIFS($D$30:$D$204,$A29,$C$30:$C$204,"Variation")&lt;&gt;COUNTIFS($D$30:$D$204,$A29,$C$30:$C$204,"Activity",$G$30:$G$204,"&lt;&gt;",$H$30:$H$204,"&lt;&gt;")+COUNTIFS($D$30:$D$204,$A29,$C$30:$C$204,"Variation",$G$30:$G$204,"&lt;&gt;",$H$30:$H$204,"&lt;&gt;"),"",(SUMIFS($K$30:$K$204,$D$30:$D$204,$A29,$C$30:$C$204,"Activity")+SUMIFS($K$30:$K$204,$D$30:$D$204,$A29,$C$30:$C$204,"Variation"))/(COUNTIFS($D$30:$D$204,$A29,$C$30:$C$204,"Activity")+COUNTIFS($D$30:$D$204,$A29,$C$30:$C$204,"Variation")))),IF(OR($C29="Activity",$C29="Variation"),IF(OR($G29="",$H29=""),"",IF($H29&lt;$G29,"",IF($H29=$G29,--(TODAY()&gt;=$H29),MAX(0,MIN(1,(TODAY()-$G29)/($H29-$G29)))))),""))))</x:f>
        <x:v>1</x:v>
      </x:c>
      <x:c r="L29" s="7" t="n">
        <x:f t="shared" si="0">IF($B29="","",IF($C29="Initiative",IF(COUNTIFS($B$5:$B$204,$B29,$C$5:$C$204,"Activity")+COUNTIFS($B$5:$B$204,$B29,$C$5:$C$204,"Variation")=0,"",IF(COUNTIFS($B$5:$B$204,$B29,$C$5:$C$204,"Activity")+COUNTIFS($B$5:$B$204,$B29,$C$5:$C$204,"Variation")&lt;&gt;COUNTIFS($B$5:$B$204,$B29,$C$5:$C$204,"Activity",$J$5:$J$204,"&lt;&gt;",$J$5:$J$204,"&gt;=0",$J$5:$J$204,"&lt;=1")+COUNTIFS($B$5:$B$204,$B29,$C$5:$C$204,"Variation",$J$5:$J$204,"&lt;&gt;",$J$5:$J$204,"&gt;=0",$J$5:$J$204,"&lt;=1"),"",(SUMIFS($J$5:$J$204,$B$5:$B$204,$B29,$C$5:$C$204,"Activity")+SUMIFS($J$5:$J$204,$B$5:$B$204,$B29,$C$5:$C$204,"Variation"))/(COUNTIFS($B$5:$B$204,$B29,$C$5:$C$204,"Activity")+COUNTIFS($B$5:$B$204,$B29,$C$5:$C$204,"Variation")))),IF($C29="Milestone",IF(COUNTIFS($D$5:$D$204,$A29,$C$5:$C$204,"Activity")+COUNTIFS($D$5:$D$204,$A29,$C$5:$C$204,"Variation")=0,"",IF(COUNTIFS($D$5:$D$204,$A29,$C$5:$C$204,"Activity")+COUNTIFS($D$5:$D$204,$A29,$C$5:$C$204,"Variation")&lt;&gt;COUNTIFS($D$5:$D$204,$A29,$C$5:$C$204,"Activity",$J$5:$J$204,"&lt;&gt;",$J$5:$J$204,"&gt;=0",$J$5:$J$204,"&lt;=1")+COUNTIFS($D$5:$D$204,$A29,$C$5:$C$204,"Variation",$J$5:$J$204,"&lt;&gt;",$J$5:$J$204,"&gt;=0",$J$5:$J$204,"&lt;=1"),"",(SUMIFS($J$5:$J$204,$D$5:$D$204,$A29,$C$5:$C$204,"Activity")+SUMIFS($J$5:$J$204,$D$5:$D$204,$A29,$C$5:$C$204,"Variation"))/(COUNTIFS($D$5:$D$204,$A29,$C$5:$C$204,"Activity")+COUNTIFS($D$5:$D$204,$A29,$C$5:$C$204,"Variation")))),IF(OR($C29="Activity",$C29="Variation"),IF(AND(ISNUMBER($J29),$J29&gt;=0,$J29&lt;=1),$J29,""),""))))</x:f>
        <x:v>1</x:v>
      </x:c>
      <x:c r="M29" s="7" t="n">
        <x:f t="shared" ca="1" si="1">IF(OR($K29="",$L29=""),"",$L29-$K29)</x:f>
        <x:v>0</x:v>
      </x:c>
      <x:c r="N29" s="6" t="str">
        <x:f ca="1">IF(OR($B29="",$I29="",$L29=""),"",IF(AND($L29&lt;1,$I29&lt;TODAY()),"Late",IF(AND($H29&lt;&gt;"",$I29&gt;$H29),"Forecast Slip","On Plan")))</x:f>
        <x:v>On Plan</x:v>
      </x:c>
      <x:c r="O29" s="19"/>
      <x:c r="P29" s="6" t="str">
        <x:f t="shared" si="2">IF($B29="","",IF($A29="","Enter item ID",IF(COUNTIF($A$5:$A$204,$A29)&gt;1,"Duplicate item ID",IF($C29="Initiative",IF($D29&lt;&gt;"","Parent must be blank",IF(COUNTIFS($B$5:$B$204,$B29,$C$5:$C$204,"Initiative")&lt;&gt;1,"One Initiative row required",IF(COUNTIFS($D$5:$D$204,$A29,$C$5:$C$204,"Milestone")=0,"Add milestone","OK"))),IF($C29="Milestone",IF(COUNTIFS($A$5:$A$204,$D29,$B$5:$B$204,$B29,$C$5:$C$204,"Initiative")&lt;&gt;1,"Parent must be Initiative",IF(COUNTIFS($D$5:$D$204,$A29,$C$5:$C$204,"Activity")+COUNTIFS($D$5:$D$204,$A29,$C$5:$C$204,"Variation")=0,"Add activity or variation","OK")),IF(OR($C29="Activity",$C29="Variation"),IF(COUNTIFS($A$5:$A$204,$D29,$B$5:$B$204,$B29,$C$5:$C$204,"Milestone")&lt;&gt;1,"Parent must be Milestone",IF(OR($G29="",$H29=""),"Enter baseline dates",IF($H29&lt;$G29,"Baseline finish before start",IF($I29="","Enter forecast finish",IF(COUNT($J29)=0,"Enter actual %",IF(OR(NOT(ISNUMBER($J29)),$J29&lt;0,$J29&gt;1),"Actual % must be 0–100%","OK")))))),"Select level"))))))</x:f>
        <x:v>OK</x:v>
      </x:c>
    </x:row>
    <x:row r="30" ht="51.45000076293945">
      <x:c r="A30" s="66" t="n" cm="1">
        <x:f t="array" ref="A30">IF(OR(B30="",C30=""),"",IF(C30="Initiative",COUNTIF($C$5:C30,"Initiative"),IF(C30="Milestone",IF(D30="","",D30&amp;"."&amp;COUNTIFS($D$5:D30,D30,$C$5:C30,"Milestone")),IF(OR(C30="Activity",C30="Variation"),IF(D30="","",D30&amp;"."&amp;(COUNTIFS($D$5:D30,D30,$C$5:C30,"Activity")+COUNTIFS($D$5:D30,D30,$C$5:C30,"Variation"))),""))))</x:f>
        <x:v>6</x:v>
      </x:c>
      <x:c r="B30" s="19" t="s">
        <x:v>62</x:v>
      </x:c>
      <x:c r="C30" s="19" t="s">
        <x:v>7</x:v>
      </x:c>
      <x:c r="D30" s="20"/>
      <x:c r="E30" s="21" t="s">
        <x:v>63</x:v>
      </x:c>
      <x:c r="F30" s="21" t="s">
        <x:v>43</x:v>
      </x:c>
      <x:c r="G30" s="102">
        <x:v>46055</x:v>
      </x:c>
      <x:c r="H30" s="102">
        <x:v>46360</x:v>
      </x:c>
      <x:c r="I30" s="102">
        <x:v>46430</x:v>
      </x:c>
      <x:c r="J30" s="100"/>
      <x:c r="K30" s="7" t="n">
        <x:f ca="1">IF($B30="","",IF($C30="Initiative",IF(COUNTIFS($B$31:$B$204,$B30,$C$31:$C$204,"Activity")+COUNTIFS($B$31:$B$204,$B30,$C$31:$C$204,"Variation")=0,"",IF(COUNTIFS($B$31:$B$204,$B30,$C$31:$C$204,"Activity")+COUNTIFS($B$31:$B$204,$B30,$C$31:$C$204,"Variation")&lt;&gt;COUNTIFS($B$31:$B$204,$B30,$C$31:$C$204,"Activity",$G$31:$G$204,"&lt;&gt;",$H$31:$H$204,"&lt;&gt;")+COUNTIFS($B$31:$B$204,$B30,$C$31:$C$204,"Variation",$G$31:$G$204,"&lt;&gt;",$H$31:$H$204,"&lt;&gt;"),"",(SUMIFS($K$31:$K$204,$B$31:$B$204,$B30,$C$31:$C$204,"Activity")+SUMIFS($K$31:$K$204,$B$31:$B$204,$B30,$C$31:$C$204,"Variation"))/(COUNTIFS($B$31:$B$204,$B30,$C$31:$C$204,"Activity")+COUNTIFS($B$31:$B$204,$B30,$C$31:$C$204,"Variation")))),IF($C30="Milestone",IF(COUNTIFS($D$31:$D$204,$A30,$C$31:$C$204,"Activity")+COUNTIFS($D$31:$D$204,$A30,$C$31:$C$204,"Variation")=0,"",IF(COUNTIFS($D$31:$D$204,$A30,$C$31:$C$204,"Activity")+COUNTIFS($D$31:$D$204,$A30,$C$31:$C$204,"Variation")&lt;&gt;COUNTIFS($D$31:$D$204,$A30,$C$31:$C$204,"Activity",$G$31:$G$204,"&lt;&gt;",$H$31:$H$204,"&lt;&gt;")+COUNTIFS($D$31:$D$204,$A30,$C$31:$C$204,"Variation",$G$31:$G$204,"&lt;&gt;",$H$31:$H$204,"&lt;&gt;"),"",(SUMIFS($K$31:$K$204,$D$31:$D$204,$A30,$C$31:$C$204,"Activity")+SUMIFS($K$31:$K$204,$D$31:$D$204,$A30,$C$31:$C$204,"Variation"))/(COUNTIFS($D$31:$D$204,$A30,$C$31:$C$204,"Activity")+COUNTIFS($D$31:$D$204,$A30,$C$31:$C$204,"Variation")))),IF(OR($C30="Activity",$C30="Variation"),IF(OR($G30="",$H30=""),"",IF($H30&lt;$G30,"",IF($H30=$G30,--(TODAY()&gt;=$H30),MAX(0,MIN(1,(TODAY()-$G30)/($H30-$G30)))))),""))))</x:f>
        <x:v>0.73</x:v>
      </x:c>
      <x:c r="L30" s="7" t="n">
        <x:f t="shared" si="0">IF($B30="","",IF($C30="Initiative",IF(COUNTIFS($B$5:$B$204,$B30,$C$5:$C$204,"Activity")+COUNTIFS($B$5:$B$204,$B30,$C$5:$C$204,"Variation")=0,"",IF(COUNTIFS($B$5:$B$204,$B30,$C$5:$C$204,"Activity")+COUNTIFS($B$5:$B$204,$B30,$C$5:$C$204,"Variation")&lt;&gt;COUNTIFS($B$5:$B$204,$B30,$C$5:$C$204,"Activity",$J$5:$J$204,"&lt;&gt;",$J$5:$J$204,"&gt;=0",$J$5:$J$204,"&lt;=1")+COUNTIFS($B$5:$B$204,$B30,$C$5:$C$204,"Variation",$J$5:$J$204,"&lt;&gt;",$J$5:$J$204,"&gt;=0",$J$5:$J$204,"&lt;=1"),"",(SUMIFS($J$5:$J$204,$B$5:$B$204,$B30,$C$5:$C$204,"Activity")+SUMIFS($J$5:$J$204,$B$5:$B$204,$B30,$C$5:$C$204,"Variation"))/(COUNTIFS($B$5:$B$204,$B30,$C$5:$C$204,"Activity")+COUNTIFS($B$5:$B$204,$B30,$C$5:$C$204,"Variation")))),IF($C30="Milestone",IF(COUNTIFS($D$5:$D$204,$A30,$C$5:$C$204,"Activity")+COUNTIFS($D$5:$D$204,$A30,$C$5:$C$204,"Variation")=0,"",IF(COUNTIFS($D$5:$D$204,$A30,$C$5:$C$204,"Activity")+COUNTIFS($D$5:$D$204,$A30,$C$5:$C$204,"Variation")&lt;&gt;COUNTIFS($D$5:$D$204,$A30,$C$5:$C$204,"Activity",$J$5:$J$204,"&lt;&gt;",$J$5:$J$204,"&gt;=0",$J$5:$J$204,"&lt;=1")+COUNTIFS($D$5:$D$204,$A30,$C$5:$C$204,"Variation",$J$5:$J$204,"&lt;&gt;",$J$5:$J$204,"&gt;=0",$J$5:$J$204,"&lt;=1"),"",(SUMIFS($J$5:$J$204,$D$5:$D$204,$A30,$C$5:$C$204,"Activity")+SUMIFS($J$5:$J$204,$D$5:$D$204,$A30,$C$5:$C$204,"Variation"))/(COUNTIFS($D$5:$D$204,$A30,$C$5:$C$204,"Activity")+COUNTIFS($D$5:$D$204,$A30,$C$5:$C$204,"Variation")))),IF(OR($C30="Activity",$C30="Variation"),IF(AND(ISNUMBER($J30),$J30&gt;=0,$J30&lt;=1),$J30,""),""))))</x:f>
        <x:v>0.45</x:v>
      </x:c>
      <x:c r="M30" s="7" t="n">
        <x:f t="shared" ca="1" si="1">IF(OR($K30="",$L30=""),"",$L30-$K30)</x:f>
        <x:v>-0.27999999999999997</x:v>
      </x:c>
      <x:c r="N30" s="6" t="str">
        <x:f ca="1">IF(OR($B30="",$I30="",$L30=""),"",IF(AND($L30&lt;1,$I30&lt;TODAY()),"Late",IF(AND($H30&lt;&gt;"",$I30&gt;$H30),"Forecast Slip","On Plan")))</x:f>
        <x:v>Forecast Slip</x:v>
      </x:c>
      <x:c r="O30" s="19" t="s">
        <x:v>117</x:v>
      </x:c>
      <x:c r="P30" s="6" t="str">
        <x:f t="shared" si="2">IF($B30="","",IF($A30="","Enter item ID",IF(COUNTIF($A$5:$A$204,$A30)&gt;1,"Duplicate item ID",IF($C30="Initiative",IF($D30&lt;&gt;"","Parent must be blank",IF(COUNTIFS($B$5:$B$204,$B30,$C$5:$C$204,"Initiative")&lt;&gt;1,"One Initiative row required",IF(COUNTIFS($D$5:$D$204,$A30,$C$5:$C$204,"Milestone")=0,"Add milestone","OK"))),IF($C30="Milestone",IF(COUNTIFS($A$5:$A$204,$D30,$B$5:$B$204,$B30,$C$5:$C$204,"Initiative")&lt;&gt;1,"Parent must be Initiative",IF(COUNTIFS($D$5:$D$204,$A30,$C$5:$C$204,"Activity")+COUNTIFS($D$5:$D$204,$A30,$C$5:$C$204,"Variation")=0,"Add activity or variation","OK")),IF(OR($C30="Activity",$C30="Variation"),IF(COUNTIFS($A$5:$A$204,$D30,$B$5:$B$204,$B30,$C$5:$C$204,"Milestone")&lt;&gt;1,"Parent must be Milestone",IF(OR($G30="",$H30=""),"Enter baseline dates",IF($H30&lt;$G30,"Baseline finish before start",IF($I30="","Enter forecast finish",IF(COUNT($J30)=0,"Enter actual %",IF(OR(NOT(ISNUMBER($J30)),$J30&lt;0,$J30&gt;1),"Actual % must be 0–100%","OK")))))),"Select level"))))))</x:f>
        <x:v>OK</x:v>
      </x:c>
    </x:row>
    <x:row r="31" ht="51.45000076293945">
      <x:c r="A31" s="66" t="str" cm="1">
        <x:f t="array" ref="A31">IF(OR(B31="",C31=""),"",IF(C31="Initiative",COUNTIF($C$5:C31,"Initiative"),IF(C31="Milestone",IF(D31="","",D31&amp;"."&amp;COUNTIFS($D$5:D31,D31,$C$5:C31,"Milestone")),IF(OR(C31="Activity",C31="Variation"),IF(D31="","",D31&amp;"."&amp;(COUNTIFS($D$5:D31,D31,$C$5:C31,"Activity")+COUNTIFS($D$5:D31,D31,$C$5:C31,"Variation"))),""))))</x:f>
        <x:v>6.1</x:v>
      </x:c>
      <x:c r="B31" s="19" t="s">
        <x:v>62</x:v>
      </x:c>
      <x:c r="C31" s="19" t="s">
        <x:v>97</x:v>
      </x:c>
      <x:c r="D31" s="20">
        <x:v>6</x:v>
      </x:c>
      <x:c r="E31" s="21" t="s">
        <x:v>98</x:v>
      </x:c>
      <x:c r="F31" s="21" t="s">
        <x:v>43</x:v>
      </x:c>
      <x:c r="G31" s="102">
        <x:v>46055</x:v>
      </x:c>
      <x:c r="H31" s="102">
        <x:v>46360</x:v>
      </x:c>
      <x:c r="I31" s="102">
        <x:v>46430</x:v>
      </x:c>
      <x:c r="J31" s="100"/>
      <x:c r="K31" s="7" t="n">
        <x:f ca="1">IF($B31="","",IF($C31="Initiative",IF(COUNTIFS($B$32:$B$204,$B31,$C$32:$C$204,"Activity")+COUNTIFS($B$32:$B$204,$B31,$C$32:$C$204,"Variation")=0,"",IF(COUNTIFS($B$32:$B$204,$B31,$C$32:$C$204,"Activity")+COUNTIFS($B$32:$B$204,$B31,$C$32:$C$204,"Variation")&lt;&gt;COUNTIFS($B$32:$B$204,$B31,$C$32:$C$204,"Activity",$G$32:$G$204,"&lt;&gt;",$H$32:$H$204,"&lt;&gt;")+COUNTIFS($B$32:$B$204,$B31,$C$32:$C$204,"Variation",$G$32:$G$204,"&lt;&gt;",$H$32:$H$204,"&lt;&gt;"),"",(SUMIFS($K$32:$K$204,$B$32:$B$204,$B31,$C$32:$C$204,"Activity")+SUMIFS($K$32:$K$204,$B$32:$B$204,$B31,$C$32:$C$204,"Variation"))/(COUNTIFS($B$32:$B$204,$B31,$C$32:$C$204,"Activity")+COUNTIFS($B$32:$B$204,$B31,$C$32:$C$204,"Variation")))),IF($C31="Milestone",IF(COUNTIFS($D$32:$D$204,$A31,$C$32:$C$204,"Activity")+COUNTIFS($D$32:$D$204,$A31,$C$32:$C$204,"Variation")=0,"",IF(COUNTIFS($D$32:$D$204,$A31,$C$32:$C$204,"Activity")+COUNTIFS($D$32:$D$204,$A31,$C$32:$C$204,"Variation")&lt;&gt;COUNTIFS($D$32:$D$204,$A31,$C$32:$C$204,"Activity",$G$32:$G$204,"&lt;&gt;",$H$32:$H$204,"&lt;&gt;")+COUNTIFS($D$32:$D$204,$A31,$C$32:$C$204,"Variation",$G$32:$G$204,"&lt;&gt;",$H$32:$H$204,"&lt;&gt;"),"",(SUMIFS($K$32:$K$204,$D$32:$D$204,$A31,$C$32:$C$204,"Activity")+SUMIFS($K$32:$K$204,$D$32:$D$204,$A31,$C$32:$C$204,"Variation"))/(COUNTIFS($D$32:$D$204,$A31,$C$32:$C$204,"Activity")+COUNTIFS($D$32:$D$204,$A31,$C$32:$C$204,"Variation")))),IF(OR($C31="Activity",$C31="Variation"),IF(OR($G31="",$H31=""),"",IF($H31&lt;$G31,"",IF($H31=$G31,--(TODAY()&gt;=$H31),MAX(0,MIN(1,(TODAY()-$G31)/($H31-$G31)))))),""))))</x:f>
        <x:v>0.73</x:v>
      </x:c>
      <x:c r="L31" s="7" t="n">
        <x:f t="shared" si="0">IF($B31="","",IF($C31="Initiative",IF(COUNTIFS($B$5:$B$204,$B31,$C$5:$C$204,"Activity")+COUNTIFS($B$5:$B$204,$B31,$C$5:$C$204,"Variation")=0,"",IF(COUNTIFS($B$5:$B$204,$B31,$C$5:$C$204,"Activity")+COUNTIFS($B$5:$B$204,$B31,$C$5:$C$204,"Variation")&lt;&gt;COUNTIFS($B$5:$B$204,$B31,$C$5:$C$204,"Activity",$J$5:$J$204,"&lt;&gt;",$J$5:$J$204,"&gt;=0",$J$5:$J$204,"&lt;=1")+COUNTIFS($B$5:$B$204,$B31,$C$5:$C$204,"Variation",$J$5:$J$204,"&lt;&gt;",$J$5:$J$204,"&gt;=0",$J$5:$J$204,"&lt;=1"),"",(SUMIFS($J$5:$J$204,$B$5:$B$204,$B31,$C$5:$C$204,"Activity")+SUMIFS($J$5:$J$204,$B$5:$B$204,$B31,$C$5:$C$204,"Variation"))/(COUNTIFS($B$5:$B$204,$B31,$C$5:$C$204,"Activity")+COUNTIFS($B$5:$B$204,$B31,$C$5:$C$204,"Variation")))),IF($C31="Milestone",IF(COUNTIFS($D$5:$D$204,$A31,$C$5:$C$204,"Activity")+COUNTIFS($D$5:$D$204,$A31,$C$5:$C$204,"Variation")=0,"",IF(COUNTIFS($D$5:$D$204,$A31,$C$5:$C$204,"Activity")+COUNTIFS($D$5:$D$204,$A31,$C$5:$C$204,"Variation")&lt;&gt;COUNTIFS($D$5:$D$204,$A31,$C$5:$C$204,"Activity",$J$5:$J$204,"&lt;&gt;",$J$5:$J$204,"&gt;=0",$J$5:$J$204,"&lt;=1")+COUNTIFS($D$5:$D$204,$A31,$C$5:$C$204,"Variation",$J$5:$J$204,"&lt;&gt;",$J$5:$J$204,"&gt;=0",$J$5:$J$204,"&lt;=1"),"",(SUMIFS($J$5:$J$204,$D$5:$D$204,$A31,$C$5:$C$204,"Activity")+SUMIFS($J$5:$J$204,$D$5:$D$204,$A31,$C$5:$C$204,"Variation"))/(COUNTIFS($D$5:$D$204,$A31,$C$5:$C$204,"Activity")+COUNTIFS($D$5:$D$204,$A31,$C$5:$C$204,"Variation")))),IF(OR($C31="Activity",$C31="Variation"),IF(AND(ISNUMBER($J31),$J31&gt;=0,$J31&lt;=1),$J31,""),""))))</x:f>
        <x:v>0.45</x:v>
      </x:c>
      <x:c r="M31" s="7" t="n">
        <x:f t="shared" ca="1" si="1">IF(OR($K31="",$L31=""),"",$L31-$K31)</x:f>
        <x:v>-0.27999999999999997</x:v>
      </x:c>
      <x:c r="N31" s="6" t="str">
        <x:f ca="1">IF(OR($B31="",$I31="",$L31=""),"",IF(AND($L31&lt;1,$I31&lt;TODAY()),"Late",IF(AND($H31&lt;&gt;"",$I31&gt;$H31),"Forecast Slip","On Plan")))</x:f>
        <x:v>Forecast Slip</x:v>
      </x:c>
      <x:c r="O31" s="19" t="s">
        <x:v>117</x:v>
      </x:c>
      <x:c r="P31" s="6" t="str">
        <x:f t="shared" si="2">IF($B31="","",IF($A31="","Enter item ID",IF(COUNTIF($A$5:$A$204,$A31)&gt;1,"Duplicate item ID",IF($C31="Initiative",IF($D31&lt;&gt;"","Parent must be blank",IF(COUNTIFS($B$5:$B$204,$B31,$C$5:$C$204,"Initiative")&lt;&gt;1,"One Initiative row required",IF(COUNTIFS($D$5:$D$204,$A31,$C$5:$C$204,"Milestone")=0,"Add milestone","OK"))),IF($C31="Milestone",IF(COUNTIFS($A$5:$A$204,$D31,$B$5:$B$204,$B31,$C$5:$C$204,"Initiative")&lt;&gt;1,"Parent must be Initiative",IF(COUNTIFS($D$5:$D$204,$A31,$C$5:$C$204,"Activity")+COUNTIFS($D$5:$D$204,$A31,$C$5:$C$204,"Variation")=0,"Add activity or variation","OK")),IF(OR($C31="Activity",$C31="Variation"),IF(COUNTIFS($A$5:$A$204,$D31,$B$5:$B$204,$B31,$C$5:$C$204,"Milestone")&lt;&gt;1,"Parent must be Milestone",IF(OR($G31="",$H31=""),"Enter baseline dates",IF($H31&lt;$G31,"Baseline finish before start",IF($I31="","Enter forecast finish",IF(COUNT($J31)=0,"Enter actual %",IF(OR(NOT(ISNUMBER($J31)),$J31&lt;0,$J31&gt;1),"Actual % must be 0–100%","OK")))))),"Select level"))))))</x:f>
        <x:v>OK</x:v>
      </x:c>
    </x:row>
    <x:row r="32">
      <x:c r="A32" s="66" t="str" cm="1">
        <x:f t="array" ref="A32">IF(OR(B32="",C32=""),"",IF(C32="Initiative",COUNTIF($C$5:C32,"Initiative"),IF(C32="Milestone",IF(D32="","",D32&amp;"."&amp;COUNTIFS($D$5:D32,D32,$C$5:C32,"Milestone")),IF(OR(C32="Activity",C32="Variation"),IF(D32="","",D32&amp;"."&amp;(COUNTIFS($D$5:D32,D32,$C$5:C32,"Activity")+COUNTIFS($D$5:D32,D32,$C$5:C32,"Variation"))),""))))</x:f>
        <x:v>6.1.1</x:v>
      </x:c>
      <x:c r="B32" s="19" t="s">
        <x:v>62</x:v>
      </x:c>
      <x:c r="C32" s="19" t="s">
        <x:v>99</x:v>
      </x:c>
      <x:c r="D32" s="20">
        <x:v>6.1</x:v>
      </x:c>
      <x:c r="E32" s="21" t="s">
        <x:v>118</x:v>
      </x:c>
      <x:c r="F32" s="21" t="s">
        <x:v>43</x:v>
      </x:c>
      <x:c r="G32" s="102">
        <x:v>46055</x:v>
      </x:c>
      <x:c r="H32" s="102">
        <x:v>46156</x:v>
      </x:c>
      <x:c r="I32" s="102">
        <x:v>46156</x:v>
      </x:c>
      <x:c r="J32" s="100">
        <x:v>0.6</x:v>
      </x:c>
      <x:c r="K32" s="7" t="n">
        <x:f ca="1">IF($B32="","",IF($C32="Initiative",IF(COUNTIFS($B$33:$B$204,$B32,$C$33:$C$204,"Activity")+COUNTIFS($B$33:$B$204,$B32,$C$33:$C$204,"Variation")=0,"",IF(COUNTIFS($B$33:$B$204,$B32,$C$33:$C$204,"Activity")+COUNTIFS($B$33:$B$204,$B32,$C$33:$C$204,"Variation")&lt;&gt;COUNTIFS($B$33:$B$204,$B32,$C$33:$C$204,"Activity",$G$33:$G$204,"&lt;&gt;",$H$33:$H$204,"&lt;&gt;")+COUNTIFS($B$33:$B$204,$B32,$C$33:$C$204,"Variation",$G$33:$G$204,"&lt;&gt;",$H$33:$H$204,"&lt;&gt;"),"",(SUMIFS($K$33:$K$204,$B$33:$B$204,$B32,$C$33:$C$204,"Activity")+SUMIFS($K$33:$K$204,$B$33:$B$204,$B32,$C$33:$C$204,"Variation"))/(COUNTIFS($B$33:$B$204,$B32,$C$33:$C$204,"Activity")+COUNTIFS($B$33:$B$204,$B32,$C$33:$C$204,"Variation")))),IF($C32="Milestone",IF(COUNTIFS($D$33:$D$204,$A32,$C$33:$C$204,"Activity")+COUNTIFS($D$33:$D$204,$A32,$C$33:$C$204,"Variation")=0,"",IF(COUNTIFS($D$33:$D$204,$A32,$C$33:$C$204,"Activity")+COUNTIFS($D$33:$D$204,$A32,$C$33:$C$204,"Variation")&lt;&gt;COUNTIFS($D$33:$D$204,$A32,$C$33:$C$204,"Activity",$G$33:$G$204,"&lt;&gt;",$H$33:$H$204,"&lt;&gt;")+COUNTIFS($D$33:$D$204,$A32,$C$33:$C$204,"Variation",$G$33:$G$204,"&lt;&gt;",$H$33:$H$204,"&lt;&gt;"),"",(SUMIFS($K$33:$K$204,$D$33:$D$204,$A32,$C$33:$C$204,"Activity")+SUMIFS($K$33:$K$204,$D$33:$D$204,$A32,$C$33:$C$204,"Variation"))/(COUNTIFS($D$33:$D$204,$A32,$C$33:$C$204,"Activity")+COUNTIFS($D$33:$D$204,$A32,$C$33:$C$204,"Variation")))),IF(OR($C32="Activity",$C32="Variation"),IF(OR($G32="",$H32=""),"",IF($H32&lt;$G32,"",IF($H32=$G32,--(TODAY()&gt;=$H32),MAX(0,MIN(1,(TODAY()-$G32)/($H32-$G32)))))),""))))</x:f>
        <x:v>1</x:v>
      </x:c>
      <x:c r="L32" s="7" t="n">
        <x:f t="shared" si="0">IF($B32="","",IF($C32="Initiative",IF(COUNTIFS($B$5:$B$204,$B32,$C$5:$C$204,"Activity")+COUNTIFS($B$5:$B$204,$B32,$C$5:$C$204,"Variation")=0,"",IF(COUNTIFS($B$5:$B$204,$B32,$C$5:$C$204,"Activity")+COUNTIFS($B$5:$B$204,$B32,$C$5:$C$204,"Variation")&lt;&gt;COUNTIFS($B$5:$B$204,$B32,$C$5:$C$204,"Activity",$J$5:$J$204,"&lt;&gt;",$J$5:$J$204,"&gt;=0",$J$5:$J$204,"&lt;=1")+COUNTIFS($B$5:$B$204,$B32,$C$5:$C$204,"Variation",$J$5:$J$204,"&lt;&gt;",$J$5:$J$204,"&gt;=0",$J$5:$J$204,"&lt;=1"),"",(SUMIFS($J$5:$J$204,$B$5:$B$204,$B32,$C$5:$C$204,"Activity")+SUMIFS($J$5:$J$204,$B$5:$B$204,$B32,$C$5:$C$204,"Variation"))/(COUNTIFS($B$5:$B$204,$B32,$C$5:$C$204,"Activity")+COUNTIFS($B$5:$B$204,$B32,$C$5:$C$204,"Variation")))),IF($C32="Milestone",IF(COUNTIFS($D$5:$D$204,$A32,$C$5:$C$204,"Activity")+COUNTIFS($D$5:$D$204,$A32,$C$5:$C$204,"Variation")=0,"",IF(COUNTIFS($D$5:$D$204,$A32,$C$5:$C$204,"Activity")+COUNTIFS($D$5:$D$204,$A32,$C$5:$C$204,"Variation")&lt;&gt;COUNTIFS($D$5:$D$204,$A32,$C$5:$C$204,"Activity",$J$5:$J$204,"&lt;&gt;",$J$5:$J$204,"&gt;=0",$J$5:$J$204,"&lt;=1")+COUNTIFS($D$5:$D$204,$A32,$C$5:$C$204,"Variation",$J$5:$J$204,"&lt;&gt;",$J$5:$J$204,"&gt;=0",$J$5:$J$204,"&lt;=1"),"",(SUMIFS($J$5:$J$204,$D$5:$D$204,$A32,$C$5:$C$204,"Activity")+SUMIFS($J$5:$J$204,$D$5:$D$204,$A32,$C$5:$C$204,"Variation"))/(COUNTIFS($D$5:$D$204,$A32,$C$5:$C$204,"Activity")+COUNTIFS($D$5:$D$204,$A32,$C$5:$C$204,"Variation")))),IF(OR($C32="Activity",$C32="Variation"),IF(AND(ISNUMBER($J32),$J32&gt;=0,$J32&lt;=1),$J32,""),""))))</x:f>
        <x:v>0.6</x:v>
      </x:c>
      <x:c r="M32" s="7" t="n">
        <x:f t="shared" ca="1" si="1">IF(OR($K32="",$L32=""),"",$L32-$K32)</x:f>
        <x:v>-0.4</x:v>
      </x:c>
      <x:c r="N32" s="6" t="str">
        <x:f ca="1">IF(OR($B32="",$I32="",$L32=""),"",IF(AND($L32&lt;1,$I32&lt;TODAY()),"Late",IF(AND($H32&lt;&gt;"",$I32&gt;$H32),"Forecast Slip","On Plan")))</x:f>
        <x:v>Late</x:v>
      </x:c>
      <x:c r="O32" s="19"/>
      <x:c r="P32" s="6" t="str">
        <x:f t="shared" si="2">IF($B32="","",IF($A32="","Enter item ID",IF(COUNTIF($A$5:$A$204,$A32)&gt;1,"Duplicate item ID",IF($C32="Initiative",IF($D32&lt;&gt;"","Parent must be blank",IF(COUNTIFS($B$5:$B$204,$B32,$C$5:$C$204,"Initiative")&lt;&gt;1,"One Initiative row required",IF(COUNTIFS($D$5:$D$204,$A32,$C$5:$C$204,"Milestone")=0,"Add milestone","OK"))),IF($C32="Milestone",IF(COUNTIFS($A$5:$A$204,$D32,$B$5:$B$204,$B32,$C$5:$C$204,"Initiative")&lt;&gt;1,"Parent must be Initiative",IF(COUNTIFS($D$5:$D$204,$A32,$C$5:$C$204,"Activity")+COUNTIFS($D$5:$D$204,$A32,$C$5:$C$204,"Variation")=0,"Add activity or variation","OK")),IF(OR($C32="Activity",$C32="Variation"),IF(COUNTIFS($A$5:$A$204,$D32,$B$5:$B$204,$B32,$C$5:$C$204,"Milestone")&lt;&gt;1,"Parent must be Milestone",IF(OR($G32="",$H32=""),"Enter baseline dates",IF($H32&lt;$G32,"Baseline finish before start",IF($I32="","Enter forecast finish",IF(COUNT($J32)=0,"Enter actual %",IF(OR(NOT(ISNUMBER($J32)),$J32&lt;0,$J32&gt;1),"Actual % must be 0–100%","OK")))))),"Select level"))))))</x:f>
        <x:v>OK</x:v>
      </x:c>
    </x:row>
    <x:row r="33" ht="51.45000076293945">
      <x:c r="A33" s="66" t="str" cm="1">
        <x:f t="array" ref="A33">IF(OR(B33="",C33=""),"",IF(C33="Initiative",COUNTIF($C$5:C33,"Initiative"),IF(C33="Milestone",IF(D33="","",D33&amp;"."&amp;COUNTIFS($D$5:D33,D33,$C$5:C33,"Milestone")),IF(OR(C33="Activity",C33="Variation"),IF(D33="","",D33&amp;"."&amp;(COUNTIFS($D$5:D33,D33,$C$5:C33,"Activity")+COUNTIFS($D$5:D33,D33,$C$5:C33,"Variation"))),""))))</x:f>
        <x:v>6.1.2</x:v>
      </x:c>
      <x:c r="B33" s="19" t="s">
        <x:v>62</x:v>
      </x:c>
      <x:c r="C33" s="19" t="s">
        <x:v>99</x:v>
      </x:c>
      <x:c r="D33" s="20">
        <x:v>6.1</x:v>
      </x:c>
      <x:c r="E33" s="21" t="s">
        <x:v>119</x:v>
      </x:c>
      <x:c r="F33" s="21" t="s">
        <x:v>43</x:v>
      </x:c>
      <x:c r="G33" s="102">
        <x:v>46157</x:v>
      </x:c>
      <x:c r="H33" s="102">
        <x:v>46259</x:v>
      </x:c>
      <x:c r="I33" s="102">
        <x:v>46329</x:v>
      </x:c>
      <x:c r="J33" s="100">
        <x:v>0.45</x:v>
      </x:c>
      <x:c r="K33" s="7" t="n">
        <x:f ca="1">IF($B33="","",IF($C33="Initiative",IF(COUNTIFS($B$34:$B$204,$B33,$C$34:$C$204,"Activity")+COUNTIFS($B$34:$B$204,$B33,$C$34:$C$204,"Variation")=0,"",IF(COUNTIFS($B$34:$B$204,$B33,$C$34:$C$204,"Activity")+COUNTIFS($B$34:$B$204,$B33,$C$34:$C$204,"Variation")&lt;&gt;COUNTIFS($B$34:$B$204,$B33,$C$34:$C$204,"Activity",$G$34:$G$204,"&lt;&gt;",$H$34:$H$204,"&lt;&gt;")+COUNTIFS($B$34:$B$204,$B33,$C$34:$C$204,"Variation",$G$34:$G$204,"&lt;&gt;",$H$34:$H$204,"&lt;&gt;"),"",(SUMIFS($K$34:$K$204,$B$34:$B$204,$B33,$C$34:$C$204,"Activity")+SUMIFS($K$34:$K$204,$B$34:$B$204,$B33,$C$34:$C$204,"Variation"))/(COUNTIFS($B$34:$B$204,$B33,$C$34:$C$204,"Activity")+COUNTIFS($B$34:$B$204,$B33,$C$34:$C$204,"Variation")))),IF($C33="Milestone",IF(COUNTIFS($D$34:$D$204,$A33,$C$34:$C$204,"Activity")+COUNTIFS($D$34:$D$204,$A33,$C$34:$C$204,"Variation")=0,"",IF(COUNTIFS($D$34:$D$204,$A33,$C$34:$C$204,"Activity")+COUNTIFS($D$34:$D$204,$A33,$C$34:$C$204,"Variation")&lt;&gt;COUNTIFS($D$34:$D$204,$A33,$C$34:$C$204,"Activity",$G$34:$G$204,"&lt;&gt;",$H$34:$H$204,"&lt;&gt;")+COUNTIFS($D$34:$D$204,$A33,$C$34:$C$204,"Variation",$G$34:$G$204,"&lt;&gt;",$H$34:$H$204,"&lt;&gt;"),"",(SUMIFS($K$34:$K$204,$D$34:$D$204,$A33,$C$34:$C$204,"Activity")+SUMIFS($K$34:$K$204,$D$34:$D$204,$A33,$C$34:$C$204,"Variation"))/(COUNTIFS($D$34:$D$204,$A33,$C$34:$C$204,"Activity")+COUNTIFS($D$34:$D$204,$A33,$C$34:$C$204,"Variation")))),IF(OR($C33="Activity",$C33="Variation"),IF(OR($G33="",$H33=""),"",IF($H33&lt;$G33,"",IF($H33=$G33,--(TODAY()&gt;=$H33),MAX(0,MIN(1,(TODAY()-$G33)/($H33-$G33)))))),""))))</x:f>
        <x:v>1</x:v>
      </x:c>
      <x:c r="L33" s="7" t="n">
        <x:f t="shared" si="0">IF($B33="","",IF($C33="Initiative",IF(COUNTIFS($B$5:$B$204,$B33,$C$5:$C$204,"Activity")+COUNTIFS($B$5:$B$204,$B33,$C$5:$C$204,"Variation")=0,"",IF(COUNTIFS($B$5:$B$204,$B33,$C$5:$C$204,"Activity")+COUNTIFS($B$5:$B$204,$B33,$C$5:$C$204,"Variation")&lt;&gt;COUNTIFS($B$5:$B$204,$B33,$C$5:$C$204,"Activity",$J$5:$J$204,"&lt;&gt;",$J$5:$J$204,"&gt;=0",$J$5:$J$204,"&lt;=1")+COUNTIFS($B$5:$B$204,$B33,$C$5:$C$204,"Variation",$J$5:$J$204,"&lt;&gt;",$J$5:$J$204,"&gt;=0",$J$5:$J$204,"&lt;=1"),"",(SUMIFS($J$5:$J$204,$B$5:$B$204,$B33,$C$5:$C$204,"Activity")+SUMIFS($J$5:$J$204,$B$5:$B$204,$B33,$C$5:$C$204,"Variation"))/(COUNTIFS($B$5:$B$204,$B33,$C$5:$C$204,"Activity")+COUNTIFS($B$5:$B$204,$B33,$C$5:$C$204,"Variation")))),IF($C33="Milestone",IF(COUNTIFS($D$5:$D$204,$A33,$C$5:$C$204,"Activity")+COUNTIFS($D$5:$D$204,$A33,$C$5:$C$204,"Variation")=0,"",IF(COUNTIFS($D$5:$D$204,$A33,$C$5:$C$204,"Activity")+COUNTIFS($D$5:$D$204,$A33,$C$5:$C$204,"Variation")&lt;&gt;COUNTIFS($D$5:$D$204,$A33,$C$5:$C$204,"Activity",$J$5:$J$204,"&lt;&gt;",$J$5:$J$204,"&gt;=0",$J$5:$J$204,"&lt;=1")+COUNTIFS($D$5:$D$204,$A33,$C$5:$C$204,"Variation",$J$5:$J$204,"&lt;&gt;",$J$5:$J$204,"&gt;=0",$J$5:$J$204,"&lt;=1"),"",(SUMIFS($J$5:$J$204,$D$5:$D$204,$A33,$C$5:$C$204,"Activity")+SUMIFS($J$5:$J$204,$D$5:$D$204,$A33,$C$5:$C$204,"Variation"))/(COUNTIFS($D$5:$D$204,$A33,$C$5:$C$204,"Activity")+COUNTIFS($D$5:$D$204,$A33,$C$5:$C$204,"Variation")))),IF(OR($C33="Activity",$C33="Variation"),IF(AND(ISNUMBER($J33),$J33&gt;=0,$J33&lt;=1),$J33,""),""))))</x:f>
        <x:v>0.45</x:v>
      </x:c>
      <x:c r="M33" s="7" t="n">
        <x:f t="shared" ca="1" si="1">IF(OR($K33="",$L33=""),"",$L33-$K33)</x:f>
        <x:v>-0.55</x:v>
      </x:c>
      <x:c r="N33" s="6" t="str">
        <x:f ca="1">IF(OR($B33="",$I33="",$L33=""),"",IF(AND($L33&lt;1,$I33&lt;TODAY()),"Late",IF(AND($H33&lt;&gt;"",$I33&gt;$H33),"Forecast Slip","On Plan")))</x:f>
        <x:v>Forecast Slip</x:v>
      </x:c>
      <x:c r="O33" s="19" t="s">
        <x:v>117</x:v>
      </x:c>
      <x:c r="P33" s="6" t="str">
        <x:f t="shared" si="2">IF($B33="","",IF($A33="","Enter item ID",IF(COUNTIF($A$5:$A$204,$A33)&gt;1,"Duplicate item ID",IF($C33="Initiative",IF($D33&lt;&gt;"","Parent must be blank",IF(COUNTIFS($B$5:$B$204,$B33,$C$5:$C$204,"Initiative")&lt;&gt;1,"One Initiative row required",IF(COUNTIFS($D$5:$D$204,$A33,$C$5:$C$204,"Milestone")=0,"Add milestone","OK"))),IF($C33="Milestone",IF(COUNTIFS($A$5:$A$204,$D33,$B$5:$B$204,$B33,$C$5:$C$204,"Initiative")&lt;&gt;1,"Parent must be Initiative",IF(COUNTIFS($D$5:$D$204,$A33,$C$5:$C$204,"Activity")+COUNTIFS($D$5:$D$204,$A33,$C$5:$C$204,"Variation")=0,"Add activity or variation","OK")),IF(OR($C33="Activity",$C33="Variation"),IF(COUNTIFS($A$5:$A$204,$D33,$B$5:$B$204,$B33,$C$5:$C$204,"Milestone")&lt;&gt;1,"Parent must be Milestone",IF(OR($G33="",$H33=""),"Enter baseline dates",IF($H33&lt;$G33,"Baseline finish before start",IF($I33="","Enter forecast finish",IF(COUNT($J33)=0,"Enter actual %",IF(OR(NOT(ISNUMBER($J33)),$J33&lt;0,$J33&gt;1),"Actual % must be 0–100%","OK")))))),"Select level"))))))</x:f>
        <x:v>OK</x:v>
      </x:c>
    </x:row>
    <x:row r="34" ht="51.45000076293945">
      <x:c r="A34" s="66" t="str" cm="1">
        <x:f t="array" ref="A34">IF(OR(B34="",C34=""),"",IF(C34="Initiative",COUNTIF($C$5:C34,"Initiative"),IF(C34="Milestone",IF(D34="","",D34&amp;"."&amp;COUNTIFS($D$5:D34,D34,$C$5:C34,"Milestone")),IF(OR(C34="Activity",C34="Variation"),IF(D34="","",D34&amp;"."&amp;(COUNTIFS($D$5:D34,D34,$C$5:C34,"Activity")+COUNTIFS($D$5:D34,D34,$C$5:C34,"Variation"))),""))))</x:f>
        <x:v>6.1.3</x:v>
      </x:c>
      <x:c r="B34" s="19" t="s">
        <x:v>62</x:v>
      </x:c>
      <x:c r="C34" s="19" t="s">
        <x:v>99</x:v>
      </x:c>
      <x:c r="D34" s="20">
        <x:v>6.1</x:v>
      </x:c>
      <x:c r="E34" s="21" t="s">
        <x:v>120</x:v>
      </x:c>
      <x:c r="F34" s="21" t="s">
        <x:v>43</x:v>
      </x:c>
      <x:c r="G34" s="102">
        <x:v>46260</x:v>
      </x:c>
      <x:c r="H34" s="102">
        <x:v>46360</x:v>
      </x:c>
      <x:c r="I34" s="102">
        <x:v>46430</x:v>
      </x:c>
      <x:c r="J34" s="100">
        <x:v>0.3</x:v>
      </x:c>
      <x:c r="K34" s="7" t="n">
        <x:f ca="1">IF($B34="","",IF($C34="Initiative",IF(COUNTIFS($B$35:$B$204,$B34,$C$35:$C$204,"Activity")+COUNTIFS($B$35:$B$204,$B34,$C$35:$C$204,"Variation")=0,"",IF(COUNTIFS($B$35:$B$204,$B34,$C$35:$C$204,"Activity")+COUNTIFS($B$35:$B$204,$B34,$C$35:$C$204,"Variation")&lt;&gt;COUNTIFS($B$35:$B$204,$B34,$C$35:$C$204,"Activity",$G$35:$G$204,"&lt;&gt;",$H$35:$H$204,"&lt;&gt;")+COUNTIFS($B$35:$B$204,$B34,$C$35:$C$204,"Variation",$G$35:$G$204,"&lt;&gt;",$H$35:$H$204,"&lt;&gt;"),"",(SUMIFS($K$35:$K$204,$B$35:$B$204,$B34,$C$35:$C$204,"Activity")+SUMIFS($K$35:$K$204,$B$35:$B$204,$B34,$C$35:$C$204,"Variation"))/(COUNTIFS($B$35:$B$204,$B34,$C$35:$C$204,"Activity")+COUNTIFS($B$35:$B$204,$B34,$C$35:$C$204,"Variation")))),IF($C34="Milestone",IF(COUNTIFS($D$35:$D$204,$A34,$C$35:$C$204,"Activity")+COUNTIFS($D$35:$D$204,$A34,$C$35:$C$204,"Variation")=0,"",IF(COUNTIFS($D$35:$D$204,$A34,$C$35:$C$204,"Activity")+COUNTIFS($D$35:$D$204,$A34,$C$35:$C$204,"Variation")&lt;&gt;COUNTIFS($D$35:$D$204,$A34,$C$35:$C$204,"Activity",$G$35:$G$204,"&lt;&gt;",$H$35:$H$204,"&lt;&gt;")+COUNTIFS($D$35:$D$204,$A34,$C$35:$C$204,"Variation",$G$35:$G$204,"&lt;&gt;",$H$35:$H$204,"&lt;&gt;"),"",(SUMIFS($K$35:$K$204,$D$35:$D$204,$A34,$C$35:$C$204,"Activity")+SUMIFS($K$35:$K$204,$D$35:$D$204,$A34,$C$35:$C$204,"Variation"))/(COUNTIFS($D$35:$D$204,$A34,$C$35:$C$204,"Activity")+COUNTIFS($D$35:$D$204,$A34,$C$35:$C$204,"Variation")))),IF(OR($C34="Activity",$C34="Variation"),IF(OR($G34="",$H34=""),"",IF($H34&lt;$G34,"",IF($H34=$G34,--(TODAY()&gt;=$H34),MAX(0,MIN(1,(TODAY()-$G34)/($H34-$G34)))))),""))))</x:f>
        <x:v>0.19</x:v>
      </x:c>
      <x:c r="L34" s="7" t="n">
        <x:f t="shared" si="0">IF($B34="","",IF($C34="Initiative",IF(COUNTIFS($B$5:$B$204,$B34,$C$5:$C$204,"Activity")+COUNTIFS($B$5:$B$204,$B34,$C$5:$C$204,"Variation")=0,"",IF(COUNTIFS($B$5:$B$204,$B34,$C$5:$C$204,"Activity")+COUNTIFS($B$5:$B$204,$B34,$C$5:$C$204,"Variation")&lt;&gt;COUNTIFS($B$5:$B$204,$B34,$C$5:$C$204,"Activity",$J$5:$J$204,"&lt;&gt;",$J$5:$J$204,"&gt;=0",$J$5:$J$204,"&lt;=1")+COUNTIFS($B$5:$B$204,$B34,$C$5:$C$204,"Variation",$J$5:$J$204,"&lt;&gt;",$J$5:$J$204,"&gt;=0",$J$5:$J$204,"&lt;=1"),"",(SUMIFS($J$5:$J$204,$B$5:$B$204,$B34,$C$5:$C$204,"Activity")+SUMIFS($J$5:$J$204,$B$5:$B$204,$B34,$C$5:$C$204,"Variation"))/(COUNTIFS($B$5:$B$204,$B34,$C$5:$C$204,"Activity")+COUNTIFS($B$5:$B$204,$B34,$C$5:$C$204,"Variation")))),IF($C34="Milestone",IF(COUNTIFS($D$5:$D$204,$A34,$C$5:$C$204,"Activity")+COUNTIFS($D$5:$D$204,$A34,$C$5:$C$204,"Variation")=0,"",IF(COUNTIFS($D$5:$D$204,$A34,$C$5:$C$204,"Activity")+COUNTIFS($D$5:$D$204,$A34,$C$5:$C$204,"Variation")&lt;&gt;COUNTIFS($D$5:$D$204,$A34,$C$5:$C$204,"Activity",$J$5:$J$204,"&lt;&gt;",$J$5:$J$204,"&gt;=0",$J$5:$J$204,"&lt;=1")+COUNTIFS($D$5:$D$204,$A34,$C$5:$C$204,"Variation",$J$5:$J$204,"&lt;&gt;",$J$5:$J$204,"&gt;=0",$J$5:$J$204,"&lt;=1"),"",(SUMIFS($J$5:$J$204,$D$5:$D$204,$A34,$C$5:$C$204,"Activity")+SUMIFS($J$5:$J$204,$D$5:$D$204,$A34,$C$5:$C$204,"Variation"))/(COUNTIFS($D$5:$D$204,$A34,$C$5:$C$204,"Activity")+COUNTIFS($D$5:$D$204,$A34,$C$5:$C$204,"Variation")))),IF(OR($C34="Activity",$C34="Variation"),IF(AND(ISNUMBER($J34),$J34&gt;=0,$J34&lt;=1),$J34,""),""))))</x:f>
        <x:v>0.3</x:v>
      </x:c>
      <x:c r="M34" s="7" t="n">
        <x:f t="shared" ca="1" si="1">IF(OR($K34="",$L34=""),"",$L34-$K34)</x:f>
        <x:v>0.10999999999999999</x:v>
      </x:c>
      <x:c r="N34" s="6" t="str">
        <x:f ca="1">IF(OR($B34="",$I34="",$L34=""),"",IF(AND($L34&lt;1,$I34&lt;TODAY()),"Late",IF(AND($H34&lt;&gt;"",$I34&gt;$H34),"Forecast Slip","On Plan")))</x:f>
        <x:v>Forecast Slip</x:v>
      </x:c>
      <x:c r="O34" s="19" t="s">
        <x:v>117</x:v>
      </x:c>
      <x:c r="P34" s="6" t="str">
        <x:f t="shared" si="2">IF($B34="","",IF($A34="","Enter item ID",IF(COUNTIF($A$5:$A$204,$A34)&gt;1,"Duplicate item ID",IF($C34="Initiative",IF($D34&lt;&gt;"","Parent must be blank",IF(COUNTIFS($B$5:$B$204,$B34,$C$5:$C$204,"Initiative")&lt;&gt;1,"One Initiative row required",IF(COUNTIFS($D$5:$D$204,$A34,$C$5:$C$204,"Milestone")=0,"Add milestone","OK"))),IF($C34="Milestone",IF(COUNTIFS($A$5:$A$204,$D34,$B$5:$B$204,$B34,$C$5:$C$204,"Initiative")&lt;&gt;1,"Parent must be Initiative",IF(COUNTIFS($D$5:$D$204,$A34,$C$5:$C$204,"Activity")+COUNTIFS($D$5:$D$204,$A34,$C$5:$C$204,"Variation")=0,"Add activity or variation","OK")),IF(OR($C34="Activity",$C34="Variation"),IF(COUNTIFS($A$5:$A$204,$D34,$B$5:$B$204,$B34,$C$5:$C$204,"Milestone")&lt;&gt;1,"Parent must be Milestone",IF(OR($G34="",$H34=""),"Enter baseline dates",IF($H34&lt;$G34,"Baseline finish before start",IF($I34="","Enter forecast finish",IF(COUNT($J34)=0,"Enter actual %",IF(OR(NOT(ISNUMBER($J34)),$J34&lt;0,$J34&gt;1),"Actual % must be 0–100%","OK")))))),"Select level"))))))</x:f>
        <x:v>OK</x:v>
      </x:c>
    </x:row>
    <x:row r="35">
      <x:c r="A35" s="66" t="n" cm="1">
        <x:f t="array" ref="A35">IF(OR(B35="",C35=""),"",IF(C35="Initiative",COUNTIF($C$5:C35,"Initiative"),IF(C35="Milestone",IF(D35="","",D35&amp;"."&amp;COUNTIFS($D$5:D35,D35,$C$5:C35,"Milestone")),IF(OR(C35="Activity",C35="Variation"),IF(D35="","",D35&amp;"."&amp;(COUNTIFS($D$5:D35,D35,$C$5:C35,"Activity")+COUNTIFS($D$5:D35,D35,$C$5:C35,"Variation"))),""))))</x:f>
        <x:v>7</x:v>
      </x:c>
      <x:c r="B35" s="19" t="s">
        <x:v>66</x:v>
      </x:c>
      <x:c r="C35" s="19" t="s">
        <x:v>7</x:v>
      </x:c>
      <x:c r="D35" s="20"/>
      <x:c r="E35" s="21" t="s">
        <x:v>67</x:v>
      </x:c>
      <x:c r="F35" s="21" t="s">
        <x:v>50</x:v>
      </x:c>
      <x:c r="G35" s="102">
        <x:v>46027</x:v>
      </x:c>
      <x:c r="H35" s="102">
        <x:v>46234</x:v>
      </x:c>
      <x:c r="I35" s="102">
        <x:v>46234</x:v>
      </x:c>
      <x:c r="J35" s="100"/>
      <x:c r="K35" s="7" t="n">
        <x:f ca="1">IF($B35="","",IF($C35="Initiative",IF(COUNTIFS($B$36:$B$204,$B35,$C$36:$C$204,"Activity")+COUNTIFS($B$36:$B$204,$B35,$C$36:$C$204,"Variation")=0,"",IF(COUNTIFS($B$36:$B$204,$B35,$C$36:$C$204,"Activity")+COUNTIFS($B$36:$B$204,$B35,$C$36:$C$204,"Variation")&lt;&gt;COUNTIFS($B$36:$B$204,$B35,$C$36:$C$204,"Activity",$G$36:$G$204,"&lt;&gt;",$H$36:$H$204,"&lt;&gt;")+COUNTIFS($B$36:$B$204,$B35,$C$36:$C$204,"Variation",$G$36:$G$204,"&lt;&gt;",$H$36:$H$204,"&lt;&gt;"),"",(SUMIFS($K$36:$K$204,$B$36:$B$204,$B35,$C$36:$C$204,"Activity")+SUMIFS($K$36:$K$204,$B$36:$B$204,$B35,$C$36:$C$204,"Variation"))/(COUNTIFS($B$36:$B$204,$B35,$C$36:$C$204,"Activity")+COUNTIFS($B$36:$B$204,$B35,$C$36:$C$204,"Variation")))),IF($C35="Milestone",IF(COUNTIFS($D$36:$D$204,$A35,$C$36:$C$204,"Activity")+COUNTIFS($D$36:$D$204,$A35,$C$36:$C$204,"Variation")=0,"",IF(COUNTIFS($D$36:$D$204,$A35,$C$36:$C$204,"Activity")+COUNTIFS($D$36:$D$204,$A35,$C$36:$C$204,"Variation")&lt;&gt;COUNTIFS($D$36:$D$204,$A35,$C$36:$C$204,"Activity",$G$36:$G$204,"&lt;&gt;",$H$36:$H$204,"&lt;&gt;")+COUNTIFS($D$36:$D$204,$A35,$C$36:$C$204,"Variation",$G$36:$G$204,"&lt;&gt;",$H$36:$H$204,"&lt;&gt;"),"",(SUMIFS($K$36:$K$204,$D$36:$D$204,$A35,$C$36:$C$204,"Activity")+SUMIFS($K$36:$K$204,$D$36:$D$204,$A35,$C$36:$C$204,"Variation"))/(COUNTIFS($D$36:$D$204,$A35,$C$36:$C$204,"Activity")+COUNTIFS($D$36:$D$204,$A35,$C$36:$C$204,"Variation")))),IF(OR($C35="Activity",$C35="Variation"),IF(OR($G35="",$H35=""),"",IF($H35&lt;$G35,"",IF($H35=$G35,--(TODAY()&gt;=$H35),MAX(0,MIN(1,(TODAY()-$G35)/($H35-$G35)))))),""))))</x:f>
        <x:v>1</x:v>
      </x:c>
      <x:c r="L35" s="7" t="n">
        <x:f t="shared" si="0">IF($B35="","",IF($C35="Initiative",IF(COUNTIFS($B$5:$B$204,$B35,$C$5:$C$204,"Activity")+COUNTIFS($B$5:$B$204,$B35,$C$5:$C$204,"Variation")=0,"",IF(COUNTIFS($B$5:$B$204,$B35,$C$5:$C$204,"Activity")+COUNTIFS($B$5:$B$204,$B35,$C$5:$C$204,"Variation")&lt;&gt;COUNTIFS($B$5:$B$204,$B35,$C$5:$C$204,"Activity",$J$5:$J$204,"&lt;&gt;",$J$5:$J$204,"&gt;=0",$J$5:$J$204,"&lt;=1")+COUNTIFS($B$5:$B$204,$B35,$C$5:$C$204,"Variation",$J$5:$J$204,"&lt;&gt;",$J$5:$J$204,"&gt;=0",$J$5:$J$204,"&lt;=1"),"",(SUMIFS($J$5:$J$204,$B$5:$B$204,$B35,$C$5:$C$204,"Activity")+SUMIFS($J$5:$J$204,$B$5:$B$204,$B35,$C$5:$C$204,"Variation"))/(COUNTIFS($B$5:$B$204,$B35,$C$5:$C$204,"Activity")+COUNTIFS($B$5:$B$204,$B35,$C$5:$C$204,"Variation")))),IF($C35="Milestone",IF(COUNTIFS($D$5:$D$204,$A35,$C$5:$C$204,"Activity")+COUNTIFS($D$5:$D$204,$A35,$C$5:$C$204,"Variation")=0,"",IF(COUNTIFS($D$5:$D$204,$A35,$C$5:$C$204,"Activity")+COUNTIFS($D$5:$D$204,$A35,$C$5:$C$204,"Variation")&lt;&gt;COUNTIFS($D$5:$D$204,$A35,$C$5:$C$204,"Activity",$J$5:$J$204,"&lt;&gt;",$J$5:$J$204,"&gt;=0",$J$5:$J$204,"&lt;=1")+COUNTIFS($D$5:$D$204,$A35,$C$5:$C$204,"Variation",$J$5:$J$204,"&lt;&gt;",$J$5:$J$204,"&gt;=0",$J$5:$J$204,"&lt;=1"),"",(SUMIFS($J$5:$J$204,$D$5:$D$204,$A35,$C$5:$C$204,"Activity")+SUMIFS($J$5:$J$204,$D$5:$D$204,$A35,$C$5:$C$204,"Variation"))/(COUNTIFS($D$5:$D$204,$A35,$C$5:$C$204,"Activity")+COUNTIFS($D$5:$D$204,$A35,$C$5:$C$204,"Variation")))),IF(OR($C35="Activity",$C35="Variation"),IF(AND(ISNUMBER($J35),$J35&gt;=0,$J35&lt;=1),$J35,""),""))))</x:f>
        <x:v>1</x:v>
      </x:c>
      <x:c r="M35" s="7" t="n">
        <x:f t="shared" ca="1" si="1">IF(OR($K35="",$L35=""),"",$L35-$K35)</x:f>
        <x:v>0</x:v>
      </x:c>
      <x:c r="N35" s="6" t="str">
        <x:f ca="1">IF(OR($B35="",$I35="",$L35=""),"",IF(AND($L35&lt;1,$I35&lt;TODAY()),"Late",IF(AND($H35&lt;&gt;"",$I35&gt;$H35),"Forecast Slip","On Plan")))</x:f>
        <x:v>On Plan</x:v>
      </x:c>
      <x:c r="O35" s="19"/>
      <x:c r="P35" s="6" t="str">
        <x:f t="shared" si="2">IF($B35="","",IF($A35="","Enter item ID",IF(COUNTIF($A$5:$A$204,$A35)&gt;1,"Duplicate item ID",IF($C35="Initiative",IF($D35&lt;&gt;"","Parent must be blank",IF(COUNTIFS($B$5:$B$204,$B35,$C$5:$C$204,"Initiative")&lt;&gt;1,"One Initiative row required",IF(COUNTIFS($D$5:$D$204,$A35,$C$5:$C$204,"Milestone")=0,"Add milestone","OK"))),IF($C35="Milestone",IF(COUNTIFS($A$5:$A$204,$D35,$B$5:$B$204,$B35,$C$5:$C$204,"Initiative")&lt;&gt;1,"Parent must be Initiative",IF(COUNTIFS($D$5:$D$204,$A35,$C$5:$C$204,"Activity")+COUNTIFS($D$5:$D$204,$A35,$C$5:$C$204,"Variation")=0,"Add activity or variation","OK")),IF(OR($C35="Activity",$C35="Variation"),IF(COUNTIFS($A$5:$A$204,$D35,$B$5:$B$204,$B35,$C$5:$C$204,"Milestone")&lt;&gt;1,"Parent must be Milestone",IF(OR($G35="",$H35=""),"Enter baseline dates",IF($H35&lt;$G35,"Baseline finish before start",IF($I35="","Enter forecast finish",IF(COUNT($J35)=0,"Enter actual %",IF(OR(NOT(ISNUMBER($J35)),$J35&lt;0,$J35&gt;1),"Actual % must be 0–100%","OK")))))),"Select level"))))))</x:f>
        <x:v>OK</x:v>
      </x:c>
    </x:row>
    <x:row r="36" ht="25.75">
      <x:c r="A36" s="66" t="str" cm="1">
        <x:f t="array" ref="A36">IF(OR(B36="",C36=""),"",IF(C36="Initiative",COUNTIF($C$5:C36,"Initiative"),IF(C36="Milestone",IF(D36="","",D36&amp;"."&amp;COUNTIFS($D$5:D36,D36,$C$5:C36,"Milestone")),IF(OR(C36="Activity",C36="Variation"),IF(D36="","",D36&amp;"."&amp;(COUNTIFS($D$5:D36,D36,$C$5:C36,"Activity")+COUNTIFS($D$5:D36,D36,$C$5:C36,"Variation"))),""))))</x:f>
        <x:v>7.1</x:v>
      </x:c>
      <x:c r="B36" s="19" t="s">
        <x:v>66</x:v>
      </x:c>
      <x:c r="C36" s="19" t="s">
        <x:v>97</x:v>
      </x:c>
      <x:c r="D36" s="20">
        <x:v>7</x:v>
      </x:c>
      <x:c r="E36" s="21" t="s">
        <x:v>98</x:v>
      </x:c>
      <x:c r="F36" s="21" t="s">
        <x:v>50</x:v>
      </x:c>
      <x:c r="G36" s="102">
        <x:v>46027</x:v>
      </x:c>
      <x:c r="H36" s="102">
        <x:v>46234</x:v>
      </x:c>
      <x:c r="I36" s="102">
        <x:v>46234</x:v>
      </x:c>
      <x:c r="J36" s="100"/>
      <x:c r="K36" s="7" t="n">
        <x:f ca="1">IF($B36="","",IF($C36="Initiative",IF(COUNTIFS($B$37:$B$204,$B36,$C$37:$C$204,"Activity")+COUNTIFS($B$37:$B$204,$B36,$C$37:$C$204,"Variation")=0,"",IF(COUNTIFS($B$37:$B$204,$B36,$C$37:$C$204,"Activity")+COUNTIFS($B$37:$B$204,$B36,$C$37:$C$204,"Variation")&lt;&gt;COUNTIFS($B$37:$B$204,$B36,$C$37:$C$204,"Activity",$G$37:$G$204,"&lt;&gt;",$H$37:$H$204,"&lt;&gt;")+COUNTIFS($B$37:$B$204,$B36,$C$37:$C$204,"Variation",$G$37:$G$204,"&lt;&gt;",$H$37:$H$204,"&lt;&gt;"),"",(SUMIFS($K$37:$K$204,$B$37:$B$204,$B36,$C$37:$C$204,"Activity")+SUMIFS($K$37:$K$204,$B$37:$B$204,$B36,$C$37:$C$204,"Variation"))/(COUNTIFS($B$37:$B$204,$B36,$C$37:$C$204,"Activity")+COUNTIFS($B$37:$B$204,$B36,$C$37:$C$204,"Variation")))),IF($C36="Milestone",IF(COUNTIFS($D$37:$D$204,$A36,$C$37:$C$204,"Activity")+COUNTIFS($D$37:$D$204,$A36,$C$37:$C$204,"Variation")=0,"",IF(COUNTIFS($D$37:$D$204,$A36,$C$37:$C$204,"Activity")+COUNTIFS($D$37:$D$204,$A36,$C$37:$C$204,"Variation")&lt;&gt;COUNTIFS($D$37:$D$204,$A36,$C$37:$C$204,"Activity",$G$37:$G$204,"&lt;&gt;",$H$37:$H$204,"&lt;&gt;")+COUNTIFS($D$37:$D$204,$A36,$C$37:$C$204,"Variation",$G$37:$G$204,"&lt;&gt;",$H$37:$H$204,"&lt;&gt;"),"",(SUMIFS($K$37:$K$204,$D$37:$D$204,$A36,$C$37:$C$204,"Activity")+SUMIFS($K$37:$K$204,$D$37:$D$204,$A36,$C$37:$C$204,"Variation"))/(COUNTIFS($D$37:$D$204,$A36,$C$37:$C$204,"Activity")+COUNTIFS($D$37:$D$204,$A36,$C$37:$C$204,"Variation")))),IF(OR($C36="Activity",$C36="Variation"),IF(OR($G36="",$H36=""),"",IF($H36&lt;$G36,"",IF($H36=$G36,--(TODAY()&gt;=$H36),MAX(0,MIN(1,(TODAY()-$G36)/($H36-$G36)))))),""))))</x:f>
        <x:v>1</x:v>
      </x:c>
      <x:c r="L36" s="7" t="n">
        <x:f t="shared" si="0">IF($B36="","",IF($C36="Initiative",IF(COUNTIFS($B$5:$B$204,$B36,$C$5:$C$204,"Activity")+COUNTIFS($B$5:$B$204,$B36,$C$5:$C$204,"Variation")=0,"",IF(COUNTIFS($B$5:$B$204,$B36,$C$5:$C$204,"Activity")+COUNTIFS($B$5:$B$204,$B36,$C$5:$C$204,"Variation")&lt;&gt;COUNTIFS($B$5:$B$204,$B36,$C$5:$C$204,"Activity",$J$5:$J$204,"&lt;&gt;",$J$5:$J$204,"&gt;=0",$J$5:$J$204,"&lt;=1")+COUNTIFS($B$5:$B$204,$B36,$C$5:$C$204,"Variation",$J$5:$J$204,"&lt;&gt;",$J$5:$J$204,"&gt;=0",$J$5:$J$204,"&lt;=1"),"",(SUMIFS($J$5:$J$204,$B$5:$B$204,$B36,$C$5:$C$204,"Activity")+SUMIFS($J$5:$J$204,$B$5:$B$204,$B36,$C$5:$C$204,"Variation"))/(COUNTIFS($B$5:$B$204,$B36,$C$5:$C$204,"Activity")+COUNTIFS($B$5:$B$204,$B36,$C$5:$C$204,"Variation")))),IF($C36="Milestone",IF(COUNTIFS($D$5:$D$204,$A36,$C$5:$C$204,"Activity")+COUNTIFS($D$5:$D$204,$A36,$C$5:$C$204,"Variation")=0,"",IF(COUNTIFS($D$5:$D$204,$A36,$C$5:$C$204,"Activity")+COUNTIFS($D$5:$D$204,$A36,$C$5:$C$204,"Variation")&lt;&gt;COUNTIFS($D$5:$D$204,$A36,$C$5:$C$204,"Activity",$J$5:$J$204,"&lt;&gt;",$J$5:$J$204,"&gt;=0",$J$5:$J$204,"&lt;=1")+COUNTIFS($D$5:$D$204,$A36,$C$5:$C$204,"Variation",$J$5:$J$204,"&lt;&gt;",$J$5:$J$204,"&gt;=0",$J$5:$J$204,"&lt;=1"),"",(SUMIFS($J$5:$J$204,$D$5:$D$204,$A36,$C$5:$C$204,"Activity")+SUMIFS($J$5:$J$204,$D$5:$D$204,$A36,$C$5:$C$204,"Variation"))/(COUNTIFS($D$5:$D$204,$A36,$C$5:$C$204,"Activity")+COUNTIFS($D$5:$D$204,$A36,$C$5:$C$204,"Variation")))),IF(OR($C36="Activity",$C36="Variation"),IF(AND(ISNUMBER($J36),$J36&gt;=0,$J36&lt;=1),$J36,""),""))))</x:f>
        <x:v>1</x:v>
      </x:c>
      <x:c r="M36" s="7" t="n">
        <x:f t="shared" ca="1" si="1">IF(OR($K36="",$L36=""),"",$L36-$K36)</x:f>
        <x:v>0</x:v>
      </x:c>
      <x:c r="N36" s="6" t="str">
        <x:f ca="1">IF(OR($B36="",$I36="",$L36=""),"",IF(AND($L36&lt;1,$I36&lt;TODAY()),"Late",IF(AND($H36&lt;&gt;"",$I36&gt;$H36),"Forecast Slip","On Plan")))</x:f>
        <x:v>On Plan</x:v>
      </x:c>
      <x:c r="O36" s="19"/>
      <x:c r="P36" s="6" t="str">
        <x:f t="shared" si="2">IF($B36="","",IF($A36="","Enter item ID",IF(COUNTIF($A$5:$A$204,$A36)&gt;1,"Duplicate item ID",IF($C36="Initiative",IF($D36&lt;&gt;"","Parent must be blank",IF(COUNTIFS($B$5:$B$204,$B36,$C$5:$C$204,"Initiative")&lt;&gt;1,"One Initiative row required",IF(COUNTIFS($D$5:$D$204,$A36,$C$5:$C$204,"Milestone")=0,"Add milestone","OK"))),IF($C36="Milestone",IF(COUNTIFS($A$5:$A$204,$D36,$B$5:$B$204,$B36,$C$5:$C$204,"Initiative")&lt;&gt;1,"Parent must be Initiative",IF(COUNTIFS($D$5:$D$204,$A36,$C$5:$C$204,"Activity")+COUNTIFS($D$5:$D$204,$A36,$C$5:$C$204,"Variation")=0,"Add activity or variation","OK")),IF(OR($C36="Activity",$C36="Variation"),IF(COUNTIFS($A$5:$A$204,$D36,$B$5:$B$204,$B36,$C$5:$C$204,"Milestone")&lt;&gt;1,"Parent must be Milestone",IF(OR($G36="",$H36=""),"Enter baseline dates",IF($H36&lt;$G36,"Baseline finish before start",IF($I36="","Enter forecast finish",IF(COUNT($J36)=0,"Enter actual %",IF(OR(NOT(ISNUMBER($J36)),$J36&lt;0,$J36&gt;1),"Actual % must be 0–100%","OK")))))),"Select level"))))))</x:f>
        <x:v>OK</x:v>
      </x:c>
    </x:row>
    <x:row r="37" ht="25.75">
      <x:c r="A37" s="66" t="str" cm="1">
        <x:f t="array" ref="A37">IF(OR(B37="",C37=""),"",IF(C37="Initiative",COUNTIF($C$5:C37,"Initiative"),IF(C37="Milestone",IF(D37="","",D37&amp;"."&amp;COUNTIFS($D$5:D37,D37,$C$5:C37,"Milestone")),IF(OR(C37="Activity",C37="Variation"),IF(D37="","",D37&amp;"."&amp;(COUNTIFS($D$5:D37,D37,$C$5:C37,"Activity")+COUNTIFS($D$5:D37,D37,$C$5:C37,"Variation"))),""))))</x:f>
        <x:v>7.1.1</x:v>
      </x:c>
      <x:c r="B37" s="19" t="s">
        <x:v>66</x:v>
      </x:c>
      <x:c r="C37" s="19" t="s">
        <x:v>99</x:v>
      </x:c>
      <x:c r="D37" s="20">
        <x:v>7.1</x:v>
      </x:c>
      <x:c r="E37" s="21" t="s">
        <x:v>121</x:v>
      </x:c>
      <x:c r="F37" s="21" t="s">
        <x:v>50</x:v>
      </x:c>
      <x:c r="G37" s="102">
        <x:v>46027</x:v>
      </x:c>
      <x:c r="H37" s="102">
        <x:v>46095</x:v>
      </x:c>
      <x:c r="I37" s="102">
        <x:v>46095</x:v>
      </x:c>
      <x:c r="J37" s="100">
        <x:v>1</x:v>
      </x:c>
      <x:c r="K37" s="7" t="n">
        <x:f ca="1">IF($B37="","",IF($C37="Initiative",IF(COUNTIFS($B$38:$B$204,$B37,$C$38:$C$204,"Activity")+COUNTIFS($B$38:$B$204,$B37,$C$38:$C$204,"Variation")=0,"",IF(COUNTIFS($B$38:$B$204,$B37,$C$38:$C$204,"Activity")+COUNTIFS($B$38:$B$204,$B37,$C$38:$C$204,"Variation")&lt;&gt;COUNTIFS($B$38:$B$204,$B37,$C$38:$C$204,"Activity",$G$38:$G$204,"&lt;&gt;",$H$38:$H$204,"&lt;&gt;")+COUNTIFS($B$38:$B$204,$B37,$C$38:$C$204,"Variation",$G$38:$G$204,"&lt;&gt;",$H$38:$H$204,"&lt;&gt;"),"",(SUMIFS($K$38:$K$204,$B$38:$B$204,$B37,$C$38:$C$204,"Activity")+SUMIFS($K$38:$K$204,$B$38:$B$204,$B37,$C$38:$C$204,"Variation"))/(COUNTIFS($B$38:$B$204,$B37,$C$38:$C$204,"Activity")+COUNTIFS($B$38:$B$204,$B37,$C$38:$C$204,"Variation")))),IF($C37="Milestone",IF(COUNTIFS($D$38:$D$204,$A37,$C$38:$C$204,"Activity")+COUNTIFS($D$38:$D$204,$A37,$C$38:$C$204,"Variation")=0,"",IF(COUNTIFS($D$38:$D$204,$A37,$C$38:$C$204,"Activity")+COUNTIFS($D$38:$D$204,$A37,$C$38:$C$204,"Variation")&lt;&gt;COUNTIFS($D$38:$D$204,$A37,$C$38:$C$204,"Activity",$G$38:$G$204,"&lt;&gt;",$H$38:$H$204,"&lt;&gt;")+COUNTIFS($D$38:$D$204,$A37,$C$38:$C$204,"Variation",$G$38:$G$204,"&lt;&gt;",$H$38:$H$204,"&lt;&gt;"),"",(SUMIFS($K$38:$K$204,$D$38:$D$204,$A37,$C$38:$C$204,"Activity")+SUMIFS($K$38:$K$204,$D$38:$D$204,$A37,$C$38:$C$204,"Variation"))/(COUNTIFS($D$38:$D$204,$A37,$C$38:$C$204,"Activity")+COUNTIFS($D$38:$D$204,$A37,$C$38:$C$204,"Variation")))),IF(OR($C37="Activity",$C37="Variation"),IF(OR($G37="",$H37=""),"",IF($H37&lt;$G37,"",IF($H37=$G37,--(TODAY()&gt;=$H37),MAX(0,MIN(1,(TODAY()-$G37)/($H37-$G37)))))),""))))</x:f>
        <x:v>1</x:v>
      </x:c>
      <x:c r="L37" s="7" t="n">
        <x:f t="shared" si="0">IF($B37="","",IF($C37="Initiative",IF(COUNTIFS($B$5:$B$204,$B37,$C$5:$C$204,"Activity")+COUNTIFS($B$5:$B$204,$B37,$C$5:$C$204,"Variation")=0,"",IF(COUNTIFS($B$5:$B$204,$B37,$C$5:$C$204,"Activity")+COUNTIFS($B$5:$B$204,$B37,$C$5:$C$204,"Variation")&lt;&gt;COUNTIFS($B$5:$B$204,$B37,$C$5:$C$204,"Activity",$J$5:$J$204,"&lt;&gt;",$J$5:$J$204,"&gt;=0",$J$5:$J$204,"&lt;=1")+COUNTIFS($B$5:$B$204,$B37,$C$5:$C$204,"Variation",$J$5:$J$204,"&lt;&gt;",$J$5:$J$204,"&gt;=0",$J$5:$J$204,"&lt;=1"),"",(SUMIFS($J$5:$J$204,$B$5:$B$204,$B37,$C$5:$C$204,"Activity")+SUMIFS($J$5:$J$204,$B$5:$B$204,$B37,$C$5:$C$204,"Variation"))/(COUNTIFS($B$5:$B$204,$B37,$C$5:$C$204,"Activity")+COUNTIFS($B$5:$B$204,$B37,$C$5:$C$204,"Variation")))),IF($C37="Milestone",IF(COUNTIFS($D$5:$D$204,$A37,$C$5:$C$204,"Activity")+COUNTIFS($D$5:$D$204,$A37,$C$5:$C$204,"Variation")=0,"",IF(COUNTIFS($D$5:$D$204,$A37,$C$5:$C$204,"Activity")+COUNTIFS($D$5:$D$204,$A37,$C$5:$C$204,"Variation")&lt;&gt;COUNTIFS($D$5:$D$204,$A37,$C$5:$C$204,"Activity",$J$5:$J$204,"&lt;&gt;",$J$5:$J$204,"&gt;=0",$J$5:$J$204,"&lt;=1")+COUNTIFS($D$5:$D$204,$A37,$C$5:$C$204,"Variation",$J$5:$J$204,"&lt;&gt;",$J$5:$J$204,"&gt;=0",$J$5:$J$204,"&lt;=1"),"",(SUMIFS($J$5:$J$204,$D$5:$D$204,$A37,$C$5:$C$204,"Activity")+SUMIFS($J$5:$J$204,$D$5:$D$204,$A37,$C$5:$C$204,"Variation"))/(COUNTIFS($D$5:$D$204,$A37,$C$5:$C$204,"Activity")+COUNTIFS($D$5:$D$204,$A37,$C$5:$C$204,"Variation")))),IF(OR($C37="Activity",$C37="Variation"),IF(AND(ISNUMBER($J37),$J37&gt;=0,$J37&lt;=1),$J37,""),""))))</x:f>
        <x:v>1</x:v>
      </x:c>
      <x:c r="M37" s="7" t="n">
        <x:f t="shared" ca="1" si="1">IF(OR($K37="",$L37=""),"",$L37-$K37)</x:f>
        <x:v>0</x:v>
      </x:c>
      <x:c r="N37" s="6" t="str">
        <x:f ca="1">IF(OR($B37="",$I37="",$L37=""),"",IF(AND($L37&lt;1,$I37&lt;TODAY()),"Late",IF(AND($H37&lt;&gt;"",$I37&gt;$H37),"Forecast Slip","On Plan")))</x:f>
        <x:v>On Plan</x:v>
      </x:c>
      <x:c r="O37" s="19"/>
      <x:c r="P37" s="6" t="str">
        <x:f t="shared" si="2">IF($B37="","",IF($A37="","Enter item ID",IF(COUNTIF($A$5:$A$204,$A37)&gt;1,"Duplicate item ID",IF($C37="Initiative",IF($D37&lt;&gt;"","Parent must be blank",IF(COUNTIFS($B$5:$B$204,$B37,$C$5:$C$204,"Initiative")&lt;&gt;1,"One Initiative row required",IF(COUNTIFS($D$5:$D$204,$A37,$C$5:$C$204,"Milestone")=0,"Add milestone","OK"))),IF($C37="Milestone",IF(COUNTIFS($A$5:$A$204,$D37,$B$5:$B$204,$B37,$C$5:$C$204,"Initiative")&lt;&gt;1,"Parent must be Initiative",IF(COUNTIFS($D$5:$D$204,$A37,$C$5:$C$204,"Activity")+COUNTIFS($D$5:$D$204,$A37,$C$5:$C$204,"Variation")=0,"Add activity or variation","OK")),IF(OR($C37="Activity",$C37="Variation"),IF(COUNTIFS($A$5:$A$204,$D37,$B$5:$B$204,$B37,$C$5:$C$204,"Milestone")&lt;&gt;1,"Parent must be Milestone",IF(OR($G37="",$H37=""),"Enter baseline dates",IF($H37&lt;$G37,"Baseline finish before start",IF($I37="","Enter forecast finish",IF(COUNT($J37)=0,"Enter actual %",IF(OR(NOT(ISNUMBER($J37)),$J37&lt;0,$J37&gt;1),"Actual % must be 0–100%","OK")))))),"Select level"))))))</x:f>
        <x:v>OK</x:v>
      </x:c>
    </x:row>
    <x:row r="38">
      <x:c r="A38" s="66" t="str" cm="1">
        <x:f t="array" ref="A38">IF(OR(B38="",C38=""),"",IF(C38="Initiative",COUNTIF($C$5:C38,"Initiative"),IF(C38="Milestone",IF(D38="","",D38&amp;"."&amp;COUNTIFS($D$5:D38,D38,$C$5:C38,"Milestone")),IF(OR(C38="Activity",C38="Variation"),IF(D38="","",D38&amp;"."&amp;(COUNTIFS($D$5:D38,D38,$C$5:C38,"Activity")+COUNTIFS($D$5:D38,D38,$C$5:C38,"Variation"))),""))))</x:f>
        <x:v>7.1.2</x:v>
      </x:c>
      <x:c r="B38" s="19" t="s">
        <x:v>66</x:v>
      </x:c>
      <x:c r="C38" s="19" t="s">
        <x:v>99</x:v>
      </x:c>
      <x:c r="D38" s="20">
        <x:v>7.1</x:v>
      </x:c>
      <x:c r="E38" s="21" t="s">
        <x:v>122</x:v>
      </x:c>
      <x:c r="F38" s="21" t="s">
        <x:v>50</x:v>
      </x:c>
      <x:c r="G38" s="102">
        <x:v>46096</x:v>
      </x:c>
      <x:c r="H38" s="102">
        <x:v>46166</x:v>
      </x:c>
      <x:c r="I38" s="102">
        <x:v>46166</x:v>
      </x:c>
      <x:c r="J38" s="100">
        <x:v>1</x:v>
      </x:c>
      <x:c r="K38" s="7" t="n">
        <x:f ca="1">IF($B38="","",IF($C38="Initiative",IF(COUNTIFS($B$39:$B$204,$B38,$C$39:$C$204,"Activity")+COUNTIFS($B$39:$B$204,$B38,$C$39:$C$204,"Variation")=0,"",IF(COUNTIFS($B$39:$B$204,$B38,$C$39:$C$204,"Activity")+COUNTIFS($B$39:$B$204,$B38,$C$39:$C$204,"Variation")&lt;&gt;COUNTIFS($B$39:$B$204,$B38,$C$39:$C$204,"Activity",$G$39:$G$204,"&lt;&gt;",$H$39:$H$204,"&lt;&gt;")+COUNTIFS($B$39:$B$204,$B38,$C$39:$C$204,"Variation",$G$39:$G$204,"&lt;&gt;",$H$39:$H$204,"&lt;&gt;"),"",(SUMIFS($K$39:$K$204,$B$39:$B$204,$B38,$C$39:$C$204,"Activity")+SUMIFS($K$39:$K$204,$B$39:$B$204,$B38,$C$39:$C$204,"Variation"))/(COUNTIFS($B$39:$B$204,$B38,$C$39:$C$204,"Activity")+COUNTIFS($B$39:$B$204,$B38,$C$39:$C$204,"Variation")))),IF($C38="Milestone",IF(COUNTIFS($D$39:$D$204,$A38,$C$39:$C$204,"Activity")+COUNTIFS($D$39:$D$204,$A38,$C$39:$C$204,"Variation")=0,"",IF(COUNTIFS($D$39:$D$204,$A38,$C$39:$C$204,"Activity")+COUNTIFS($D$39:$D$204,$A38,$C$39:$C$204,"Variation")&lt;&gt;COUNTIFS($D$39:$D$204,$A38,$C$39:$C$204,"Activity",$G$39:$G$204,"&lt;&gt;",$H$39:$H$204,"&lt;&gt;")+COUNTIFS($D$39:$D$204,$A38,$C$39:$C$204,"Variation",$G$39:$G$204,"&lt;&gt;",$H$39:$H$204,"&lt;&gt;"),"",(SUMIFS($K$39:$K$204,$D$39:$D$204,$A38,$C$39:$C$204,"Activity")+SUMIFS($K$39:$K$204,$D$39:$D$204,$A38,$C$39:$C$204,"Variation"))/(COUNTIFS($D$39:$D$204,$A38,$C$39:$C$204,"Activity")+COUNTIFS($D$39:$D$204,$A38,$C$39:$C$204,"Variation")))),IF(OR($C38="Activity",$C38="Variation"),IF(OR($G38="",$H38=""),"",IF($H38&lt;$G38,"",IF($H38=$G38,--(TODAY()&gt;=$H38),MAX(0,MIN(1,(TODAY()-$G38)/($H38-$G38)))))),""))))</x:f>
        <x:v>1</x:v>
      </x:c>
      <x:c r="L38" s="7" t="n">
        <x:f t="shared" si="0">IF($B38="","",IF($C38="Initiative",IF(COUNTIFS($B$5:$B$204,$B38,$C$5:$C$204,"Activity")+COUNTIFS($B$5:$B$204,$B38,$C$5:$C$204,"Variation")=0,"",IF(COUNTIFS($B$5:$B$204,$B38,$C$5:$C$204,"Activity")+COUNTIFS($B$5:$B$204,$B38,$C$5:$C$204,"Variation")&lt;&gt;COUNTIFS($B$5:$B$204,$B38,$C$5:$C$204,"Activity",$J$5:$J$204,"&lt;&gt;",$J$5:$J$204,"&gt;=0",$J$5:$J$204,"&lt;=1")+COUNTIFS($B$5:$B$204,$B38,$C$5:$C$204,"Variation",$J$5:$J$204,"&lt;&gt;",$J$5:$J$204,"&gt;=0",$J$5:$J$204,"&lt;=1"),"",(SUMIFS($J$5:$J$204,$B$5:$B$204,$B38,$C$5:$C$204,"Activity")+SUMIFS($J$5:$J$204,$B$5:$B$204,$B38,$C$5:$C$204,"Variation"))/(COUNTIFS($B$5:$B$204,$B38,$C$5:$C$204,"Activity")+COUNTIFS($B$5:$B$204,$B38,$C$5:$C$204,"Variation")))),IF($C38="Milestone",IF(COUNTIFS($D$5:$D$204,$A38,$C$5:$C$204,"Activity")+COUNTIFS($D$5:$D$204,$A38,$C$5:$C$204,"Variation")=0,"",IF(COUNTIFS($D$5:$D$204,$A38,$C$5:$C$204,"Activity")+COUNTIFS($D$5:$D$204,$A38,$C$5:$C$204,"Variation")&lt;&gt;COUNTIFS($D$5:$D$204,$A38,$C$5:$C$204,"Activity",$J$5:$J$204,"&lt;&gt;",$J$5:$J$204,"&gt;=0",$J$5:$J$204,"&lt;=1")+COUNTIFS($D$5:$D$204,$A38,$C$5:$C$204,"Variation",$J$5:$J$204,"&lt;&gt;",$J$5:$J$204,"&gt;=0",$J$5:$J$204,"&lt;=1"),"",(SUMIFS($J$5:$J$204,$D$5:$D$204,$A38,$C$5:$C$204,"Activity")+SUMIFS($J$5:$J$204,$D$5:$D$204,$A38,$C$5:$C$204,"Variation"))/(COUNTIFS($D$5:$D$204,$A38,$C$5:$C$204,"Activity")+COUNTIFS($D$5:$D$204,$A38,$C$5:$C$204,"Variation")))),IF(OR($C38="Activity",$C38="Variation"),IF(AND(ISNUMBER($J38),$J38&gt;=0,$J38&lt;=1),$J38,""),""))))</x:f>
        <x:v>1</x:v>
      </x:c>
      <x:c r="M38" s="7" t="n">
        <x:f t="shared" ca="1" si="1">IF(OR($K38="",$L38=""),"",$L38-$K38)</x:f>
        <x:v>0</x:v>
      </x:c>
      <x:c r="N38" s="6" t="str">
        <x:f ca="1">IF(OR($B38="",$I38="",$L38=""),"",IF(AND($L38&lt;1,$I38&lt;TODAY()),"Late",IF(AND($H38&lt;&gt;"",$I38&gt;$H38),"Forecast Slip","On Plan")))</x:f>
        <x:v>On Plan</x:v>
      </x:c>
      <x:c r="O38" s="19"/>
      <x:c r="P38" s="6" t="str">
        <x:f t="shared" si="2">IF($B38="","",IF($A38="","Enter item ID",IF(COUNTIF($A$5:$A$204,$A38)&gt;1,"Duplicate item ID",IF($C38="Initiative",IF($D38&lt;&gt;"","Parent must be blank",IF(COUNTIFS($B$5:$B$204,$B38,$C$5:$C$204,"Initiative")&lt;&gt;1,"One Initiative row required",IF(COUNTIFS($D$5:$D$204,$A38,$C$5:$C$204,"Milestone")=0,"Add milestone","OK"))),IF($C38="Milestone",IF(COUNTIFS($A$5:$A$204,$D38,$B$5:$B$204,$B38,$C$5:$C$204,"Initiative")&lt;&gt;1,"Parent must be Initiative",IF(COUNTIFS($D$5:$D$204,$A38,$C$5:$C$204,"Activity")+COUNTIFS($D$5:$D$204,$A38,$C$5:$C$204,"Variation")=0,"Add activity or variation","OK")),IF(OR($C38="Activity",$C38="Variation"),IF(COUNTIFS($A$5:$A$204,$D38,$B$5:$B$204,$B38,$C$5:$C$204,"Milestone")&lt;&gt;1,"Parent must be Milestone",IF(OR($G38="",$H38=""),"Enter baseline dates",IF($H38&lt;$G38,"Baseline finish before start",IF($I38="","Enter forecast finish",IF(COUNT($J38)=0,"Enter actual %",IF(OR(NOT(ISNUMBER($J38)),$J38&lt;0,$J38&gt;1),"Actual % must be 0–100%","OK")))))),"Select level"))))))</x:f>
        <x:v>OK</x:v>
      </x:c>
    </x:row>
    <x:row r="39">
      <x:c r="A39" s="66" t="str" cm="1">
        <x:f t="array" ref="A39">IF(OR(B39="",C39=""),"",IF(C39="Initiative",COUNTIF($C$5:C39,"Initiative"),IF(C39="Milestone",IF(D39="","",D39&amp;"."&amp;COUNTIFS($D$5:D39,D39,$C$5:C39,"Milestone")),IF(OR(C39="Activity",C39="Variation"),IF(D39="","",D39&amp;"."&amp;(COUNTIFS($D$5:D39,D39,$C$5:C39,"Activity")+COUNTIFS($D$5:D39,D39,$C$5:C39,"Variation"))),""))))</x:f>
        <x:v>7.1.3</x:v>
      </x:c>
      <x:c r="B39" s="19" t="s">
        <x:v>66</x:v>
      </x:c>
      <x:c r="C39" s="19" t="s">
        <x:v>99</x:v>
      </x:c>
      <x:c r="D39" s="20">
        <x:v>7.1</x:v>
      </x:c>
      <x:c r="E39" s="21" t="s">
        <x:v>123</x:v>
      </x:c>
      <x:c r="F39" s="21" t="s">
        <x:v>50</x:v>
      </x:c>
      <x:c r="G39" s="102">
        <x:v>46167</x:v>
      </x:c>
      <x:c r="H39" s="102">
        <x:v>46234</x:v>
      </x:c>
      <x:c r="I39" s="102">
        <x:v>46234</x:v>
      </x:c>
      <x:c r="J39" s="100">
        <x:v>1</x:v>
      </x:c>
      <x:c r="K39" s="7" t="n">
        <x:f ca="1">IF($B39="","",IF($C39="Initiative",IF(COUNTIFS($B$40:$B$204,$B39,$C$40:$C$204,"Activity")+COUNTIFS($B$40:$B$204,$B39,$C$40:$C$204,"Variation")=0,"",IF(COUNTIFS($B$40:$B$204,$B39,$C$40:$C$204,"Activity")+COUNTIFS($B$40:$B$204,$B39,$C$40:$C$204,"Variation")&lt;&gt;COUNTIFS($B$40:$B$204,$B39,$C$40:$C$204,"Activity",$G$40:$G$204,"&lt;&gt;",$H$40:$H$204,"&lt;&gt;")+COUNTIFS($B$40:$B$204,$B39,$C$40:$C$204,"Variation",$G$40:$G$204,"&lt;&gt;",$H$40:$H$204,"&lt;&gt;"),"",(SUMIFS($K$40:$K$204,$B$40:$B$204,$B39,$C$40:$C$204,"Activity")+SUMIFS($K$40:$K$204,$B$40:$B$204,$B39,$C$40:$C$204,"Variation"))/(COUNTIFS($B$40:$B$204,$B39,$C$40:$C$204,"Activity")+COUNTIFS($B$40:$B$204,$B39,$C$40:$C$204,"Variation")))),IF($C39="Milestone",IF(COUNTIFS($D$40:$D$204,$A39,$C$40:$C$204,"Activity")+COUNTIFS($D$40:$D$204,$A39,$C$40:$C$204,"Variation")=0,"",IF(COUNTIFS($D$40:$D$204,$A39,$C$40:$C$204,"Activity")+COUNTIFS($D$40:$D$204,$A39,$C$40:$C$204,"Variation")&lt;&gt;COUNTIFS($D$40:$D$204,$A39,$C$40:$C$204,"Activity",$G$40:$G$204,"&lt;&gt;",$H$40:$H$204,"&lt;&gt;")+COUNTIFS($D$40:$D$204,$A39,$C$40:$C$204,"Variation",$G$40:$G$204,"&lt;&gt;",$H$40:$H$204,"&lt;&gt;"),"",(SUMIFS($K$40:$K$204,$D$40:$D$204,$A39,$C$40:$C$204,"Activity")+SUMIFS($K$40:$K$204,$D$40:$D$204,$A39,$C$40:$C$204,"Variation"))/(COUNTIFS($D$40:$D$204,$A39,$C$40:$C$204,"Activity")+COUNTIFS($D$40:$D$204,$A39,$C$40:$C$204,"Variation")))),IF(OR($C39="Activity",$C39="Variation"),IF(OR($G39="",$H39=""),"",IF($H39&lt;$G39,"",IF($H39=$G39,--(TODAY()&gt;=$H39),MAX(0,MIN(1,(TODAY()-$G39)/($H39-$G39)))))),""))))</x:f>
        <x:v>1</x:v>
      </x:c>
      <x:c r="L39" s="7" t="n">
        <x:f t="shared" si="0">IF($B39="","",IF($C39="Initiative",IF(COUNTIFS($B$5:$B$204,$B39,$C$5:$C$204,"Activity")+COUNTIFS($B$5:$B$204,$B39,$C$5:$C$204,"Variation")=0,"",IF(COUNTIFS($B$5:$B$204,$B39,$C$5:$C$204,"Activity")+COUNTIFS($B$5:$B$204,$B39,$C$5:$C$204,"Variation")&lt;&gt;COUNTIFS($B$5:$B$204,$B39,$C$5:$C$204,"Activity",$J$5:$J$204,"&lt;&gt;",$J$5:$J$204,"&gt;=0",$J$5:$J$204,"&lt;=1")+COUNTIFS($B$5:$B$204,$B39,$C$5:$C$204,"Variation",$J$5:$J$204,"&lt;&gt;",$J$5:$J$204,"&gt;=0",$J$5:$J$204,"&lt;=1"),"",(SUMIFS($J$5:$J$204,$B$5:$B$204,$B39,$C$5:$C$204,"Activity")+SUMIFS($J$5:$J$204,$B$5:$B$204,$B39,$C$5:$C$204,"Variation"))/(COUNTIFS($B$5:$B$204,$B39,$C$5:$C$204,"Activity")+COUNTIFS($B$5:$B$204,$B39,$C$5:$C$204,"Variation")))),IF($C39="Milestone",IF(COUNTIFS($D$5:$D$204,$A39,$C$5:$C$204,"Activity")+COUNTIFS($D$5:$D$204,$A39,$C$5:$C$204,"Variation")=0,"",IF(COUNTIFS($D$5:$D$204,$A39,$C$5:$C$204,"Activity")+COUNTIFS($D$5:$D$204,$A39,$C$5:$C$204,"Variation")&lt;&gt;COUNTIFS($D$5:$D$204,$A39,$C$5:$C$204,"Activity",$J$5:$J$204,"&lt;&gt;",$J$5:$J$204,"&gt;=0",$J$5:$J$204,"&lt;=1")+COUNTIFS($D$5:$D$204,$A39,$C$5:$C$204,"Variation",$J$5:$J$204,"&lt;&gt;",$J$5:$J$204,"&gt;=0",$J$5:$J$204,"&lt;=1"),"",(SUMIFS($J$5:$J$204,$D$5:$D$204,$A39,$C$5:$C$204,"Activity")+SUMIFS($J$5:$J$204,$D$5:$D$204,$A39,$C$5:$C$204,"Variation"))/(COUNTIFS($D$5:$D$204,$A39,$C$5:$C$204,"Activity")+COUNTIFS($D$5:$D$204,$A39,$C$5:$C$204,"Variation")))),IF(OR($C39="Activity",$C39="Variation"),IF(AND(ISNUMBER($J39),$J39&gt;=0,$J39&lt;=1),$J39,""),""))))</x:f>
        <x:v>1</x:v>
      </x:c>
      <x:c r="M39" s="7" t="n">
        <x:f t="shared" ca="1" si="1">IF(OR($K39="",$L39=""),"",$L39-$K39)</x:f>
        <x:v>0</x:v>
      </x:c>
      <x:c r="N39" s="6" t="str">
        <x:f ca="1">IF(OR($B39="",$I39="",$L39=""),"",IF(AND($L39&lt;1,$I39&lt;TODAY()),"Late",IF(AND($H39&lt;&gt;"",$I39&gt;$H39),"Forecast Slip","On Plan")))</x:f>
        <x:v>On Plan</x:v>
      </x:c>
      <x:c r="O39" s="19"/>
      <x:c r="P39" s="6" t="str">
        <x:f t="shared" si="2">IF($B39="","",IF($A39="","Enter item ID",IF(COUNTIF($A$5:$A$204,$A39)&gt;1,"Duplicate item ID",IF($C39="Initiative",IF($D39&lt;&gt;"","Parent must be blank",IF(COUNTIFS($B$5:$B$204,$B39,$C$5:$C$204,"Initiative")&lt;&gt;1,"One Initiative row required",IF(COUNTIFS($D$5:$D$204,$A39,$C$5:$C$204,"Milestone")=0,"Add milestone","OK"))),IF($C39="Milestone",IF(COUNTIFS($A$5:$A$204,$D39,$B$5:$B$204,$B39,$C$5:$C$204,"Initiative")&lt;&gt;1,"Parent must be Initiative",IF(COUNTIFS($D$5:$D$204,$A39,$C$5:$C$204,"Activity")+COUNTIFS($D$5:$D$204,$A39,$C$5:$C$204,"Variation")=0,"Add activity or variation","OK")),IF(OR($C39="Activity",$C39="Variation"),IF(COUNTIFS($A$5:$A$204,$D39,$B$5:$B$204,$B39,$C$5:$C$204,"Milestone")&lt;&gt;1,"Parent must be Milestone",IF(OR($G39="",$H39=""),"Enter baseline dates",IF($H39&lt;$G39,"Baseline finish before start",IF($I39="","Enter forecast finish",IF(COUNT($J39)=0,"Enter actual %",IF(OR(NOT(ISNUMBER($J39)),$J39&lt;0,$J39&gt;1),"Actual % must be 0–100%","OK")))))),"Select level"))))))</x:f>
        <x:v>OK</x:v>
      </x:c>
    </x:row>
    <x:row r="40">
      <x:c r="A40" s="66" t="n" cm="1">
        <x:f t="array" ref="A40">IF(OR(B40="",C40=""),"",IF(C40="Initiative",COUNTIF($C$5:C40,"Initiative"),IF(C40="Milestone",IF(D40="","",D40&amp;"."&amp;COUNTIFS($D$5:D40,D40,$C$5:C40,"Milestone")),IF(OR(C40="Activity",C40="Variation"),IF(D40="","",D40&amp;"."&amp;(COUNTIFS($D$5:D40,D40,$C$5:C40,"Activity")+COUNTIFS($D$5:D40,D40,$C$5:C40,"Variation"))),""))))</x:f>
        <x:v>8</x:v>
      </x:c>
      <x:c r="B40" s="19" t="s">
        <x:v>68</x:v>
      </x:c>
      <x:c r="C40" s="19" t="s">
        <x:v>7</x:v>
      </x:c>
      <x:c r="D40" s="20"/>
      <x:c r="E40" s="21" t="s">
        <x:v>69</x:v>
      </x:c>
      <x:c r="F40" s="21" t="s">
        <x:v>54</x:v>
      </x:c>
      <x:c r="G40" s="102">
        <x:v>46237</x:v>
      </x:c>
      <x:c r="H40" s="102">
        <x:v>46535</x:v>
      </x:c>
      <x:c r="I40" s="102">
        <x:v>46535</x:v>
      </x:c>
      <x:c r="J40" s="100"/>
      <x:c r="K40" s="7" t="n">
        <x:f ca="1">IF($B40="","",IF($C40="Initiative",IF(COUNTIFS($B$41:$B$204,$B40,$C$41:$C$204,"Activity")+COUNTIFS($B$41:$B$204,$B40,$C$41:$C$204,"Variation")=0,"",IF(COUNTIFS($B$41:$B$204,$B40,$C$41:$C$204,"Activity")+COUNTIFS($B$41:$B$204,$B40,$C$41:$C$204,"Variation")&lt;&gt;COUNTIFS($B$41:$B$204,$B40,$C$41:$C$204,"Activity",$G$41:$G$204,"&lt;&gt;",$H$41:$H$204,"&lt;&gt;")+COUNTIFS($B$41:$B$204,$B40,$C$41:$C$204,"Variation",$G$41:$G$204,"&lt;&gt;",$H$41:$H$204,"&lt;&gt;"),"",(SUMIFS($K$41:$K$204,$B$41:$B$204,$B40,$C$41:$C$204,"Activity")+SUMIFS($K$41:$K$204,$B$41:$B$204,$B40,$C$41:$C$204,"Variation"))/(COUNTIFS($B$41:$B$204,$B40,$C$41:$C$204,"Activity")+COUNTIFS($B$41:$B$204,$B40,$C$41:$C$204,"Variation")))),IF($C40="Milestone",IF(COUNTIFS($D$41:$D$204,$A40,$C$41:$C$204,"Activity")+COUNTIFS($D$41:$D$204,$A40,$C$41:$C$204,"Variation")=0,"",IF(COUNTIFS($D$41:$D$204,$A40,$C$41:$C$204,"Activity")+COUNTIFS($D$41:$D$204,$A40,$C$41:$C$204,"Variation")&lt;&gt;COUNTIFS($D$41:$D$204,$A40,$C$41:$C$204,"Activity",$G$41:$G$204,"&lt;&gt;",$H$41:$H$204,"&lt;&gt;")+COUNTIFS($D$41:$D$204,$A40,$C$41:$C$204,"Variation",$G$41:$G$204,"&lt;&gt;",$H$41:$H$204,"&lt;&gt;"),"",(SUMIFS($K$41:$K$204,$D$41:$D$204,$A40,$C$41:$C$204,"Activity")+SUMIFS($K$41:$K$204,$D$41:$D$204,$A40,$C$41:$C$204,"Variation"))/(COUNTIFS($D$41:$D$204,$A40,$C$41:$C$204,"Activity")+COUNTIFS($D$41:$D$204,$A40,$C$41:$C$204,"Variation")))),IF(OR($C40="Activity",$C40="Variation"),IF(OR($G40="",$H40=""),"",IF($H40&lt;$G40,"",IF($H40=$G40,--(TODAY()&gt;=$H40),MAX(0,MIN(1,(TODAY()-$G40)/($H40-$G40)))))),""))))</x:f>
        <x:v>0.14285714285714285</x:v>
      </x:c>
      <x:c r="L40" s="7" t="n">
        <x:f t="shared" si="0">IF($B40="","",IF($C40="Initiative",IF(COUNTIFS($B$5:$B$204,$B40,$C$5:$C$204,"Activity")+COUNTIFS($B$5:$B$204,$B40,$C$5:$C$204,"Variation")=0,"",IF(COUNTIFS($B$5:$B$204,$B40,$C$5:$C$204,"Activity")+COUNTIFS($B$5:$B$204,$B40,$C$5:$C$204,"Variation")&lt;&gt;COUNTIFS($B$5:$B$204,$B40,$C$5:$C$204,"Activity",$J$5:$J$204,"&lt;&gt;",$J$5:$J$204,"&gt;=0",$J$5:$J$204,"&lt;=1")+COUNTIFS($B$5:$B$204,$B40,$C$5:$C$204,"Variation",$J$5:$J$204,"&lt;&gt;",$J$5:$J$204,"&gt;=0",$J$5:$J$204,"&lt;=1"),"",(SUMIFS($J$5:$J$204,$B$5:$B$204,$B40,$C$5:$C$204,"Activity")+SUMIFS($J$5:$J$204,$B$5:$B$204,$B40,$C$5:$C$204,"Variation"))/(COUNTIFS($B$5:$B$204,$B40,$C$5:$C$204,"Activity")+COUNTIFS($B$5:$B$204,$B40,$C$5:$C$204,"Variation")))),IF($C40="Milestone",IF(COUNTIFS($D$5:$D$204,$A40,$C$5:$C$204,"Activity")+COUNTIFS($D$5:$D$204,$A40,$C$5:$C$204,"Variation")=0,"",IF(COUNTIFS($D$5:$D$204,$A40,$C$5:$C$204,"Activity")+COUNTIFS($D$5:$D$204,$A40,$C$5:$C$204,"Variation")&lt;&gt;COUNTIFS($D$5:$D$204,$A40,$C$5:$C$204,"Activity",$J$5:$J$204,"&lt;&gt;",$J$5:$J$204,"&gt;=0",$J$5:$J$204,"&lt;=1")+COUNTIFS($D$5:$D$204,$A40,$C$5:$C$204,"Variation",$J$5:$J$204,"&lt;&gt;",$J$5:$J$204,"&gt;=0",$J$5:$J$204,"&lt;=1"),"",(SUMIFS($J$5:$J$204,$D$5:$D$204,$A40,$C$5:$C$204,"Activity")+SUMIFS($J$5:$J$204,$D$5:$D$204,$A40,$C$5:$C$204,"Variation"))/(COUNTIFS($D$5:$D$204,$A40,$C$5:$C$204,"Activity")+COUNTIFS($D$5:$D$204,$A40,$C$5:$C$204,"Variation")))),IF(OR($C40="Activity",$C40="Variation"),IF(AND(ISNUMBER($J40),$J40&gt;=0,$J40&lt;=1),$J40,""),""))))</x:f>
        <x:v>0.13333333333333333</x:v>
      </x:c>
      <x:c r="M40" s="7" t="n">
        <x:f t="shared" ca="1" si="1">IF(OR($K40="",$L40=""),"",$L40-$K40)</x:f>
        <x:v>-0.009523809523809518</x:v>
      </x:c>
      <x:c r="N40" s="6" t="str">
        <x:f ca="1">IF(OR($B40="",$I40="",$L40=""),"",IF(AND($L40&lt;1,$I40&lt;TODAY()),"Late",IF(AND($H40&lt;&gt;"",$I40&gt;$H40),"Forecast Slip","On Plan")))</x:f>
        <x:v>On Plan</x:v>
      </x:c>
      <x:c r="O40" s="19"/>
      <x:c r="P40" s="6" t="str">
        <x:f t="shared" si="2">IF($B40="","",IF($A40="","Enter item ID",IF(COUNTIF($A$5:$A$204,$A40)&gt;1,"Duplicate item ID",IF($C40="Initiative",IF($D40&lt;&gt;"","Parent must be blank",IF(COUNTIFS($B$5:$B$204,$B40,$C$5:$C$204,"Initiative")&lt;&gt;1,"One Initiative row required",IF(COUNTIFS($D$5:$D$204,$A40,$C$5:$C$204,"Milestone")=0,"Add milestone","OK"))),IF($C40="Milestone",IF(COUNTIFS($A$5:$A$204,$D40,$B$5:$B$204,$B40,$C$5:$C$204,"Initiative")&lt;&gt;1,"Parent must be Initiative",IF(COUNTIFS($D$5:$D$204,$A40,$C$5:$C$204,"Activity")+COUNTIFS($D$5:$D$204,$A40,$C$5:$C$204,"Variation")=0,"Add activity or variation","OK")),IF(OR($C40="Activity",$C40="Variation"),IF(COUNTIFS($A$5:$A$204,$D40,$B$5:$B$204,$B40,$C$5:$C$204,"Milestone")&lt;&gt;1,"Parent must be Milestone",IF(OR($G40="",$H40=""),"Enter baseline dates",IF($H40&lt;$G40,"Baseline finish before start",IF($I40="","Enter forecast finish",IF(COUNT($J40)=0,"Enter actual %",IF(OR(NOT(ISNUMBER($J40)),$J40&lt;0,$J40&gt;1),"Actual % must be 0–100%","OK")))))),"Select level"))))))</x:f>
        <x:v>OK</x:v>
      </x:c>
    </x:row>
    <x:row r="41" ht="25.75">
      <x:c r="A41" s="66" t="str" cm="1">
        <x:f t="array" ref="A41">IF(OR(B41="",C41=""),"",IF(C41="Initiative",COUNTIF($C$5:C41,"Initiative"),IF(C41="Milestone",IF(D41="","",D41&amp;"."&amp;COUNTIFS($D$5:D41,D41,$C$5:C41,"Milestone")),IF(OR(C41="Activity",C41="Variation"),IF(D41="","",D41&amp;"."&amp;(COUNTIFS($D$5:D41,D41,$C$5:C41,"Activity")+COUNTIFS($D$5:D41,D41,$C$5:C41,"Variation"))),""))))</x:f>
        <x:v>8.1</x:v>
      </x:c>
      <x:c r="B41" s="19" t="s">
        <x:v>68</x:v>
      </x:c>
      <x:c r="C41" s="19" t="s">
        <x:v>97</x:v>
      </x:c>
      <x:c r="D41" s="20">
        <x:v>8</x:v>
      </x:c>
      <x:c r="E41" s="21" t="s">
        <x:v>98</x:v>
      </x:c>
      <x:c r="F41" s="21" t="s">
        <x:v>54</x:v>
      </x:c>
      <x:c r="G41" s="102">
        <x:v>46237</x:v>
      </x:c>
      <x:c r="H41" s="102">
        <x:v>46535</x:v>
      </x:c>
      <x:c r="I41" s="102">
        <x:v>46535</x:v>
      </x:c>
      <x:c r="J41" s="100"/>
      <x:c r="K41" s="7" t="n">
        <x:f ca="1">IF($B41="","",IF($C41="Initiative",IF(COUNTIFS($B$42:$B$204,$B41,$C$42:$C$204,"Activity")+COUNTIFS($B$42:$B$204,$B41,$C$42:$C$204,"Variation")=0,"",IF(COUNTIFS($B$42:$B$204,$B41,$C$42:$C$204,"Activity")+COUNTIFS($B$42:$B$204,$B41,$C$42:$C$204,"Variation")&lt;&gt;COUNTIFS($B$42:$B$204,$B41,$C$42:$C$204,"Activity",$G$42:$G$204,"&lt;&gt;",$H$42:$H$204,"&lt;&gt;")+COUNTIFS($B$42:$B$204,$B41,$C$42:$C$204,"Variation",$G$42:$G$204,"&lt;&gt;",$H$42:$H$204,"&lt;&gt;"),"",(SUMIFS($K$42:$K$204,$B$42:$B$204,$B41,$C$42:$C$204,"Activity")+SUMIFS($K$42:$K$204,$B$42:$B$204,$B41,$C$42:$C$204,"Variation"))/(COUNTIFS($B$42:$B$204,$B41,$C$42:$C$204,"Activity")+COUNTIFS($B$42:$B$204,$B41,$C$42:$C$204,"Variation")))),IF($C41="Milestone",IF(COUNTIFS($D$42:$D$204,$A41,$C$42:$C$204,"Activity")+COUNTIFS($D$42:$D$204,$A41,$C$42:$C$204,"Variation")=0,"",IF(COUNTIFS($D$42:$D$204,$A41,$C$42:$C$204,"Activity")+COUNTIFS($D$42:$D$204,$A41,$C$42:$C$204,"Variation")&lt;&gt;COUNTIFS($D$42:$D$204,$A41,$C$42:$C$204,"Activity",$G$42:$G$204,"&lt;&gt;",$H$42:$H$204,"&lt;&gt;")+COUNTIFS($D$42:$D$204,$A41,$C$42:$C$204,"Variation",$G$42:$G$204,"&lt;&gt;",$H$42:$H$204,"&lt;&gt;"),"",(SUMIFS($K$42:$K$204,$D$42:$D$204,$A41,$C$42:$C$204,"Activity")+SUMIFS($K$42:$K$204,$D$42:$D$204,$A41,$C$42:$C$204,"Variation"))/(COUNTIFS($D$42:$D$204,$A41,$C$42:$C$204,"Activity")+COUNTIFS($D$42:$D$204,$A41,$C$42:$C$204,"Variation")))),IF(OR($C41="Activity",$C41="Variation"),IF(OR($G41="",$H41=""),"",IF($H41&lt;$G41,"",IF($H41=$G41,--(TODAY()&gt;=$H41),MAX(0,MIN(1,(TODAY()-$G41)/($H41-$G41)))))),""))))</x:f>
        <x:v>0.14285714285714285</x:v>
      </x:c>
      <x:c r="L41" s="7" t="n">
        <x:f t="shared" si="0">IF($B41="","",IF($C41="Initiative",IF(COUNTIFS($B$5:$B$204,$B41,$C$5:$C$204,"Activity")+COUNTIFS($B$5:$B$204,$B41,$C$5:$C$204,"Variation")=0,"",IF(COUNTIFS($B$5:$B$204,$B41,$C$5:$C$204,"Activity")+COUNTIFS($B$5:$B$204,$B41,$C$5:$C$204,"Variation")&lt;&gt;COUNTIFS($B$5:$B$204,$B41,$C$5:$C$204,"Activity",$J$5:$J$204,"&lt;&gt;",$J$5:$J$204,"&gt;=0",$J$5:$J$204,"&lt;=1")+COUNTIFS($B$5:$B$204,$B41,$C$5:$C$204,"Variation",$J$5:$J$204,"&lt;&gt;",$J$5:$J$204,"&gt;=0",$J$5:$J$204,"&lt;=1"),"",(SUMIFS($J$5:$J$204,$B$5:$B$204,$B41,$C$5:$C$204,"Activity")+SUMIFS($J$5:$J$204,$B$5:$B$204,$B41,$C$5:$C$204,"Variation"))/(COUNTIFS($B$5:$B$204,$B41,$C$5:$C$204,"Activity")+COUNTIFS($B$5:$B$204,$B41,$C$5:$C$204,"Variation")))),IF($C41="Milestone",IF(COUNTIFS($D$5:$D$204,$A41,$C$5:$C$204,"Activity")+COUNTIFS($D$5:$D$204,$A41,$C$5:$C$204,"Variation")=0,"",IF(COUNTIFS($D$5:$D$204,$A41,$C$5:$C$204,"Activity")+COUNTIFS($D$5:$D$204,$A41,$C$5:$C$204,"Variation")&lt;&gt;COUNTIFS($D$5:$D$204,$A41,$C$5:$C$204,"Activity",$J$5:$J$204,"&lt;&gt;",$J$5:$J$204,"&gt;=0",$J$5:$J$204,"&lt;=1")+COUNTIFS($D$5:$D$204,$A41,$C$5:$C$204,"Variation",$J$5:$J$204,"&lt;&gt;",$J$5:$J$204,"&gt;=0",$J$5:$J$204,"&lt;=1"),"",(SUMIFS($J$5:$J$204,$D$5:$D$204,$A41,$C$5:$C$204,"Activity")+SUMIFS($J$5:$J$204,$D$5:$D$204,$A41,$C$5:$C$204,"Variation"))/(COUNTIFS($D$5:$D$204,$A41,$C$5:$C$204,"Activity")+COUNTIFS($D$5:$D$204,$A41,$C$5:$C$204,"Variation")))),IF(OR($C41="Activity",$C41="Variation"),IF(AND(ISNUMBER($J41),$J41&gt;=0,$J41&lt;=1),$J41,""),""))))</x:f>
        <x:v>0.13333333333333333</x:v>
      </x:c>
      <x:c r="M41" s="7" t="n">
        <x:f t="shared" ca="1" si="1">IF(OR($K41="",$L41=""),"",$L41-$K41)</x:f>
        <x:v>-0.009523809523809518</x:v>
      </x:c>
      <x:c r="N41" s="6" t="str">
        <x:f ca="1">IF(OR($B41="",$I41="",$L41=""),"",IF(AND($L41&lt;1,$I41&lt;TODAY()),"Late",IF(AND($H41&lt;&gt;"",$I41&gt;$H41),"Forecast Slip","On Plan")))</x:f>
        <x:v>On Plan</x:v>
      </x:c>
      <x:c r="O41" s="19"/>
      <x:c r="P41" s="6" t="str">
        <x:f t="shared" si="2">IF($B41="","",IF($A41="","Enter item ID",IF(COUNTIF($A$5:$A$204,$A41)&gt;1,"Duplicate item ID",IF($C41="Initiative",IF($D41&lt;&gt;"","Parent must be blank",IF(COUNTIFS($B$5:$B$204,$B41,$C$5:$C$204,"Initiative")&lt;&gt;1,"One Initiative row required",IF(COUNTIFS($D$5:$D$204,$A41,$C$5:$C$204,"Milestone")=0,"Add milestone","OK"))),IF($C41="Milestone",IF(COUNTIFS($A$5:$A$204,$D41,$B$5:$B$204,$B41,$C$5:$C$204,"Initiative")&lt;&gt;1,"Parent must be Initiative",IF(COUNTIFS($D$5:$D$204,$A41,$C$5:$C$204,"Activity")+COUNTIFS($D$5:$D$204,$A41,$C$5:$C$204,"Variation")=0,"Add activity or variation","OK")),IF(OR($C41="Activity",$C41="Variation"),IF(COUNTIFS($A$5:$A$204,$D41,$B$5:$B$204,$B41,$C$5:$C$204,"Milestone")&lt;&gt;1,"Parent must be Milestone",IF(OR($G41="",$H41=""),"Enter baseline dates",IF($H41&lt;$G41,"Baseline finish before start",IF($I41="","Enter forecast finish",IF(COUNT($J41)=0,"Enter actual %",IF(OR(NOT(ISNUMBER($J41)),$J41&lt;0,$J41&gt;1),"Actual % must be 0–100%","OK")))))),"Select level"))))))</x:f>
        <x:v>OK</x:v>
      </x:c>
    </x:row>
    <x:row r="42">
      <x:c r="A42" s="66" t="str" cm="1">
        <x:f t="array" ref="A42">IF(OR(B42="",C42=""),"",IF(C42="Initiative",COUNTIF($C$5:C42,"Initiative"),IF(C42="Milestone",IF(D42="","",D42&amp;"."&amp;COUNTIFS($D$5:D42,D42,$C$5:C42,"Milestone")),IF(OR(C42="Activity",C42="Variation"),IF(D42="","",D42&amp;"."&amp;(COUNTIFS($D$5:D42,D42,$C$5:C42,"Activity")+COUNTIFS($D$5:D42,D42,$C$5:C42,"Variation"))),""))))</x:f>
        <x:v>8.1.1</x:v>
      </x:c>
      <x:c r="B42" s="19" t="s">
        <x:v>68</x:v>
      </x:c>
      <x:c r="C42" s="19" t="s">
        <x:v>99</x:v>
      </x:c>
      <x:c r="D42" s="20">
        <x:v>8.1</x:v>
      </x:c>
      <x:c r="E42" s="21" t="s">
        <x:v>124</x:v>
      </x:c>
      <x:c r="F42" s="21" t="s">
        <x:v>54</x:v>
      </x:c>
      <x:c r="G42" s="102">
        <x:v>46237</x:v>
      </x:c>
      <x:c r="H42" s="102">
        <x:v>46335</x:v>
      </x:c>
      <x:c r="I42" s="102">
        <x:v>46335</x:v>
      </x:c>
      <x:c r="J42" s="100">
        <x:v>0.25</x:v>
      </x:c>
      <x:c r="K42" s="7" t="n">
        <x:f ca="1">IF($B42="","",IF($C42="Initiative",IF(COUNTIFS($B$43:$B$204,$B42,$C$43:$C$204,"Activity")+COUNTIFS($B$43:$B$204,$B42,$C$43:$C$204,"Variation")=0,"",IF(COUNTIFS($B$43:$B$204,$B42,$C$43:$C$204,"Activity")+COUNTIFS($B$43:$B$204,$B42,$C$43:$C$204,"Variation")&lt;&gt;COUNTIFS($B$43:$B$204,$B42,$C$43:$C$204,"Activity",$G$43:$G$204,"&lt;&gt;",$H$43:$H$204,"&lt;&gt;")+COUNTIFS($B$43:$B$204,$B42,$C$43:$C$204,"Variation",$G$43:$G$204,"&lt;&gt;",$H$43:$H$204,"&lt;&gt;"),"",(SUMIFS($K$43:$K$204,$B$43:$B$204,$B42,$C$43:$C$204,"Activity")+SUMIFS($K$43:$K$204,$B$43:$B$204,$B42,$C$43:$C$204,"Variation"))/(COUNTIFS($B$43:$B$204,$B42,$C$43:$C$204,"Activity")+COUNTIFS($B$43:$B$204,$B42,$C$43:$C$204,"Variation")))),IF($C42="Milestone",IF(COUNTIFS($D$43:$D$204,$A42,$C$43:$C$204,"Activity")+COUNTIFS($D$43:$D$204,$A42,$C$43:$C$204,"Variation")=0,"",IF(COUNTIFS($D$43:$D$204,$A42,$C$43:$C$204,"Activity")+COUNTIFS($D$43:$D$204,$A42,$C$43:$C$204,"Variation")&lt;&gt;COUNTIFS($D$43:$D$204,$A42,$C$43:$C$204,"Activity",$G$43:$G$204,"&lt;&gt;",$H$43:$H$204,"&lt;&gt;")+COUNTIFS($D$43:$D$204,$A42,$C$43:$C$204,"Variation",$G$43:$G$204,"&lt;&gt;",$H$43:$H$204,"&lt;&gt;"),"",(SUMIFS($K$43:$K$204,$D$43:$D$204,$A42,$C$43:$C$204,"Activity")+SUMIFS($K$43:$K$204,$D$43:$D$204,$A42,$C$43:$C$204,"Variation"))/(COUNTIFS($D$43:$D$204,$A42,$C$43:$C$204,"Activity")+COUNTIFS($D$43:$D$204,$A42,$C$43:$C$204,"Variation")))),IF(OR($C42="Activity",$C42="Variation"),IF(OR($G42="",$H42=""),"",IF($H42&lt;$G42,"",IF($H42=$G42,--(TODAY()&gt;=$H42),MAX(0,MIN(1,(TODAY()-$G42)/($H42-$G42)))))),""))))</x:f>
        <x:v>0.42857142857142855</x:v>
      </x:c>
      <x:c r="L42" s="7" t="n">
        <x:f t="shared" si="0">IF($B42="","",IF($C42="Initiative",IF(COUNTIFS($B$5:$B$204,$B42,$C$5:$C$204,"Activity")+COUNTIFS($B$5:$B$204,$B42,$C$5:$C$204,"Variation")=0,"",IF(COUNTIFS($B$5:$B$204,$B42,$C$5:$C$204,"Activity")+COUNTIFS($B$5:$B$204,$B42,$C$5:$C$204,"Variation")&lt;&gt;COUNTIFS($B$5:$B$204,$B42,$C$5:$C$204,"Activity",$J$5:$J$204,"&lt;&gt;",$J$5:$J$204,"&gt;=0",$J$5:$J$204,"&lt;=1")+COUNTIFS($B$5:$B$204,$B42,$C$5:$C$204,"Variation",$J$5:$J$204,"&lt;&gt;",$J$5:$J$204,"&gt;=0",$J$5:$J$204,"&lt;=1"),"",(SUMIFS($J$5:$J$204,$B$5:$B$204,$B42,$C$5:$C$204,"Activity")+SUMIFS($J$5:$J$204,$B$5:$B$204,$B42,$C$5:$C$204,"Variation"))/(COUNTIFS($B$5:$B$204,$B42,$C$5:$C$204,"Activity")+COUNTIFS($B$5:$B$204,$B42,$C$5:$C$204,"Variation")))),IF($C42="Milestone",IF(COUNTIFS($D$5:$D$204,$A42,$C$5:$C$204,"Activity")+COUNTIFS($D$5:$D$204,$A42,$C$5:$C$204,"Variation")=0,"",IF(COUNTIFS($D$5:$D$204,$A42,$C$5:$C$204,"Activity")+COUNTIFS($D$5:$D$204,$A42,$C$5:$C$204,"Variation")&lt;&gt;COUNTIFS($D$5:$D$204,$A42,$C$5:$C$204,"Activity",$J$5:$J$204,"&lt;&gt;",$J$5:$J$204,"&gt;=0",$J$5:$J$204,"&lt;=1")+COUNTIFS($D$5:$D$204,$A42,$C$5:$C$204,"Variation",$J$5:$J$204,"&lt;&gt;",$J$5:$J$204,"&gt;=0",$J$5:$J$204,"&lt;=1"),"",(SUMIFS($J$5:$J$204,$D$5:$D$204,$A42,$C$5:$C$204,"Activity")+SUMIFS($J$5:$J$204,$D$5:$D$204,$A42,$C$5:$C$204,"Variation"))/(COUNTIFS($D$5:$D$204,$A42,$C$5:$C$204,"Activity")+COUNTIFS($D$5:$D$204,$A42,$C$5:$C$204,"Variation")))),IF(OR($C42="Activity",$C42="Variation"),IF(AND(ISNUMBER($J42),$J42&gt;=0,$J42&lt;=1),$J42,""),""))))</x:f>
        <x:v>0.25</x:v>
      </x:c>
      <x:c r="M42" s="7" t="n">
        <x:f t="shared" ca="1" si="1">IF(OR($K42="",$L42=""),"",$L42-$K42)</x:f>
        <x:v>-0.17857142857142855</x:v>
      </x:c>
      <x:c r="N42" s="6" t="str">
        <x:f ca="1">IF(OR($B42="",$I42="",$L42=""),"",IF(AND($L42&lt;1,$I42&lt;TODAY()),"Late",IF(AND($H42&lt;&gt;"",$I42&gt;$H42),"Forecast Slip","On Plan")))</x:f>
        <x:v>On Plan</x:v>
      </x:c>
      <x:c r="O42" s="19"/>
      <x:c r="P42" s="6" t="str">
        <x:f t="shared" si="2">IF($B42="","",IF($A42="","Enter item ID",IF(COUNTIF($A$5:$A$204,$A42)&gt;1,"Duplicate item ID",IF($C42="Initiative",IF($D42&lt;&gt;"","Parent must be blank",IF(COUNTIFS($B$5:$B$204,$B42,$C$5:$C$204,"Initiative")&lt;&gt;1,"One Initiative row required",IF(COUNTIFS($D$5:$D$204,$A42,$C$5:$C$204,"Milestone")=0,"Add milestone","OK"))),IF($C42="Milestone",IF(COUNTIFS($A$5:$A$204,$D42,$B$5:$B$204,$B42,$C$5:$C$204,"Initiative")&lt;&gt;1,"Parent must be Initiative",IF(COUNTIFS($D$5:$D$204,$A42,$C$5:$C$204,"Activity")+COUNTIFS($D$5:$D$204,$A42,$C$5:$C$204,"Variation")=0,"Add activity or variation","OK")),IF(OR($C42="Activity",$C42="Variation"),IF(COUNTIFS($A$5:$A$204,$D42,$B$5:$B$204,$B42,$C$5:$C$204,"Milestone")&lt;&gt;1,"Parent must be Milestone",IF(OR($G42="",$H42=""),"Enter baseline dates",IF($H42&lt;$G42,"Baseline finish before start",IF($I42="","Enter forecast finish",IF(COUNT($J42)=0,"Enter actual %",IF(OR(NOT(ISNUMBER($J42)),$J42&lt;0,$J42&gt;1),"Actual % must be 0–100%","OK")))))),"Select level"))))))</x:f>
        <x:v>OK</x:v>
      </x:c>
    </x:row>
    <x:row r="43">
      <x:c r="A43" s="66" t="str" cm="1">
        <x:f t="array" ref="A43">IF(OR(B43="",C43=""),"",IF(C43="Initiative",COUNTIF($C$5:C43,"Initiative"),IF(C43="Milestone",IF(D43="","",D43&amp;"."&amp;COUNTIFS($D$5:D43,D43,$C$5:C43,"Milestone")),IF(OR(C43="Activity",C43="Variation"),IF(D43="","",D43&amp;"."&amp;(COUNTIFS($D$5:D43,D43,$C$5:C43,"Activity")+COUNTIFS($D$5:D43,D43,$C$5:C43,"Variation"))),""))))</x:f>
        <x:v>8.1.2</x:v>
      </x:c>
      <x:c r="B43" s="19" t="s">
        <x:v>68</x:v>
      </x:c>
      <x:c r="C43" s="19" t="s">
        <x:v>99</x:v>
      </x:c>
      <x:c r="D43" s="20">
        <x:v>8.1</x:v>
      </x:c>
      <x:c r="E43" s="21" t="s">
        <x:v>125</x:v>
      </x:c>
      <x:c r="F43" s="21" t="s">
        <x:v>54</x:v>
      </x:c>
      <x:c r="G43" s="102">
        <x:v>46336</x:v>
      </x:c>
      <x:c r="H43" s="102">
        <x:v>46437</x:v>
      </x:c>
      <x:c r="I43" s="102">
        <x:v>46437</x:v>
      </x:c>
      <x:c r="J43" s="100">
        <x:v>0.1</x:v>
      </x:c>
      <x:c r="K43" s="7" t="n">
        <x:f ca="1">IF($B43="","",IF($C43="Initiative",IF(COUNTIFS($B$44:$B$204,$B43,$C$44:$C$204,"Activity")+COUNTIFS($B$44:$B$204,$B43,$C$44:$C$204,"Variation")=0,"",IF(COUNTIFS($B$44:$B$204,$B43,$C$44:$C$204,"Activity")+COUNTIFS($B$44:$B$204,$B43,$C$44:$C$204,"Variation")&lt;&gt;COUNTIFS($B$44:$B$204,$B43,$C$44:$C$204,"Activity",$G$44:$G$204,"&lt;&gt;",$H$44:$H$204,"&lt;&gt;")+COUNTIFS($B$44:$B$204,$B43,$C$44:$C$204,"Variation",$G$44:$G$204,"&lt;&gt;",$H$44:$H$204,"&lt;&gt;"),"",(SUMIFS($K$44:$K$204,$B$44:$B$204,$B43,$C$44:$C$204,"Activity")+SUMIFS($K$44:$K$204,$B$44:$B$204,$B43,$C$44:$C$204,"Variation"))/(COUNTIFS($B$44:$B$204,$B43,$C$44:$C$204,"Activity")+COUNTIFS($B$44:$B$204,$B43,$C$44:$C$204,"Variation")))),IF($C43="Milestone",IF(COUNTIFS($D$44:$D$204,$A43,$C$44:$C$204,"Activity")+COUNTIFS($D$44:$D$204,$A43,$C$44:$C$204,"Variation")=0,"",IF(COUNTIFS($D$44:$D$204,$A43,$C$44:$C$204,"Activity")+COUNTIFS($D$44:$D$204,$A43,$C$44:$C$204,"Variation")&lt;&gt;COUNTIFS($D$44:$D$204,$A43,$C$44:$C$204,"Activity",$G$44:$G$204,"&lt;&gt;",$H$44:$H$204,"&lt;&gt;")+COUNTIFS($D$44:$D$204,$A43,$C$44:$C$204,"Variation",$G$44:$G$204,"&lt;&gt;",$H$44:$H$204,"&lt;&gt;"),"",(SUMIFS($K$44:$K$204,$D$44:$D$204,$A43,$C$44:$C$204,"Activity")+SUMIFS($K$44:$K$204,$D$44:$D$204,$A43,$C$44:$C$204,"Variation"))/(COUNTIFS($D$44:$D$204,$A43,$C$44:$C$204,"Activity")+COUNTIFS($D$44:$D$204,$A43,$C$44:$C$204,"Variation")))),IF(OR($C43="Activity",$C43="Variation"),IF(OR($G43="",$H43=""),"",IF($H43&lt;$G43,"",IF($H43=$G43,--(TODAY()&gt;=$H43),MAX(0,MIN(1,(TODAY()-$G43)/($H43-$G43)))))),""))))</x:f>
        <x:v>0</x:v>
      </x:c>
      <x:c r="L43" s="7" t="n">
        <x:f t="shared" si="0">IF($B43="","",IF($C43="Initiative",IF(COUNTIFS($B$5:$B$204,$B43,$C$5:$C$204,"Activity")+COUNTIFS($B$5:$B$204,$B43,$C$5:$C$204,"Variation")=0,"",IF(COUNTIFS($B$5:$B$204,$B43,$C$5:$C$204,"Activity")+COUNTIFS($B$5:$B$204,$B43,$C$5:$C$204,"Variation")&lt;&gt;COUNTIFS($B$5:$B$204,$B43,$C$5:$C$204,"Activity",$J$5:$J$204,"&lt;&gt;",$J$5:$J$204,"&gt;=0",$J$5:$J$204,"&lt;=1")+COUNTIFS($B$5:$B$204,$B43,$C$5:$C$204,"Variation",$J$5:$J$204,"&lt;&gt;",$J$5:$J$204,"&gt;=0",$J$5:$J$204,"&lt;=1"),"",(SUMIFS($J$5:$J$204,$B$5:$B$204,$B43,$C$5:$C$204,"Activity")+SUMIFS($J$5:$J$204,$B$5:$B$204,$B43,$C$5:$C$204,"Variation"))/(COUNTIFS($B$5:$B$204,$B43,$C$5:$C$204,"Activity")+COUNTIFS($B$5:$B$204,$B43,$C$5:$C$204,"Variation")))),IF($C43="Milestone",IF(COUNTIFS($D$5:$D$204,$A43,$C$5:$C$204,"Activity")+COUNTIFS($D$5:$D$204,$A43,$C$5:$C$204,"Variation")=0,"",IF(COUNTIFS($D$5:$D$204,$A43,$C$5:$C$204,"Activity")+COUNTIFS($D$5:$D$204,$A43,$C$5:$C$204,"Variation")&lt;&gt;COUNTIFS($D$5:$D$204,$A43,$C$5:$C$204,"Activity",$J$5:$J$204,"&lt;&gt;",$J$5:$J$204,"&gt;=0",$J$5:$J$204,"&lt;=1")+COUNTIFS($D$5:$D$204,$A43,$C$5:$C$204,"Variation",$J$5:$J$204,"&lt;&gt;",$J$5:$J$204,"&gt;=0",$J$5:$J$204,"&lt;=1"),"",(SUMIFS($J$5:$J$204,$D$5:$D$204,$A43,$C$5:$C$204,"Activity")+SUMIFS($J$5:$J$204,$D$5:$D$204,$A43,$C$5:$C$204,"Variation"))/(COUNTIFS($D$5:$D$204,$A43,$C$5:$C$204,"Activity")+COUNTIFS($D$5:$D$204,$A43,$C$5:$C$204,"Variation")))),IF(OR($C43="Activity",$C43="Variation"),IF(AND(ISNUMBER($J43),$J43&gt;=0,$J43&lt;=1),$J43,""),""))))</x:f>
        <x:v>0.1</x:v>
      </x:c>
      <x:c r="M43" s="7" t="str">
        <x:f t="shared" ca="1" si="1">IF(OR($K43="",$L43=""),"",$L43-$K43)</x:f>
      </x:c>
      <x:c r="N43" s="6" t="str">
        <x:f ca="1">IF(OR($B43="",$I43="",$L43=""),"",IF(AND($L43&lt;1,$I43&lt;TODAY()),"Late",IF(AND($H43&lt;&gt;"",$I43&gt;$H43),"Forecast Slip","On Plan")))</x:f>
        <x:v>On Plan</x:v>
      </x:c>
      <x:c r="O43" s="19"/>
      <x:c r="P43" s="6" t="str">
        <x:f t="shared" si="2">IF($B43="","",IF($A43="","Enter item ID",IF(COUNTIF($A$5:$A$204,$A43)&gt;1,"Duplicate item ID",IF($C43="Initiative",IF($D43&lt;&gt;"","Parent must be blank",IF(COUNTIFS($B$5:$B$204,$B43,$C$5:$C$204,"Initiative")&lt;&gt;1,"One Initiative row required",IF(COUNTIFS($D$5:$D$204,$A43,$C$5:$C$204,"Milestone")=0,"Add milestone","OK"))),IF($C43="Milestone",IF(COUNTIFS($A$5:$A$204,$D43,$B$5:$B$204,$B43,$C$5:$C$204,"Initiative")&lt;&gt;1,"Parent must be Initiative",IF(COUNTIFS($D$5:$D$204,$A43,$C$5:$C$204,"Activity")+COUNTIFS($D$5:$D$204,$A43,$C$5:$C$204,"Variation")=0,"Add activity or variation","OK")),IF(OR($C43="Activity",$C43="Variation"),IF(COUNTIFS($A$5:$A$204,$D43,$B$5:$B$204,$B43,$C$5:$C$204,"Milestone")&lt;&gt;1,"Parent must be Milestone",IF(OR($G43="",$H43=""),"Enter baseline dates",IF($H43&lt;$G43,"Baseline finish before start",IF($I43="","Enter forecast finish",IF(COUNT($J43)=0,"Enter actual %",IF(OR(NOT(ISNUMBER($J43)),$J43&lt;0,$J43&gt;1),"Actual % must be 0–100%","OK")))))),"Select level"))))))</x:f>
        <x:v>OK</x:v>
      </x:c>
    </x:row>
    <x:row r="44">
      <x:c r="A44" s="66" t="str" cm="1">
        <x:f t="array" ref="A44">IF(OR(B44="",C44=""),"",IF(C44="Initiative",COUNTIF($C$5:C44,"Initiative"),IF(C44="Milestone",IF(D44="","",D44&amp;"."&amp;COUNTIFS($D$5:D44,D44,$C$5:C44,"Milestone")),IF(OR(C44="Activity",C44="Variation"),IF(D44="","",D44&amp;"."&amp;(COUNTIFS($D$5:D44,D44,$C$5:C44,"Activity")+COUNTIFS($D$5:D44,D44,$C$5:C44,"Variation"))),""))))</x:f>
        <x:v>8.1.3</x:v>
      </x:c>
      <x:c r="B44" s="19" t="s">
        <x:v>68</x:v>
      </x:c>
      <x:c r="C44" s="19" t="s">
        <x:v>99</x:v>
      </x:c>
      <x:c r="D44" s="20">
        <x:v>8.1</x:v>
      </x:c>
      <x:c r="E44" s="21" t="s">
        <x:v>126</x:v>
      </x:c>
      <x:c r="F44" s="21" t="s">
        <x:v>54</x:v>
      </x:c>
      <x:c r="G44" s="102">
        <x:v>46438</x:v>
      </x:c>
      <x:c r="H44" s="102">
        <x:v>46535</x:v>
      </x:c>
      <x:c r="I44" s="102">
        <x:v>46535</x:v>
      </x:c>
      <x:c r="J44" s="100">
        <x:v>0.05</x:v>
      </x:c>
      <x:c r="K44" s="7" t="n">
        <x:f ca="1">IF($B44="","",IF($C44="Initiative",IF(COUNTIFS($B$45:$B$204,$B44,$C$45:$C$204,"Activity")+COUNTIFS($B$45:$B$204,$B44,$C$45:$C$204,"Variation")=0,"",IF(COUNTIFS($B$45:$B$204,$B44,$C$45:$C$204,"Activity")+COUNTIFS($B$45:$B$204,$B44,$C$45:$C$204,"Variation")&lt;&gt;COUNTIFS($B$45:$B$204,$B44,$C$45:$C$204,"Activity",$G$45:$G$204,"&lt;&gt;",$H$45:$H$204,"&lt;&gt;")+COUNTIFS($B$45:$B$204,$B44,$C$45:$C$204,"Variation",$G$45:$G$204,"&lt;&gt;",$H$45:$H$204,"&lt;&gt;"),"",(SUMIFS($K$45:$K$204,$B$45:$B$204,$B44,$C$45:$C$204,"Activity")+SUMIFS($K$45:$K$204,$B$45:$B$204,$B44,$C$45:$C$204,"Variation"))/(COUNTIFS($B$45:$B$204,$B44,$C$45:$C$204,"Activity")+COUNTIFS($B$45:$B$204,$B44,$C$45:$C$204,"Variation")))),IF($C44="Milestone",IF(COUNTIFS($D$45:$D$204,$A44,$C$45:$C$204,"Activity")+COUNTIFS($D$45:$D$204,$A44,$C$45:$C$204,"Variation")=0,"",IF(COUNTIFS($D$45:$D$204,$A44,$C$45:$C$204,"Activity")+COUNTIFS($D$45:$D$204,$A44,$C$45:$C$204,"Variation")&lt;&gt;COUNTIFS($D$45:$D$204,$A44,$C$45:$C$204,"Activity",$G$45:$G$204,"&lt;&gt;",$H$45:$H$204,"&lt;&gt;")+COUNTIFS($D$45:$D$204,$A44,$C$45:$C$204,"Variation",$G$45:$G$204,"&lt;&gt;",$H$45:$H$204,"&lt;&gt;"),"",(SUMIFS($K$45:$K$204,$D$45:$D$204,$A44,$C$45:$C$204,"Activity")+SUMIFS($K$45:$K$204,$D$45:$D$204,$A44,$C$45:$C$204,"Variation"))/(COUNTIFS($D$45:$D$204,$A44,$C$45:$C$204,"Activity")+COUNTIFS($D$45:$D$204,$A44,$C$45:$C$204,"Variation")))),IF(OR($C44="Activity",$C44="Variation"),IF(OR($G44="",$H44=""),"",IF($H44&lt;$G44,"",IF($H44=$G44,--(TODAY()&gt;=$H44),MAX(0,MIN(1,(TODAY()-$G44)/($H44-$G44)))))),""))))</x:f>
        <x:v>0</x:v>
      </x:c>
      <x:c r="L44" s="7" t="n">
        <x:f t="shared" si="0">IF($B44="","",IF($C44="Initiative",IF(COUNTIFS($B$5:$B$204,$B44,$C$5:$C$204,"Activity")+COUNTIFS($B$5:$B$204,$B44,$C$5:$C$204,"Variation")=0,"",IF(COUNTIFS($B$5:$B$204,$B44,$C$5:$C$204,"Activity")+COUNTIFS($B$5:$B$204,$B44,$C$5:$C$204,"Variation")&lt;&gt;COUNTIFS($B$5:$B$204,$B44,$C$5:$C$204,"Activity",$J$5:$J$204,"&lt;&gt;",$J$5:$J$204,"&gt;=0",$J$5:$J$204,"&lt;=1")+COUNTIFS($B$5:$B$204,$B44,$C$5:$C$204,"Variation",$J$5:$J$204,"&lt;&gt;",$J$5:$J$204,"&gt;=0",$J$5:$J$204,"&lt;=1"),"",(SUMIFS($J$5:$J$204,$B$5:$B$204,$B44,$C$5:$C$204,"Activity")+SUMIFS($J$5:$J$204,$B$5:$B$204,$B44,$C$5:$C$204,"Variation"))/(COUNTIFS($B$5:$B$204,$B44,$C$5:$C$204,"Activity")+COUNTIFS($B$5:$B$204,$B44,$C$5:$C$204,"Variation")))),IF($C44="Milestone",IF(COUNTIFS($D$5:$D$204,$A44,$C$5:$C$204,"Activity")+COUNTIFS($D$5:$D$204,$A44,$C$5:$C$204,"Variation")=0,"",IF(COUNTIFS($D$5:$D$204,$A44,$C$5:$C$204,"Activity")+COUNTIFS($D$5:$D$204,$A44,$C$5:$C$204,"Variation")&lt;&gt;COUNTIFS($D$5:$D$204,$A44,$C$5:$C$204,"Activity",$J$5:$J$204,"&lt;&gt;",$J$5:$J$204,"&gt;=0",$J$5:$J$204,"&lt;=1")+COUNTIFS($D$5:$D$204,$A44,$C$5:$C$204,"Variation",$J$5:$J$204,"&lt;&gt;",$J$5:$J$204,"&gt;=0",$J$5:$J$204,"&lt;=1"),"",(SUMIFS($J$5:$J$204,$D$5:$D$204,$A44,$C$5:$C$204,"Activity")+SUMIFS($J$5:$J$204,$D$5:$D$204,$A44,$C$5:$C$204,"Variation"))/(COUNTIFS($D$5:$D$204,$A44,$C$5:$C$204,"Activity")+COUNTIFS($D$5:$D$204,$A44,$C$5:$C$204,"Variation")))),IF(OR($C44="Activity",$C44="Variation"),IF(AND(ISNUMBER($J44),$J44&gt;=0,$J44&lt;=1),$J44,""),""))))</x:f>
        <x:v>0.05</x:v>
      </x:c>
      <x:c r="M44" s="7" t="str">
        <x:f t="shared" ca="1" si="1">IF(OR($K44="",$L44=""),"",$L44-$K44)</x:f>
      </x:c>
      <x:c r="N44" s="6" t="str">
        <x:f ca="1">IF(OR($B44="",$I44="",$L44=""),"",IF(AND($L44&lt;1,$I44&lt;TODAY()),"Late",IF(AND($H44&lt;&gt;"",$I44&gt;$H44),"Forecast Slip","On Plan")))</x:f>
        <x:v>On Plan</x:v>
      </x:c>
      <x:c r="O44" s="19"/>
      <x:c r="P44" s="6" t="str">
        <x:f t="shared" si="2">IF($B44="","",IF($A44="","Enter item ID",IF(COUNTIF($A$5:$A$204,$A44)&gt;1,"Duplicate item ID",IF($C44="Initiative",IF($D44&lt;&gt;"","Parent must be blank",IF(COUNTIFS($B$5:$B$204,$B44,$C$5:$C$204,"Initiative")&lt;&gt;1,"One Initiative row required",IF(COUNTIFS($D$5:$D$204,$A44,$C$5:$C$204,"Milestone")=0,"Add milestone","OK"))),IF($C44="Milestone",IF(COUNTIFS($A$5:$A$204,$D44,$B$5:$B$204,$B44,$C$5:$C$204,"Initiative")&lt;&gt;1,"Parent must be Initiative",IF(COUNTIFS($D$5:$D$204,$A44,$C$5:$C$204,"Activity")+COUNTIFS($D$5:$D$204,$A44,$C$5:$C$204,"Variation")=0,"Add activity or variation","OK")),IF(OR($C44="Activity",$C44="Variation"),IF(COUNTIFS($A$5:$A$204,$D44,$B$5:$B$204,$B44,$C$5:$C$204,"Milestone")&lt;&gt;1,"Parent must be Milestone",IF(OR($G44="",$H44=""),"Enter baseline dates",IF($H44&lt;$G44,"Baseline finish before start",IF($I44="","Enter forecast finish",IF(COUNT($J44)=0,"Enter actual %",IF(OR(NOT(ISNUMBER($J44)),$J44&lt;0,$J44&gt;1),"Actual % must be 0–100%","OK")))))),"Select level"))))))</x:f>
        <x:v>OK</x:v>
      </x:c>
    </x:row>
    <x:row r="45">
      <x:c r="A45" s="66" t="n" cm="1">
        <x:f t="array" ref="A45">IF(OR(B45="",C45=""),"",IF(C45="Initiative",COUNTIF($C$5:C45,"Initiative"),IF(C45="Milestone",IF(D45="","",D45&amp;"."&amp;COUNTIFS($D$5:D45,D45,$C$5:C45,"Milestone")),IF(OR(C45="Activity",C45="Variation"),IF(D45="","",D45&amp;"."&amp;(COUNTIFS($D$5:D45,D45,$C$5:C45,"Activity")+COUNTIFS($D$5:D45,D45,$C$5:C45,"Variation"))),""))))</x:f>
        <x:v>9</x:v>
      </x:c>
      <x:c r="B45" s="19" t="s">
        <x:v>71</x:v>
      </x:c>
      <x:c r="C45" s="19" t="s">
        <x:v>7</x:v>
      </x:c>
      <x:c r="D45" s="20"/>
      <x:c r="E45" s="21" t="s">
        <x:v>72</x:v>
      </x:c>
      <x:c r="F45" s="21" t="s">
        <x:v>36</x:v>
      </x:c>
      <x:c r="G45" s="102">
        <x:v>46097</x:v>
      </x:c>
      <x:c r="H45" s="102">
        <x:v>46339</x:v>
      </x:c>
      <x:c r="I45" s="102">
        <x:v>46346</x:v>
      </x:c>
      <x:c r="J45" s="100"/>
      <x:c r="K45" s="7" t="n">
        <x:f ca="1">IF($B45="","",IF($C45="Initiative",IF(COUNTIFS($B$46:$B$204,$B45,$C$46:$C$204,"Activity")+COUNTIFS($B$46:$B$204,$B45,$C$46:$C$204,"Variation")=0,"",IF(COUNTIFS($B$46:$B$204,$B45,$C$46:$C$204,"Activity")+COUNTIFS($B$46:$B$204,$B45,$C$46:$C$204,"Variation")&lt;&gt;COUNTIFS($B$46:$B$204,$B45,$C$46:$C$204,"Activity",$G$46:$G$204,"&lt;&gt;",$H$46:$H$204,"&lt;&gt;")+COUNTIFS($B$46:$B$204,$B45,$C$46:$C$204,"Variation",$G$46:$G$204,"&lt;&gt;",$H$46:$H$204,"&lt;&gt;"),"",(SUMIFS($K$46:$K$204,$B$46:$B$204,$B45,$C$46:$C$204,"Activity")+SUMIFS($K$46:$K$204,$B$46:$B$204,$B45,$C$46:$C$204,"Variation"))/(COUNTIFS($B$46:$B$204,$B45,$C$46:$C$204,"Activity")+COUNTIFS($B$46:$B$204,$B45,$C$46:$C$204,"Variation")))),IF($C45="Milestone",IF(COUNTIFS($D$46:$D$204,$A45,$C$46:$C$204,"Activity")+COUNTIFS($D$46:$D$204,$A45,$C$46:$C$204,"Variation")=0,"",IF(COUNTIFS($D$46:$D$204,$A45,$C$46:$C$204,"Activity")+COUNTIFS($D$46:$D$204,$A45,$C$46:$C$204,"Variation")&lt;&gt;COUNTIFS($D$46:$D$204,$A45,$C$46:$C$204,"Activity",$G$46:$G$204,"&lt;&gt;",$H$46:$H$204,"&lt;&gt;")+COUNTIFS($D$46:$D$204,$A45,$C$46:$C$204,"Variation",$G$46:$G$204,"&lt;&gt;",$H$46:$H$204,"&lt;&gt;"),"",(SUMIFS($K$46:$K$204,$D$46:$D$204,$A45,$C$46:$C$204,"Activity")+SUMIFS($K$46:$K$204,$D$46:$D$204,$A45,$C$46:$C$204,"Variation"))/(COUNTIFS($D$46:$D$204,$A45,$C$46:$C$204,"Activity")+COUNTIFS($D$46:$D$204,$A45,$C$46:$C$204,"Variation")))),IF(OR($C45="Activity",$C45="Variation"),IF(OR($G45="",$H45=""),"",IF($H45&lt;$G45,"",IF($H45=$G45,--(TODAY()&gt;=$H45),MAX(0,MIN(1,(TODAY()-$G45)/($H45-$G45)))))),""))))</x:f>
        <x:v>0.7468354430379747</x:v>
      </x:c>
      <x:c r="L45" s="7" t="n">
        <x:f t="shared" si="0">IF($B45="","",IF($C45="Initiative",IF(COUNTIFS($B$5:$B$204,$B45,$C$5:$C$204,"Activity")+COUNTIFS($B$5:$B$204,$B45,$C$5:$C$204,"Variation")=0,"",IF(COUNTIFS($B$5:$B$204,$B45,$C$5:$C$204,"Activity")+COUNTIFS($B$5:$B$204,$B45,$C$5:$C$204,"Variation")&lt;&gt;COUNTIFS($B$5:$B$204,$B45,$C$5:$C$204,"Activity",$J$5:$J$204,"&lt;&gt;",$J$5:$J$204,"&gt;=0",$J$5:$J$204,"&lt;=1")+COUNTIFS($B$5:$B$204,$B45,$C$5:$C$204,"Variation",$J$5:$J$204,"&lt;&gt;",$J$5:$J$204,"&gt;=0",$J$5:$J$204,"&lt;=1"),"",(SUMIFS($J$5:$J$204,$B$5:$B$204,$B45,$C$5:$C$204,"Activity")+SUMIFS($J$5:$J$204,$B$5:$B$204,$B45,$C$5:$C$204,"Variation"))/(COUNTIFS($B$5:$B$204,$B45,$C$5:$C$204,"Activity")+COUNTIFS($B$5:$B$204,$B45,$C$5:$C$204,"Variation")))),IF($C45="Milestone",IF(COUNTIFS($D$5:$D$204,$A45,$C$5:$C$204,"Activity")+COUNTIFS($D$5:$D$204,$A45,$C$5:$C$204,"Variation")=0,"",IF(COUNTIFS($D$5:$D$204,$A45,$C$5:$C$204,"Activity")+COUNTIFS($D$5:$D$204,$A45,$C$5:$C$204,"Variation")&lt;&gt;COUNTIFS($D$5:$D$204,$A45,$C$5:$C$204,"Activity",$J$5:$J$204,"&lt;&gt;",$J$5:$J$204,"&gt;=0",$J$5:$J$204,"&lt;=1")+COUNTIFS($D$5:$D$204,$A45,$C$5:$C$204,"Variation",$J$5:$J$204,"&lt;&gt;",$J$5:$J$204,"&gt;=0",$J$5:$J$204,"&lt;=1"),"",(SUMIFS($J$5:$J$204,$D$5:$D$204,$A45,$C$5:$C$204,"Activity")+SUMIFS($J$5:$J$204,$D$5:$D$204,$A45,$C$5:$C$204,"Variation"))/(COUNTIFS($D$5:$D$204,$A45,$C$5:$C$204,"Activity")+COUNTIFS($D$5:$D$204,$A45,$C$5:$C$204,"Variation")))),IF(OR($C45="Activity",$C45="Variation"),IF(AND(ISNUMBER($J45),$J45&gt;=0,$J45&lt;=1),$J45,""),""))))</x:f>
        <x:v>0.7333333333333334</x:v>
      </x:c>
      <x:c r="M45" s="7" t="n">
        <x:f t="shared" ca="1" si="1">IF(OR($K45="",$L45=""),"",$L45-$K45)</x:f>
        <x:v>-0.013502109704641274</x:v>
      </x:c>
      <x:c r="N45" s="6" t="str">
        <x:f ca="1">IF(OR($B45="",$I45="",$L45=""),"",IF(AND($L45&lt;1,$I45&lt;TODAY()),"Late",IF(AND($H45&lt;&gt;"",$I45&gt;$H45),"Forecast Slip","On Plan")))</x:f>
        <x:v>Forecast Slip</x:v>
      </x:c>
      <x:c r="O45" s="19"/>
      <x:c r="P45" s="6" t="str">
        <x:f t="shared" si="2">IF($B45="","",IF($A45="","Enter item ID",IF(COUNTIF($A$5:$A$204,$A45)&gt;1,"Duplicate item ID",IF($C45="Initiative",IF($D45&lt;&gt;"","Parent must be blank",IF(COUNTIFS($B$5:$B$204,$B45,$C$5:$C$204,"Initiative")&lt;&gt;1,"One Initiative row required",IF(COUNTIFS($D$5:$D$204,$A45,$C$5:$C$204,"Milestone")=0,"Add milestone","OK"))),IF($C45="Milestone",IF(COUNTIFS($A$5:$A$204,$D45,$B$5:$B$204,$B45,$C$5:$C$204,"Initiative")&lt;&gt;1,"Parent must be Initiative",IF(COUNTIFS($D$5:$D$204,$A45,$C$5:$C$204,"Activity")+COUNTIFS($D$5:$D$204,$A45,$C$5:$C$204,"Variation")=0,"Add activity or variation","OK")),IF(OR($C45="Activity",$C45="Variation"),IF(COUNTIFS($A$5:$A$204,$D45,$B$5:$B$204,$B45,$C$5:$C$204,"Milestone")&lt;&gt;1,"Parent must be Milestone",IF(OR($G45="",$H45=""),"Enter baseline dates",IF($H45&lt;$G45,"Baseline finish before start",IF($I45="","Enter forecast finish",IF(COUNT($J45)=0,"Enter actual %",IF(OR(NOT(ISNUMBER($J45)),$J45&lt;0,$J45&gt;1),"Actual % must be 0–100%","OK")))))),"Select level"))))))</x:f>
        <x:v>OK</x:v>
      </x:c>
    </x:row>
    <x:row r="46" ht="25.75">
      <x:c r="A46" s="66" t="str" cm="1">
        <x:f t="array" ref="A46">IF(OR(B46="",C46=""),"",IF(C46="Initiative",COUNTIF($C$5:C46,"Initiative"),IF(C46="Milestone",IF(D46="","",D46&amp;"."&amp;COUNTIFS($D$5:D46,D46,$C$5:C46,"Milestone")),IF(OR(C46="Activity",C46="Variation"),IF(D46="","",D46&amp;"."&amp;(COUNTIFS($D$5:D46,D46,$C$5:C46,"Activity")+COUNTIFS($D$5:D46,D46,$C$5:C46,"Variation"))),""))))</x:f>
        <x:v>9.1</x:v>
      </x:c>
      <x:c r="B46" s="19" t="s">
        <x:v>71</x:v>
      </x:c>
      <x:c r="C46" s="19" t="s">
        <x:v>97</x:v>
      </x:c>
      <x:c r="D46" s="20">
        <x:v>9</x:v>
      </x:c>
      <x:c r="E46" s="21" t="s">
        <x:v>98</x:v>
      </x:c>
      <x:c r="F46" s="21" t="s">
        <x:v>36</x:v>
      </x:c>
      <x:c r="G46" s="102">
        <x:v>46097</x:v>
      </x:c>
      <x:c r="H46" s="102">
        <x:v>46339</x:v>
      </x:c>
      <x:c r="I46" s="102">
        <x:v>46346</x:v>
      </x:c>
      <x:c r="J46" s="100"/>
      <x:c r="K46" s="7" t="n">
        <x:f ca="1">IF($B46="","",IF($C46="Initiative",IF(COUNTIFS($B$47:$B$204,$B46,$C$47:$C$204,"Activity")+COUNTIFS($B$47:$B$204,$B46,$C$47:$C$204,"Variation")=0,"",IF(COUNTIFS($B$47:$B$204,$B46,$C$47:$C$204,"Activity")+COUNTIFS($B$47:$B$204,$B46,$C$47:$C$204,"Variation")&lt;&gt;COUNTIFS($B$47:$B$204,$B46,$C$47:$C$204,"Activity",$G$47:$G$204,"&lt;&gt;",$H$47:$H$204,"&lt;&gt;")+COUNTIFS($B$47:$B$204,$B46,$C$47:$C$204,"Variation",$G$47:$G$204,"&lt;&gt;",$H$47:$H$204,"&lt;&gt;"),"",(SUMIFS($K$47:$K$204,$B$47:$B$204,$B46,$C$47:$C$204,"Activity")+SUMIFS($K$47:$K$204,$B$47:$B$204,$B46,$C$47:$C$204,"Variation"))/(COUNTIFS($B$47:$B$204,$B46,$C$47:$C$204,"Activity")+COUNTIFS($B$47:$B$204,$B46,$C$47:$C$204,"Variation")))),IF($C46="Milestone",IF(COUNTIFS($D$47:$D$204,$A46,$C$47:$C$204,"Activity")+COUNTIFS($D$47:$D$204,$A46,$C$47:$C$204,"Variation")=0,"",IF(COUNTIFS($D$47:$D$204,$A46,$C$47:$C$204,"Activity")+COUNTIFS($D$47:$D$204,$A46,$C$47:$C$204,"Variation")&lt;&gt;COUNTIFS($D$47:$D$204,$A46,$C$47:$C$204,"Activity",$G$47:$G$204,"&lt;&gt;",$H$47:$H$204,"&lt;&gt;")+COUNTIFS($D$47:$D$204,$A46,$C$47:$C$204,"Variation",$G$47:$G$204,"&lt;&gt;",$H$47:$H$204,"&lt;&gt;"),"",(SUMIFS($K$47:$K$204,$D$47:$D$204,$A46,$C$47:$C$204,"Activity")+SUMIFS($K$47:$K$204,$D$47:$D$204,$A46,$C$47:$C$204,"Variation"))/(COUNTIFS($D$47:$D$204,$A46,$C$47:$C$204,"Activity")+COUNTIFS($D$47:$D$204,$A46,$C$47:$C$204,"Variation")))),IF(OR($C46="Activity",$C46="Variation"),IF(OR($G46="",$H46=""),"",IF($H46&lt;$G46,"",IF($H46=$G46,--(TODAY()&gt;=$H46),MAX(0,MIN(1,(TODAY()-$G46)/($H46-$G46)))))),""))))</x:f>
        <x:v>0.7468354430379747</x:v>
      </x:c>
      <x:c r="L46" s="7" t="n">
        <x:f t="shared" si="0">IF($B46="","",IF($C46="Initiative",IF(COUNTIFS($B$5:$B$204,$B46,$C$5:$C$204,"Activity")+COUNTIFS($B$5:$B$204,$B46,$C$5:$C$204,"Variation")=0,"",IF(COUNTIFS($B$5:$B$204,$B46,$C$5:$C$204,"Activity")+COUNTIFS($B$5:$B$204,$B46,$C$5:$C$204,"Variation")&lt;&gt;COUNTIFS($B$5:$B$204,$B46,$C$5:$C$204,"Activity",$J$5:$J$204,"&lt;&gt;",$J$5:$J$204,"&gt;=0",$J$5:$J$204,"&lt;=1")+COUNTIFS($B$5:$B$204,$B46,$C$5:$C$204,"Variation",$J$5:$J$204,"&lt;&gt;",$J$5:$J$204,"&gt;=0",$J$5:$J$204,"&lt;=1"),"",(SUMIFS($J$5:$J$204,$B$5:$B$204,$B46,$C$5:$C$204,"Activity")+SUMIFS($J$5:$J$204,$B$5:$B$204,$B46,$C$5:$C$204,"Variation"))/(COUNTIFS($B$5:$B$204,$B46,$C$5:$C$204,"Activity")+COUNTIFS($B$5:$B$204,$B46,$C$5:$C$204,"Variation")))),IF($C46="Milestone",IF(COUNTIFS($D$5:$D$204,$A46,$C$5:$C$204,"Activity")+COUNTIFS($D$5:$D$204,$A46,$C$5:$C$204,"Variation")=0,"",IF(COUNTIFS($D$5:$D$204,$A46,$C$5:$C$204,"Activity")+COUNTIFS($D$5:$D$204,$A46,$C$5:$C$204,"Variation")&lt;&gt;COUNTIFS($D$5:$D$204,$A46,$C$5:$C$204,"Activity",$J$5:$J$204,"&lt;&gt;",$J$5:$J$204,"&gt;=0",$J$5:$J$204,"&lt;=1")+COUNTIFS($D$5:$D$204,$A46,$C$5:$C$204,"Variation",$J$5:$J$204,"&lt;&gt;",$J$5:$J$204,"&gt;=0",$J$5:$J$204,"&lt;=1"),"",(SUMIFS($J$5:$J$204,$D$5:$D$204,$A46,$C$5:$C$204,"Activity")+SUMIFS($J$5:$J$204,$D$5:$D$204,$A46,$C$5:$C$204,"Variation"))/(COUNTIFS($D$5:$D$204,$A46,$C$5:$C$204,"Activity")+COUNTIFS($D$5:$D$204,$A46,$C$5:$C$204,"Variation")))),IF(OR($C46="Activity",$C46="Variation"),IF(AND(ISNUMBER($J46),$J46&gt;=0,$J46&lt;=1),$J46,""),""))))</x:f>
        <x:v>0.7333333333333334</x:v>
      </x:c>
      <x:c r="M46" s="7" t="n">
        <x:f t="shared" ca="1" si="1">IF(OR($K46="",$L46=""),"",$L46-$K46)</x:f>
        <x:v>-0.013502109704641274</x:v>
      </x:c>
      <x:c r="N46" s="6" t="str">
        <x:f ca="1">IF(OR($B46="",$I46="",$L46=""),"",IF(AND($L46&lt;1,$I46&lt;TODAY()),"Late",IF(AND($H46&lt;&gt;"",$I46&gt;$H46),"Forecast Slip","On Plan")))</x:f>
        <x:v>Forecast Slip</x:v>
      </x:c>
      <x:c r="O46" s="19"/>
      <x:c r="P46" s="6" t="str">
        <x:f t="shared" si="2">IF($B46="","",IF($A46="","Enter item ID",IF(COUNTIF($A$5:$A$204,$A46)&gt;1,"Duplicate item ID",IF($C46="Initiative",IF($D46&lt;&gt;"","Parent must be blank",IF(COUNTIFS($B$5:$B$204,$B46,$C$5:$C$204,"Initiative")&lt;&gt;1,"One Initiative row required",IF(COUNTIFS($D$5:$D$204,$A46,$C$5:$C$204,"Milestone")=0,"Add milestone","OK"))),IF($C46="Milestone",IF(COUNTIFS($A$5:$A$204,$D46,$B$5:$B$204,$B46,$C$5:$C$204,"Initiative")&lt;&gt;1,"Parent must be Initiative",IF(COUNTIFS($D$5:$D$204,$A46,$C$5:$C$204,"Activity")+COUNTIFS($D$5:$D$204,$A46,$C$5:$C$204,"Variation")=0,"Add activity or variation","OK")),IF(OR($C46="Activity",$C46="Variation"),IF(COUNTIFS($A$5:$A$204,$D46,$B$5:$B$204,$B46,$C$5:$C$204,"Milestone")&lt;&gt;1,"Parent must be Milestone",IF(OR($G46="",$H46=""),"Enter baseline dates",IF($H46&lt;$G46,"Baseline finish before start",IF($I46="","Enter forecast finish",IF(COUNT($J46)=0,"Enter actual %",IF(OR(NOT(ISNUMBER($J46)),$J46&lt;0,$J46&gt;1),"Actual % must be 0–100%","OK")))))),"Select level"))))))</x:f>
        <x:v>OK</x:v>
      </x:c>
    </x:row>
    <x:row r="47" ht="25.75">
      <x:c r="A47" s="66" t="str" cm="1">
        <x:f t="array" ref="A47">IF(OR(B47="",C47=""),"",IF(C47="Initiative",COUNTIF($C$5:C47,"Initiative"),IF(C47="Milestone",IF(D47="","",D47&amp;"."&amp;COUNTIFS($D$5:D47,D47,$C$5:C47,"Milestone")),IF(OR(C47="Activity",C47="Variation"),IF(D47="","",D47&amp;"."&amp;(COUNTIFS($D$5:D47,D47,$C$5:C47,"Activity")+COUNTIFS($D$5:D47,D47,$C$5:C47,"Variation"))),""))))</x:f>
        <x:v>9.1.1</x:v>
      </x:c>
      <x:c r="B47" s="19" t="s">
        <x:v>71</x:v>
      </x:c>
      <x:c r="C47" s="19" t="s">
        <x:v>99</x:v>
      </x:c>
      <x:c r="D47" s="20">
        <x:v>9.1</x:v>
      </x:c>
      <x:c r="E47" s="21" t="s">
        <x:v>127</x:v>
      </x:c>
      <x:c r="F47" s="21" t="s">
        <x:v>36</x:v>
      </x:c>
      <x:c r="G47" s="102">
        <x:v>46097</x:v>
      </x:c>
      <x:c r="H47" s="102">
        <x:v>46177</x:v>
      </x:c>
      <x:c r="I47" s="102">
        <x:v>46177</x:v>
      </x:c>
      <x:c r="J47" s="100">
        <x:v>0.8</x:v>
      </x:c>
      <x:c r="K47" s="7" t="n">
        <x:f ca="1">IF($B47="","",IF($C47="Initiative",IF(COUNTIFS($B$48:$B$204,$B47,$C$48:$C$204,"Activity")+COUNTIFS($B$48:$B$204,$B47,$C$48:$C$204,"Variation")=0,"",IF(COUNTIFS($B$48:$B$204,$B47,$C$48:$C$204,"Activity")+COUNTIFS($B$48:$B$204,$B47,$C$48:$C$204,"Variation")&lt;&gt;COUNTIFS($B$48:$B$204,$B47,$C$48:$C$204,"Activity",$G$48:$G$204,"&lt;&gt;",$H$48:$H$204,"&lt;&gt;")+COUNTIFS($B$48:$B$204,$B47,$C$48:$C$204,"Variation",$G$48:$G$204,"&lt;&gt;",$H$48:$H$204,"&lt;&gt;"),"",(SUMIFS($K$48:$K$204,$B$48:$B$204,$B47,$C$48:$C$204,"Activity")+SUMIFS($K$48:$K$204,$B$48:$B$204,$B47,$C$48:$C$204,"Variation"))/(COUNTIFS($B$48:$B$204,$B47,$C$48:$C$204,"Activity")+COUNTIFS($B$48:$B$204,$B47,$C$48:$C$204,"Variation")))),IF($C47="Milestone",IF(COUNTIFS($D$48:$D$204,$A47,$C$48:$C$204,"Activity")+COUNTIFS($D$48:$D$204,$A47,$C$48:$C$204,"Variation")=0,"",IF(COUNTIFS($D$48:$D$204,$A47,$C$48:$C$204,"Activity")+COUNTIFS($D$48:$D$204,$A47,$C$48:$C$204,"Variation")&lt;&gt;COUNTIFS($D$48:$D$204,$A47,$C$48:$C$204,"Activity",$G$48:$G$204,"&lt;&gt;",$H$48:$H$204,"&lt;&gt;")+COUNTIFS($D$48:$D$204,$A47,$C$48:$C$204,"Variation",$G$48:$G$204,"&lt;&gt;",$H$48:$H$204,"&lt;&gt;"),"",(SUMIFS($K$48:$K$204,$D$48:$D$204,$A47,$C$48:$C$204,"Activity")+SUMIFS($K$48:$K$204,$D$48:$D$204,$A47,$C$48:$C$204,"Variation"))/(COUNTIFS($D$48:$D$204,$A47,$C$48:$C$204,"Activity")+COUNTIFS($D$48:$D$204,$A47,$C$48:$C$204,"Variation")))),IF(OR($C47="Activity",$C47="Variation"),IF(OR($G47="",$H47=""),"",IF($H47&lt;$G47,"",IF($H47=$G47,--(TODAY()&gt;=$H47),MAX(0,MIN(1,(TODAY()-$G47)/($H47-$G47)))))),""))))</x:f>
        <x:v>1</x:v>
      </x:c>
      <x:c r="L47" s="7" t="n">
        <x:f t="shared" si="0">IF($B47="","",IF($C47="Initiative",IF(COUNTIFS($B$5:$B$204,$B47,$C$5:$C$204,"Activity")+COUNTIFS($B$5:$B$204,$B47,$C$5:$C$204,"Variation")=0,"",IF(COUNTIFS($B$5:$B$204,$B47,$C$5:$C$204,"Activity")+COUNTIFS($B$5:$B$204,$B47,$C$5:$C$204,"Variation")&lt;&gt;COUNTIFS($B$5:$B$204,$B47,$C$5:$C$204,"Activity",$J$5:$J$204,"&lt;&gt;",$J$5:$J$204,"&gt;=0",$J$5:$J$204,"&lt;=1")+COUNTIFS($B$5:$B$204,$B47,$C$5:$C$204,"Variation",$J$5:$J$204,"&lt;&gt;",$J$5:$J$204,"&gt;=0",$J$5:$J$204,"&lt;=1"),"",(SUMIFS($J$5:$J$204,$B$5:$B$204,$B47,$C$5:$C$204,"Activity")+SUMIFS($J$5:$J$204,$B$5:$B$204,$B47,$C$5:$C$204,"Variation"))/(COUNTIFS($B$5:$B$204,$B47,$C$5:$C$204,"Activity")+COUNTIFS($B$5:$B$204,$B47,$C$5:$C$204,"Variation")))),IF($C47="Milestone",IF(COUNTIFS($D$5:$D$204,$A47,$C$5:$C$204,"Activity")+COUNTIFS($D$5:$D$204,$A47,$C$5:$C$204,"Variation")=0,"",IF(COUNTIFS($D$5:$D$204,$A47,$C$5:$C$204,"Activity")+COUNTIFS($D$5:$D$204,$A47,$C$5:$C$204,"Variation")&lt;&gt;COUNTIFS($D$5:$D$204,$A47,$C$5:$C$204,"Activity",$J$5:$J$204,"&lt;&gt;",$J$5:$J$204,"&gt;=0",$J$5:$J$204,"&lt;=1")+COUNTIFS($D$5:$D$204,$A47,$C$5:$C$204,"Variation",$J$5:$J$204,"&lt;&gt;",$J$5:$J$204,"&gt;=0",$J$5:$J$204,"&lt;=1"),"",(SUMIFS($J$5:$J$204,$D$5:$D$204,$A47,$C$5:$C$204,"Activity")+SUMIFS($J$5:$J$204,$D$5:$D$204,$A47,$C$5:$C$204,"Variation"))/(COUNTIFS($D$5:$D$204,$A47,$C$5:$C$204,"Activity")+COUNTIFS($D$5:$D$204,$A47,$C$5:$C$204,"Variation")))),IF(OR($C47="Activity",$C47="Variation"),IF(AND(ISNUMBER($J47),$J47&gt;=0,$J47&lt;=1),$J47,""),""))))</x:f>
        <x:v>0.8</x:v>
      </x:c>
      <x:c r="M47" s="7" t="n">
        <x:f t="shared" ca="1" si="1">IF(OR($K47="",$L47=""),"",$L47-$K47)</x:f>
        <x:v>-0.19999999999999996</x:v>
      </x:c>
      <x:c r="N47" s="6" t="str">
        <x:f ca="1">IF(OR($B47="",$I47="",$L47=""),"",IF(AND($L47&lt;1,$I47&lt;TODAY()),"Late",IF(AND($H47&lt;&gt;"",$I47&gt;$H47),"Forecast Slip","On Plan")))</x:f>
        <x:v>Late</x:v>
      </x:c>
      <x:c r="O47" s="19"/>
      <x:c r="P47" s="6" t="str">
        <x:f t="shared" si="2">IF($B47="","",IF($A47="","Enter item ID",IF(COUNTIF($A$5:$A$204,$A47)&gt;1,"Duplicate item ID",IF($C47="Initiative",IF($D47&lt;&gt;"","Parent must be blank",IF(COUNTIFS($B$5:$B$204,$B47,$C$5:$C$204,"Initiative")&lt;&gt;1,"One Initiative row required",IF(COUNTIFS($D$5:$D$204,$A47,$C$5:$C$204,"Milestone")=0,"Add milestone","OK"))),IF($C47="Milestone",IF(COUNTIFS($A$5:$A$204,$D47,$B$5:$B$204,$B47,$C$5:$C$204,"Initiative")&lt;&gt;1,"Parent must be Initiative",IF(COUNTIFS($D$5:$D$204,$A47,$C$5:$C$204,"Activity")+COUNTIFS($D$5:$D$204,$A47,$C$5:$C$204,"Variation")=0,"Add activity or variation","OK")),IF(OR($C47="Activity",$C47="Variation"),IF(COUNTIFS($A$5:$A$204,$D47,$B$5:$B$204,$B47,$C$5:$C$204,"Milestone")&lt;&gt;1,"Parent must be Milestone",IF(OR($G47="",$H47=""),"Enter baseline dates",IF($H47&lt;$G47,"Baseline finish before start",IF($I47="","Enter forecast finish",IF(COUNT($J47)=0,"Enter actual %",IF(OR(NOT(ISNUMBER($J47)),$J47&lt;0,$J47&gt;1),"Actual % must be 0–100%","OK")))))),"Select level"))))))</x:f>
        <x:v>OK</x:v>
      </x:c>
    </x:row>
    <x:row r="48">
      <x:c r="A48" s="66" t="str" cm="1">
        <x:f t="array" ref="A48">IF(OR(B48="",C48=""),"",IF(C48="Initiative",COUNTIF($C$5:C48,"Initiative"),IF(C48="Milestone",IF(D48="","",D48&amp;"."&amp;COUNTIFS($D$5:D48,D48,$C$5:C48,"Milestone")),IF(OR(C48="Activity",C48="Variation"),IF(D48="","",D48&amp;"."&amp;(COUNTIFS($D$5:D48,D48,$C$5:C48,"Activity")+COUNTIFS($D$5:D48,D48,$C$5:C48,"Variation"))),""))))</x:f>
        <x:v>9.1.2</x:v>
      </x:c>
      <x:c r="B48" s="19" t="s">
        <x:v>71</x:v>
      </x:c>
      <x:c r="C48" s="19" t="s">
        <x:v>99</x:v>
      </x:c>
      <x:c r="D48" s="20">
        <x:v>9.1</x:v>
      </x:c>
      <x:c r="E48" s="21" t="s">
        <x:v>128</x:v>
      </x:c>
      <x:c r="F48" s="21" t="s">
        <x:v>36</x:v>
      </x:c>
      <x:c r="G48" s="102">
        <x:v>46178</x:v>
      </x:c>
      <x:c r="H48" s="102">
        <x:v>46259</x:v>
      </x:c>
      <x:c r="I48" s="102">
        <x:v>46266</x:v>
      </x:c>
      <x:c r="J48" s="100">
        <x:v>0.75</x:v>
      </x:c>
      <x:c r="K48" s="7" t="n">
        <x:f ca="1">IF($B48="","",IF($C48="Initiative",IF(COUNTIFS($B$49:$B$204,$B48,$C$49:$C$204,"Activity")+COUNTIFS($B$49:$B$204,$B48,$C$49:$C$204,"Variation")=0,"",IF(COUNTIFS($B$49:$B$204,$B48,$C$49:$C$204,"Activity")+COUNTIFS($B$49:$B$204,$B48,$C$49:$C$204,"Variation")&lt;&gt;COUNTIFS($B$49:$B$204,$B48,$C$49:$C$204,"Activity",$G$49:$G$204,"&lt;&gt;",$H$49:$H$204,"&lt;&gt;")+COUNTIFS($B$49:$B$204,$B48,$C$49:$C$204,"Variation",$G$49:$G$204,"&lt;&gt;",$H$49:$H$204,"&lt;&gt;"),"",(SUMIFS($K$49:$K$204,$B$49:$B$204,$B48,$C$49:$C$204,"Activity")+SUMIFS($K$49:$K$204,$B$49:$B$204,$B48,$C$49:$C$204,"Variation"))/(COUNTIFS($B$49:$B$204,$B48,$C$49:$C$204,"Activity")+COUNTIFS($B$49:$B$204,$B48,$C$49:$C$204,"Variation")))),IF($C48="Milestone",IF(COUNTIFS($D$49:$D$204,$A48,$C$49:$C$204,"Activity")+COUNTIFS($D$49:$D$204,$A48,$C$49:$C$204,"Variation")=0,"",IF(COUNTIFS($D$49:$D$204,$A48,$C$49:$C$204,"Activity")+COUNTIFS($D$49:$D$204,$A48,$C$49:$C$204,"Variation")&lt;&gt;COUNTIFS($D$49:$D$204,$A48,$C$49:$C$204,"Activity",$G$49:$G$204,"&lt;&gt;",$H$49:$H$204,"&lt;&gt;")+COUNTIFS($D$49:$D$204,$A48,$C$49:$C$204,"Variation",$G$49:$G$204,"&lt;&gt;",$H$49:$H$204,"&lt;&gt;"),"",(SUMIFS($K$49:$K$204,$D$49:$D$204,$A48,$C$49:$C$204,"Activity")+SUMIFS($K$49:$K$204,$D$49:$D$204,$A48,$C$49:$C$204,"Variation"))/(COUNTIFS($D$49:$D$204,$A48,$C$49:$C$204,"Activity")+COUNTIFS($D$49:$D$204,$A48,$C$49:$C$204,"Variation")))),IF(OR($C48="Activity",$C48="Variation"),IF(OR($G48="",$H48=""),"",IF($H48&lt;$G48,"",IF($H48=$G48,--(TODAY()&gt;=$H48),MAX(0,MIN(1,(TODAY()-$G48)/($H48-$G48)))))),""))))</x:f>
        <x:v>1</x:v>
      </x:c>
      <x:c r="L48" s="7" t="n">
        <x:f t="shared" si="0">IF($B48="","",IF($C48="Initiative",IF(COUNTIFS($B$5:$B$204,$B48,$C$5:$C$204,"Activity")+COUNTIFS($B$5:$B$204,$B48,$C$5:$C$204,"Variation")=0,"",IF(COUNTIFS($B$5:$B$204,$B48,$C$5:$C$204,"Activity")+COUNTIFS($B$5:$B$204,$B48,$C$5:$C$204,"Variation")&lt;&gt;COUNTIFS($B$5:$B$204,$B48,$C$5:$C$204,"Activity",$J$5:$J$204,"&lt;&gt;",$J$5:$J$204,"&gt;=0",$J$5:$J$204,"&lt;=1")+COUNTIFS($B$5:$B$204,$B48,$C$5:$C$204,"Variation",$J$5:$J$204,"&lt;&gt;",$J$5:$J$204,"&gt;=0",$J$5:$J$204,"&lt;=1"),"",(SUMIFS($J$5:$J$204,$B$5:$B$204,$B48,$C$5:$C$204,"Activity")+SUMIFS($J$5:$J$204,$B$5:$B$204,$B48,$C$5:$C$204,"Variation"))/(COUNTIFS($B$5:$B$204,$B48,$C$5:$C$204,"Activity")+COUNTIFS($B$5:$B$204,$B48,$C$5:$C$204,"Variation")))),IF($C48="Milestone",IF(COUNTIFS($D$5:$D$204,$A48,$C$5:$C$204,"Activity")+COUNTIFS($D$5:$D$204,$A48,$C$5:$C$204,"Variation")=0,"",IF(COUNTIFS($D$5:$D$204,$A48,$C$5:$C$204,"Activity")+COUNTIFS($D$5:$D$204,$A48,$C$5:$C$204,"Variation")&lt;&gt;COUNTIFS($D$5:$D$204,$A48,$C$5:$C$204,"Activity",$J$5:$J$204,"&lt;&gt;",$J$5:$J$204,"&gt;=0",$J$5:$J$204,"&lt;=1")+COUNTIFS($D$5:$D$204,$A48,$C$5:$C$204,"Variation",$J$5:$J$204,"&lt;&gt;",$J$5:$J$204,"&gt;=0",$J$5:$J$204,"&lt;=1"),"",(SUMIFS($J$5:$J$204,$D$5:$D$204,$A48,$C$5:$C$204,"Activity")+SUMIFS($J$5:$J$204,$D$5:$D$204,$A48,$C$5:$C$204,"Variation"))/(COUNTIFS($D$5:$D$204,$A48,$C$5:$C$204,"Activity")+COUNTIFS($D$5:$D$204,$A48,$C$5:$C$204,"Variation")))),IF(OR($C48="Activity",$C48="Variation"),IF(AND(ISNUMBER($J48),$J48&gt;=0,$J48&lt;=1),$J48,""),""))))</x:f>
        <x:v>0.75</x:v>
      </x:c>
      <x:c r="M48" s="7" t="n">
        <x:f t="shared" ca="1" si="1">IF(OR($K48="",$L48=""),"",$L48-$K48)</x:f>
        <x:v>-0.25</x:v>
      </x:c>
      <x:c r="N48" s="6" t="str">
        <x:f ca="1">IF(OR($B48="",$I48="",$L48=""),"",IF(AND($L48&lt;1,$I48&lt;TODAY()),"Late",IF(AND($H48&lt;&gt;"",$I48&gt;$H48),"Forecast Slip","On Plan")))</x:f>
        <x:v>Late</x:v>
      </x:c>
      <x:c r="O48" s="19"/>
      <x:c r="P48" s="6" t="str">
        <x:f t="shared" si="2">IF($B48="","",IF($A48="","Enter item ID",IF(COUNTIF($A$5:$A$204,$A48)&gt;1,"Duplicate item ID",IF($C48="Initiative",IF($D48&lt;&gt;"","Parent must be blank",IF(COUNTIFS($B$5:$B$204,$B48,$C$5:$C$204,"Initiative")&lt;&gt;1,"One Initiative row required",IF(COUNTIFS($D$5:$D$204,$A48,$C$5:$C$204,"Milestone")=0,"Add milestone","OK"))),IF($C48="Milestone",IF(COUNTIFS($A$5:$A$204,$D48,$B$5:$B$204,$B48,$C$5:$C$204,"Initiative")&lt;&gt;1,"Parent must be Initiative",IF(COUNTIFS($D$5:$D$204,$A48,$C$5:$C$204,"Activity")+COUNTIFS($D$5:$D$204,$A48,$C$5:$C$204,"Variation")=0,"Add activity or variation","OK")),IF(OR($C48="Activity",$C48="Variation"),IF(COUNTIFS($A$5:$A$204,$D48,$B$5:$B$204,$B48,$C$5:$C$204,"Milestone")&lt;&gt;1,"Parent must be Milestone",IF(OR($G48="",$H48=""),"Enter baseline dates",IF($H48&lt;$G48,"Baseline finish before start",IF($I48="","Enter forecast finish",IF(COUNT($J48)=0,"Enter actual %",IF(OR(NOT(ISNUMBER($J48)),$J48&lt;0,$J48&gt;1),"Actual % must be 0–100%","OK")))))),"Select level"))))))</x:f>
        <x:v>OK</x:v>
      </x:c>
    </x:row>
    <x:row r="49">
      <x:c r="A49" s="66" t="str" cm="1">
        <x:f t="array" ref="A49">IF(OR(B49="",C49=""),"",IF(C49="Initiative",COUNTIF($C$5:C49,"Initiative"),IF(C49="Milestone",IF(D49="","",D49&amp;"."&amp;COUNTIFS($D$5:D49,D49,$C$5:C49,"Milestone")),IF(OR(C49="Activity",C49="Variation"),IF(D49="","",D49&amp;"."&amp;(COUNTIFS($D$5:D49,D49,$C$5:C49,"Activity")+COUNTIFS($D$5:D49,D49,$C$5:C49,"Variation"))),""))))</x:f>
        <x:v>9.1.3</x:v>
      </x:c>
      <x:c r="B49" s="19" t="s">
        <x:v>71</x:v>
      </x:c>
      <x:c r="C49" s="19" t="s">
        <x:v>99</x:v>
      </x:c>
      <x:c r="D49" s="20">
        <x:v>9.1</x:v>
      </x:c>
      <x:c r="E49" s="21" t="s">
        <x:v>129</x:v>
      </x:c>
      <x:c r="F49" s="21" t="s">
        <x:v>36</x:v>
      </x:c>
      <x:c r="G49" s="102">
        <x:v>46260</x:v>
      </x:c>
      <x:c r="H49" s="102">
        <x:v>46339</x:v>
      </x:c>
      <x:c r="I49" s="102">
        <x:v>46346</x:v>
      </x:c>
      <x:c r="J49" s="100">
        <x:v>0.65</x:v>
      </x:c>
      <x:c r="K49" s="7" t="n">
        <x:f ca="1">IF($B49="","",IF($C49="Initiative",IF(COUNTIFS($B$50:$B$204,$B49,$C$50:$C$204,"Activity")+COUNTIFS($B$50:$B$204,$B49,$C$50:$C$204,"Variation")=0,"",IF(COUNTIFS($B$50:$B$204,$B49,$C$50:$C$204,"Activity")+COUNTIFS($B$50:$B$204,$B49,$C$50:$C$204,"Variation")&lt;&gt;COUNTIFS($B$50:$B$204,$B49,$C$50:$C$204,"Activity",$G$50:$G$204,"&lt;&gt;",$H$50:$H$204,"&lt;&gt;")+COUNTIFS($B$50:$B$204,$B49,$C$50:$C$204,"Variation",$G$50:$G$204,"&lt;&gt;",$H$50:$H$204,"&lt;&gt;"),"",(SUMIFS($K$50:$K$204,$B$50:$B$204,$B49,$C$50:$C$204,"Activity")+SUMIFS($K$50:$K$204,$B$50:$B$204,$B49,$C$50:$C$204,"Variation"))/(COUNTIFS($B$50:$B$204,$B49,$C$50:$C$204,"Activity")+COUNTIFS($B$50:$B$204,$B49,$C$50:$C$204,"Variation")))),IF($C49="Milestone",IF(COUNTIFS($D$50:$D$204,$A49,$C$50:$C$204,"Activity")+COUNTIFS($D$50:$D$204,$A49,$C$50:$C$204,"Variation")=0,"",IF(COUNTIFS($D$50:$D$204,$A49,$C$50:$C$204,"Activity")+COUNTIFS($D$50:$D$204,$A49,$C$50:$C$204,"Variation")&lt;&gt;COUNTIFS($D$50:$D$204,$A49,$C$50:$C$204,"Activity",$G$50:$G$204,"&lt;&gt;",$H$50:$H$204,"&lt;&gt;")+COUNTIFS($D$50:$D$204,$A49,$C$50:$C$204,"Variation",$G$50:$G$204,"&lt;&gt;",$H$50:$H$204,"&lt;&gt;"),"",(SUMIFS($K$50:$K$204,$D$50:$D$204,$A49,$C$50:$C$204,"Activity")+SUMIFS($K$50:$K$204,$D$50:$D$204,$A49,$C$50:$C$204,"Variation"))/(COUNTIFS($D$50:$D$204,$A49,$C$50:$C$204,"Activity")+COUNTIFS($D$50:$D$204,$A49,$C$50:$C$204,"Variation")))),IF(OR($C49="Activity",$C49="Variation"),IF(OR($G49="",$H49=""),"",IF($H49&lt;$G49,"",IF($H49=$G49,--(TODAY()&gt;=$H49),MAX(0,MIN(1,(TODAY()-$G49)/($H49-$G49)))))),""))))</x:f>
        <x:v>0.24050632911392406</x:v>
      </x:c>
      <x:c r="L49" s="7" t="n">
        <x:f t="shared" si="0">IF($B49="","",IF($C49="Initiative",IF(COUNTIFS($B$5:$B$204,$B49,$C$5:$C$204,"Activity")+COUNTIFS($B$5:$B$204,$B49,$C$5:$C$204,"Variation")=0,"",IF(COUNTIFS($B$5:$B$204,$B49,$C$5:$C$204,"Activity")+COUNTIFS($B$5:$B$204,$B49,$C$5:$C$204,"Variation")&lt;&gt;COUNTIFS($B$5:$B$204,$B49,$C$5:$C$204,"Activity",$J$5:$J$204,"&lt;&gt;",$J$5:$J$204,"&gt;=0",$J$5:$J$204,"&lt;=1")+COUNTIFS($B$5:$B$204,$B49,$C$5:$C$204,"Variation",$J$5:$J$204,"&lt;&gt;",$J$5:$J$204,"&gt;=0",$J$5:$J$204,"&lt;=1"),"",(SUMIFS($J$5:$J$204,$B$5:$B$204,$B49,$C$5:$C$204,"Activity")+SUMIFS($J$5:$J$204,$B$5:$B$204,$B49,$C$5:$C$204,"Variation"))/(COUNTIFS($B$5:$B$204,$B49,$C$5:$C$204,"Activity")+COUNTIFS($B$5:$B$204,$B49,$C$5:$C$204,"Variation")))),IF($C49="Milestone",IF(COUNTIFS($D$5:$D$204,$A49,$C$5:$C$204,"Activity")+COUNTIFS($D$5:$D$204,$A49,$C$5:$C$204,"Variation")=0,"",IF(COUNTIFS($D$5:$D$204,$A49,$C$5:$C$204,"Activity")+COUNTIFS($D$5:$D$204,$A49,$C$5:$C$204,"Variation")&lt;&gt;COUNTIFS($D$5:$D$204,$A49,$C$5:$C$204,"Activity",$J$5:$J$204,"&lt;&gt;",$J$5:$J$204,"&gt;=0",$J$5:$J$204,"&lt;=1")+COUNTIFS($D$5:$D$204,$A49,$C$5:$C$204,"Variation",$J$5:$J$204,"&lt;&gt;",$J$5:$J$204,"&gt;=0",$J$5:$J$204,"&lt;=1"),"",(SUMIFS($J$5:$J$204,$D$5:$D$204,$A49,$C$5:$C$204,"Activity")+SUMIFS($J$5:$J$204,$D$5:$D$204,$A49,$C$5:$C$204,"Variation"))/(COUNTIFS($D$5:$D$204,$A49,$C$5:$C$204,"Activity")+COUNTIFS($D$5:$D$204,$A49,$C$5:$C$204,"Variation")))),IF(OR($C49="Activity",$C49="Variation"),IF(AND(ISNUMBER($J49),$J49&gt;=0,$J49&lt;=1),$J49,""),""))))</x:f>
        <x:v>0.65</x:v>
      </x:c>
      <x:c r="M49" s="7" t="n">
        <x:f t="shared" ca="1" si="1">IF(OR($K49="",$L49=""),"",$L49-$K49)</x:f>
        <x:v>0.40949367088607597</x:v>
      </x:c>
      <x:c r="N49" s="6" t="str">
        <x:f ca="1">IF(OR($B49="",$I49="",$L49=""),"",IF(AND($L49&lt;1,$I49&lt;TODAY()),"Late",IF(AND($H49&lt;&gt;"",$I49&gt;$H49),"Forecast Slip","On Plan")))</x:f>
        <x:v>Forecast Slip</x:v>
      </x:c>
      <x:c r="O49" s="19"/>
      <x:c r="P49" s="6" t="str">
        <x:f t="shared" si="2">IF($B49="","",IF($A49="","Enter item ID",IF(COUNTIF($A$5:$A$204,$A49)&gt;1,"Duplicate item ID",IF($C49="Initiative",IF($D49&lt;&gt;"","Parent must be blank",IF(COUNTIFS($B$5:$B$204,$B49,$C$5:$C$204,"Initiative")&lt;&gt;1,"One Initiative row required",IF(COUNTIFS($D$5:$D$204,$A49,$C$5:$C$204,"Milestone")=0,"Add milestone","OK"))),IF($C49="Milestone",IF(COUNTIFS($A$5:$A$204,$D49,$B$5:$B$204,$B49,$C$5:$C$204,"Initiative")&lt;&gt;1,"Parent must be Initiative",IF(COUNTIFS($D$5:$D$204,$A49,$C$5:$C$204,"Activity")+COUNTIFS($D$5:$D$204,$A49,$C$5:$C$204,"Variation")=0,"Add activity or variation","OK")),IF(OR($C49="Activity",$C49="Variation"),IF(COUNTIFS($A$5:$A$204,$D49,$B$5:$B$204,$B49,$C$5:$C$204,"Milestone")&lt;&gt;1,"Parent must be Milestone",IF(OR($G49="",$H49=""),"Enter baseline dates",IF($H49&lt;$G49,"Baseline finish before start",IF($I49="","Enter forecast finish",IF(COUNT($J49)=0,"Enter actual %",IF(OR(NOT(ISNUMBER($J49)),$J49&lt;0,$J49&gt;1),"Actual % must be 0–100%","OK")))))),"Select level"))))))</x:f>
        <x:v>OK</x:v>
      </x:c>
    </x:row>
    <x:row r="50" ht="38.599998474121094">
      <x:c r="A50" s="66" t="n" cm="1">
        <x:f t="array" ref="A50">IF(OR(B50="",C50=""),"",IF(C50="Initiative",COUNTIF($C$5:C50,"Initiative"),IF(C50="Milestone",IF(D50="","",D50&amp;"."&amp;COUNTIFS($D$5:D50,D50,$C$5:C50,"Milestone")),IF(OR(C50="Activity",C50="Variation"),IF(D50="","",D50&amp;"."&amp;(COUNTIFS($D$5:D50,D50,$C$5:C50,"Activity")+COUNTIFS($D$5:D50,D50,$C$5:C50,"Variation"))),""))))</x:f>
        <x:v>10</x:v>
      </x:c>
      <x:c r="B50" s="19" t="s">
        <x:v>73</x:v>
      </x:c>
      <x:c r="C50" s="19" t="s">
        <x:v>7</x:v>
      </x:c>
      <x:c r="D50" s="20"/>
      <x:c r="E50" s="21" t="s">
        <x:v>74</x:v>
      </x:c>
      <x:c r="F50" s="21" t="s">
        <x:v>43</x:v>
      </x:c>
      <x:c r="G50" s="102">
        <x:v>46118</x:v>
      </x:c>
      <x:c r="H50" s="102">
        <x:v>46311</x:v>
      </x:c>
      <x:c r="I50" s="102">
        <x:v>46367</x:v>
      </x:c>
      <x:c r="J50" s="100"/>
      <x:c r="K50" s="7" t="n">
        <x:f ca="1">IF($B50="","",IF($C50="Initiative",IF(COUNTIFS($B$51:$B$204,$B50,$C$51:$C$204,"Activity")+COUNTIFS($B$51:$B$204,$B50,$C$51:$C$204,"Variation")=0,"",IF(COUNTIFS($B$51:$B$204,$B50,$C$51:$C$204,"Activity")+COUNTIFS($B$51:$B$204,$B50,$C$51:$C$204,"Variation")&lt;&gt;COUNTIFS($B$51:$B$204,$B50,$C$51:$C$204,"Activity",$G$51:$G$204,"&lt;&gt;",$H$51:$H$204,"&lt;&gt;")+COUNTIFS($B$51:$B$204,$B50,$C$51:$C$204,"Variation",$G$51:$G$204,"&lt;&gt;",$H$51:$H$204,"&lt;&gt;"),"",(SUMIFS($K$51:$K$204,$B$51:$B$204,$B50,$C$51:$C$204,"Activity")+SUMIFS($K$51:$K$204,$B$51:$B$204,$B50,$C$51:$C$204,"Variation"))/(COUNTIFS($B$51:$B$204,$B50,$C$51:$C$204,"Activity")+COUNTIFS($B$51:$B$204,$B50,$C$51:$C$204,"Variation")))),IF($C50="Milestone",IF(COUNTIFS($D$51:$D$204,$A50,$C$51:$C$204,"Activity")+COUNTIFS($D$51:$D$204,$A50,$C$51:$C$204,"Variation")=0,"",IF(COUNTIFS($D$51:$D$204,$A50,$C$51:$C$204,"Activity")+COUNTIFS($D$51:$D$204,$A50,$C$51:$C$204,"Variation")&lt;&gt;COUNTIFS($D$51:$D$204,$A50,$C$51:$C$204,"Activity",$G$51:$G$204,"&lt;&gt;",$H$51:$H$204,"&lt;&gt;")+COUNTIFS($D$51:$D$204,$A50,$C$51:$C$204,"Variation",$G$51:$G$204,"&lt;&gt;",$H$51:$H$204,"&lt;&gt;"),"",(SUMIFS($K$51:$K$204,$D$51:$D$204,$A50,$C$51:$C$204,"Activity")+SUMIFS($K$51:$K$204,$D$51:$D$204,$A50,$C$51:$C$204,"Variation"))/(COUNTIFS($D$51:$D$204,$A50,$C$51:$C$204,"Activity")+COUNTIFS($D$51:$D$204,$A50,$C$51:$C$204,"Variation")))),IF(OR($C50="Activity",$C50="Variation"),IF(OR($G50="",$H50=""),"",IF($H50&lt;$G50,"",IF($H50=$G50,--(TODAY()&gt;=$H50),MAX(0,MIN(1,(TODAY()-$G50)/($H50-$G50)))))),""))))</x:f>
        <x:v>0.8306878306878307</x:v>
      </x:c>
      <x:c r="L50" s="7" t="n">
        <x:f t="shared" si="0">IF($B50="","",IF($C50="Initiative",IF(COUNTIFS($B$5:$B$204,$B50,$C$5:$C$204,"Activity")+COUNTIFS($B$5:$B$204,$B50,$C$5:$C$204,"Variation")=0,"",IF(COUNTIFS($B$5:$B$204,$B50,$C$5:$C$204,"Activity")+COUNTIFS($B$5:$B$204,$B50,$C$5:$C$204,"Variation")&lt;&gt;COUNTIFS($B$5:$B$204,$B50,$C$5:$C$204,"Activity",$J$5:$J$204,"&lt;&gt;",$J$5:$J$204,"&gt;=0",$J$5:$J$204,"&lt;=1")+COUNTIFS($B$5:$B$204,$B50,$C$5:$C$204,"Variation",$J$5:$J$204,"&lt;&gt;",$J$5:$J$204,"&gt;=0",$J$5:$J$204,"&lt;=1"),"",(SUMIFS($J$5:$J$204,$B$5:$B$204,$B50,$C$5:$C$204,"Activity")+SUMIFS($J$5:$J$204,$B$5:$B$204,$B50,$C$5:$C$204,"Variation"))/(COUNTIFS($B$5:$B$204,$B50,$C$5:$C$204,"Activity")+COUNTIFS($B$5:$B$204,$B50,$C$5:$C$204,"Variation")))),IF($C50="Milestone",IF(COUNTIFS($D$5:$D$204,$A50,$C$5:$C$204,"Activity")+COUNTIFS($D$5:$D$204,$A50,$C$5:$C$204,"Variation")=0,"",IF(COUNTIFS($D$5:$D$204,$A50,$C$5:$C$204,"Activity")+COUNTIFS($D$5:$D$204,$A50,$C$5:$C$204,"Variation")&lt;&gt;COUNTIFS($D$5:$D$204,$A50,$C$5:$C$204,"Activity",$J$5:$J$204,"&lt;&gt;",$J$5:$J$204,"&gt;=0",$J$5:$J$204,"&lt;=1")+COUNTIFS($D$5:$D$204,$A50,$C$5:$C$204,"Variation",$J$5:$J$204,"&lt;&gt;",$J$5:$J$204,"&gt;=0",$J$5:$J$204,"&lt;=1"),"",(SUMIFS($J$5:$J$204,$D$5:$D$204,$A50,$C$5:$C$204,"Activity")+SUMIFS($J$5:$J$204,$D$5:$D$204,$A50,$C$5:$C$204,"Variation"))/(COUNTIFS($D$5:$D$204,$A50,$C$5:$C$204,"Activity")+COUNTIFS($D$5:$D$204,$A50,$C$5:$C$204,"Variation")))),IF(OR($C50="Activity",$C50="Variation"),IF(AND(ISNUMBER($J50),$J50&gt;=0,$J50&lt;=1),$J50,""),""))))</x:f>
        <x:v>0.3666666666666667</x:v>
      </x:c>
      <x:c r="M50" s="7" t="n">
        <x:f t="shared" ca="1" si="1">IF(OR($K50="",$L50=""),"",$L50-$K50)</x:f>
        <x:v>-0.464021164021164</x:v>
      </x:c>
      <x:c r="N50" s="6" t="str">
        <x:f ca="1">IF(OR($B50="",$I50="",$L50=""),"",IF(AND($L50&lt;1,$I50&lt;TODAY()),"Late",IF(AND($H50&lt;&gt;"",$I50&gt;$H50),"Forecast Slip","On Plan")))</x:f>
        <x:v>Forecast Slip</x:v>
      </x:c>
      <x:c r="O50" s="19" t="s">
        <x:v>130</x:v>
      </x:c>
      <x:c r="P50" s="6" t="str">
        <x:f t="shared" si="2">IF($B50="","",IF($A50="","Enter item ID",IF(COUNTIF($A$5:$A$204,$A50)&gt;1,"Duplicate item ID",IF($C50="Initiative",IF($D50&lt;&gt;"","Parent must be blank",IF(COUNTIFS($B$5:$B$204,$B50,$C$5:$C$204,"Initiative")&lt;&gt;1,"One Initiative row required",IF(COUNTIFS($D$5:$D$204,$A50,$C$5:$C$204,"Milestone")=0,"Add milestone","OK"))),IF($C50="Milestone",IF(COUNTIFS($A$5:$A$204,$D50,$B$5:$B$204,$B50,$C$5:$C$204,"Initiative")&lt;&gt;1,"Parent must be Initiative",IF(COUNTIFS($D$5:$D$204,$A50,$C$5:$C$204,"Activity")+COUNTIFS($D$5:$D$204,$A50,$C$5:$C$204,"Variation")=0,"Add activity or variation","OK")),IF(OR($C50="Activity",$C50="Variation"),IF(COUNTIFS($A$5:$A$204,$D50,$B$5:$B$204,$B50,$C$5:$C$204,"Milestone")&lt;&gt;1,"Parent must be Milestone",IF(OR($G50="",$H50=""),"Enter baseline dates",IF($H50&lt;$G50,"Baseline finish before start",IF($I50="","Enter forecast finish",IF(COUNT($J50)=0,"Enter actual %",IF(OR(NOT(ISNUMBER($J50)),$J50&lt;0,$J50&gt;1),"Actual % must be 0–100%","OK")))))),"Select level"))))))</x:f>
        <x:v>OK</x:v>
      </x:c>
    </x:row>
    <x:row r="51" ht="38.599998474121094">
      <x:c r="A51" s="66" t="str" cm="1">
        <x:f t="array" ref="A51">IF(OR(B51="",C51=""),"",IF(C51="Initiative",COUNTIF($C$5:C51,"Initiative"),IF(C51="Milestone",IF(D51="","",D51&amp;"."&amp;COUNTIFS($D$5:D51,D51,$C$5:C51,"Milestone")),IF(OR(C51="Activity",C51="Variation"),IF(D51="","",D51&amp;"."&amp;(COUNTIFS($D$5:D51,D51,$C$5:C51,"Activity")+COUNTIFS($D$5:D51,D51,$C$5:C51,"Variation"))),""))))</x:f>
        <x:v>10.1</x:v>
      </x:c>
      <x:c r="B51" s="19" t="s">
        <x:v>73</x:v>
      </x:c>
      <x:c r="C51" s="19" t="s">
        <x:v>97</x:v>
      </x:c>
      <x:c r="D51" s="20">
        <x:v>10</x:v>
      </x:c>
      <x:c r="E51" s="21" t="s">
        <x:v>98</x:v>
      </x:c>
      <x:c r="F51" s="21" t="s">
        <x:v>43</x:v>
      </x:c>
      <x:c r="G51" s="102">
        <x:v>46118</x:v>
      </x:c>
      <x:c r="H51" s="102">
        <x:v>46311</x:v>
      </x:c>
      <x:c r="I51" s="102">
        <x:v>46367</x:v>
      </x:c>
      <x:c r="J51" s="100"/>
      <x:c r="K51" s="7" t="n">
        <x:f ca="1">IF($B51="","",IF($C51="Initiative",IF(COUNTIFS($B$52:$B$204,$B51,$C$52:$C$204,"Activity")+COUNTIFS($B$52:$B$204,$B51,$C$52:$C$204,"Variation")=0,"",IF(COUNTIFS($B$52:$B$204,$B51,$C$52:$C$204,"Activity")+COUNTIFS($B$52:$B$204,$B51,$C$52:$C$204,"Variation")&lt;&gt;COUNTIFS($B$52:$B$204,$B51,$C$52:$C$204,"Activity",$G$52:$G$204,"&lt;&gt;",$H$52:$H$204,"&lt;&gt;")+COUNTIFS($B$52:$B$204,$B51,$C$52:$C$204,"Variation",$G$52:$G$204,"&lt;&gt;",$H$52:$H$204,"&lt;&gt;"),"",(SUMIFS($K$52:$K$204,$B$52:$B$204,$B51,$C$52:$C$204,"Activity")+SUMIFS($K$52:$K$204,$B$52:$B$204,$B51,$C$52:$C$204,"Variation"))/(COUNTIFS($B$52:$B$204,$B51,$C$52:$C$204,"Activity")+COUNTIFS($B$52:$B$204,$B51,$C$52:$C$204,"Variation")))),IF($C51="Milestone",IF(COUNTIFS($D$52:$D$204,$A51,$C$52:$C$204,"Activity")+COUNTIFS($D$52:$D$204,$A51,$C$52:$C$204,"Variation")=0,"",IF(COUNTIFS($D$52:$D$204,$A51,$C$52:$C$204,"Activity")+COUNTIFS($D$52:$D$204,$A51,$C$52:$C$204,"Variation")&lt;&gt;COUNTIFS($D$52:$D$204,$A51,$C$52:$C$204,"Activity",$G$52:$G$204,"&lt;&gt;",$H$52:$H$204,"&lt;&gt;")+COUNTIFS($D$52:$D$204,$A51,$C$52:$C$204,"Variation",$G$52:$G$204,"&lt;&gt;",$H$52:$H$204,"&lt;&gt;"),"",(SUMIFS($K$52:$K$204,$D$52:$D$204,$A51,$C$52:$C$204,"Activity")+SUMIFS($K$52:$K$204,$D$52:$D$204,$A51,$C$52:$C$204,"Variation"))/(COUNTIFS($D$52:$D$204,$A51,$C$52:$C$204,"Activity")+COUNTIFS($D$52:$D$204,$A51,$C$52:$C$204,"Variation")))),IF(OR($C51="Activity",$C51="Variation"),IF(OR($G51="",$H51=""),"",IF($H51&lt;$G51,"",IF($H51=$G51,--(TODAY()&gt;=$H51),MAX(0,MIN(1,(TODAY()-$G51)/($H51-$G51)))))),""))))</x:f>
        <x:v>0.8306878306878307</x:v>
      </x:c>
      <x:c r="L51" s="7" t="n">
        <x:f t="shared" si="0">IF($B51="","",IF($C51="Initiative",IF(COUNTIFS($B$5:$B$204,$B51,$C$5:$C$204,"Activity")+COUNTIFS($B$5:$B$204,$B51,$C$5:$C$204,"Variation")=0,"",IF(COUNTIFS($B$5:$B$204,$B51,$C$5:$C$204,"Activity")+COUNTIFS($B$5:$B$204,$B51,$C$5:$C$204,"Variation")&lt;&gt;COUNTIFS($B$5:$B$204,$B51,$C$5:$C$204,"Activity",$J$5:$J$204,"&lt;&gt;",$J$5:$J$204,"&gt;=0",$J$5:$J$204,"&lt;=1")+COUNTIFS($B$5:$B$204,$B51,$C$5:$C$204,"Variation",$J$5:$J$204,"&lt;&gt;",$J$5:$J$204,"&gt;=0",$J$5:$J$204,"&lt;=1"),"",(SUMIFS($J$5:$J$204,$B$5:$B$204,$B51,$C$5:$C$204,"Activity")+SUMIFS($J$5:$J$204,$B$5:$B$204,$B51,$C$5:$C$204,"Variation"))/(COUNTIFS($B$5:$B$204,$B51,$C$5:$C$204,"Activity")+COUNTIFS($B$5:$B$204,$B51,$C$5:$C$204,"Variation")))),IF($C51="Milestone",IF(COUNTIFS($D$5:$D$204,$A51,$C$5:$C$204,"Activity")+COUNTIFS($D$5:$D$204,$A51,$C$5:$C$204,"Variation")=0,"",IF(COUNTIFS($D$5:$D$204,$A51,$C$5:$C$204,"Activity")+COUNTIFS($D$5:$D$204,$A51,$C$5:$C$204,"Variation")&lt;&gt;COUNTIFS($D$5:$D$204,$A51,$C$5:$C$204,"Activity",$J$5:$J$204,"&lt;&gt;",$J$5:$J$204,"&gt;=0",$J$5:$J$204,"&lt;=1")+COUNTIFS($D$5:$D$204,$A51,$C$5:$C$204,"Variation",$J$5:$J$204,"&lt;&gt;",$J$5:$J$204,"&gt;=0",$J$5:$J$204,"&lt;=1"),"",(SUMIFS($J$5:$J$204,$D$5:$D$204,$A51,$C$5:$C$204,"Activity")+SUMIFS($J$5:$J$204,$D$5:$D$204,$A51,$C$5:$C$204,"Variation"))/(COUNTIFS($D$5:$D$204,$A51,$C$5:$C$204,"Activity")+COUNTIFS($D$5:$D$204,$A51,$C$5:$C$204,"Variation")))),IF(OR($C51="Activity",$C51="Variation"),IF(AND(ISNUMBER($J51),$J51&gt;=0,$J51&lt;=1),$J51,""),""))))</x:f>
        <x:v>0.3666666666666667</x:v>
      </x:c>
      <x:c r="M51" s="7" t="n">
        <x:f t="shared" ca="1" si="1">IF(OR($K51="",$L51=""),"",$L51-$K51)</x:f>
        <x:v>-0.464021164021164</x:v>
      </x:c>
      <x:c r="N51" s="6" t="str">
        <x:f ca="1">IF(OR($B51="",$I51="",$L51=""),"",IF(AND($L51&lt;1,$I51&lt;TODAY()),"Late",IF(AND($H51&lt;&gt;"",$I51&gt;$H51),"Forecast Slip","On Plan")))</x:f>
        <x:v>Forecast Slip</x:v>
      </x:c>
      <x:c r="O51" s="19" t="s">
        <x:v>130</x:v>
      </x:c>
      <x:c r="P51" s="6" t="str">
        <x:f t="shared" si="2">IF($B51="","",IF($A51="","Enter item ID",IF(COUNTIF($A$5:$A$204,$A51)&gt;1,"Duplicate item ID",IF($C51="Initiative",IF($D51&lt;&gt;"","Parent must be blank",IF(COUNTIFS($B$5:$B$204,$B51,$C$5:$C$204,"Initiative")&lt;&gt;1,"One Initiative row required",IF(COUNTIFS($D$5:$D$204,$A51,$C$5:$C$204,"Milestone")=0,"Add milestone","OK"))),IF($C51="Milestone",IF(COUNTIFS($A$5:$A$204,$D51,$B$5:$B$204,$B51,$C$5:$C$204,"Initiative")&lt;&gt;1,"Parent must be Initiative",IF(COUNTIFS($D$5:$D$204,$A51,$C$5:$C$204,"Activity")+COUNTIFS($D$5:$D$204,$A51,$C$5:$C$204,"Variation")=0,"Add activity or variation","OK")),IF(OR($C51="Activity",$C51="Variation"),IF(COUNTIFS($A$5:$A$204,$D51,$B$5:$B$204,$B51,$C$5:$C$204,"Milestone")&lt;&gt;1,"Parent must be Milestone",IF(OR($G51="",$H51=""),"Enter baseline dates",IF($H51&lt;$G51,"Baseline finish before start",IF($I51="","Enter forecast finish",IF(COUNT($J51)=0,"Enter actual %",IF(OR(NOT(ISNUMBER($J51)),$J51&lt;0,$J51&gt;1),"Actual % must be 0–100%","OK")))))),"Select level"))))))</x:f>
        <x:v>OK</x:v>
      </x:c>
    </x:row>
    <x:row r="52">
      <x:c r="A52" s="66" t="str" cm="1">
        <x:f t="array" ref="A52">IF(OR(B52="",C52=""),"",IF(C52="Initiative",COUNTIF($C$5:C52,"Initiative"),IF(C52="Milestone",IF(D52="","",D52&amp;"."&amp;COUNTIFS($D$5:D52,D52,$C$5:C52,"Milestone")),IF(OR(C52="Activity",C52="Variation"),IF(D52="","",D52&amp;"."&amp;(COUNTIFS($D$5:D52,D52,$C$5:C52,"Activity")+COUNTIFS($D$5:D52,D52,$C$5:C52,"Variation"))),""))))</x:f>
        <x:v>10.1.1</x:v>
      </x:c>
      <x:c r="B52" s="19" t="s">
        <x:v>73</x:v>
      </x:c>
      <x:c r="C52" s="19" t="s">
        <x:v>99</x:v>
      </x:c>
      <x:c r="D52" s="20">
        <x:v>10.1</x:v>
      </x:c>
      <x:c r="E52" s="21" t="s">
        <x:v>131</x:v>
      </x:c>
      <x:c r="F52" s="21" t="s">
        <x:v>43</x:v>
      </x:c>
      <x:c r="G52" s="102">
        <x:v>46118</x:v>
      </x:c>
      <x:c r="H52" s="102">
        <x:v>46182</x:v>
      </x:c>
      <x:c r="I52" s="102">
        <x:v>46182</x:v>
      </x:c>
      <x:c r="J52" s="100">
        <x:v>0.7</x:v>
      </x:c>
      <x:c r="K52" s="7" t="n">
        <x:f ca="1">IF($B52="","",IF($C52="Initiative",IF(COUNTIFS($B$53:$B$204,$B52,$C$53:$C$204,"Activity")+COUNTIFS($B$53:$B$204,$B52,$C$53:$C$204,"Variation")=0,"",IF(COUNTIFS($B$53:$B$204,$B52,$C$53:$C$204,"Activity")+COUNTIFS($B$53:$B$204,$B52,$C$53:$C$204,"Variation")&lt;&gt;COUNTIFS($B$53:$B$204,$B52,$C$53:$C$204,"Activity",$G$53:$G$204,"&lt;&gt;",$H$53:$H$204,"&lt;&gt;")+COUNTIFS($B$53:$B$204,$B52,$C$53:$C$204,"Variation",$G$53:$G$204,"&lt;&gt;",$H$53:$H$204,"&lt;&gt;"),"",(SUMIFS($K$53:$K$204,$B$53:$B$204,$B52,$C$53:$C$204,"Activity")+SUMIFS($K$53:$K$204,$B$53:$B$204,$B52,$C$53:$C$204,"Variation"))/(COUNTIFS($B$53:$B$204,$B52,$C$53:$C$204,"Activity")+COUNTIFS($B$53:$B$204,$B52,$C$53:$C$204,"Variation")))),IF($C52="Milestone",IF(COUNTIFS($D$53:$D$204,$A52,$C$53:$C$204,"Activity")+COUNTIFS($D$53:$D$204,$A52,$C$53:$C$204,"Variation")=0,"",IF(COUNTIFS($D$53:$D$204,$A52,$C$53:$C$204,"Activity")+COUNTIFS($D$53:$D$204,$A52,$C$53:$C$204,"Variation")&lt;&gt;COUNTIFS($D$53:$D$204,$A52,$C$53:$C$204,"Activity",$G$53:$G$204,"&lt;&gt;",$H$53:$H$204,"&lt;&gt;")+COUNTIFS($D$53:$D$204,$A52,$C$53:$C$204,"Variation",$G$53:$G$204,"&lt;&gt;",$H$53:$H$204,"&lt;&gt;"),"",(SUMIFS($K$53:$K$204,$D$53:$D$204,$A52,$C$53:$C$204,"Activity")+SUMIFS($K$53:$K$204,$D$53:$D$204,$A52,$C$53:$C$204,"Variation"))/(COUNTIFS($D$53:$D$204,$A52,$C$53:$C$204,"Activity")+COUNTIFS($D$53:$D$204,$A52,$C$53:$C$204,"Variation")))),IF(OR($C52="Activity",$C52="Variation"),IF(OR($G52="",$H52=""),"",IF($H52&lt;$G52,"",IF($H52=$G52,--(TODAY()&gt;=$H52),MAX(0,MIN(1,(TODAY()-$G52)/($H52-$G52)))))),""))))</x:f>
        <x:v>1</x:v>
      </x:c>
      <x:c r="L52" s="7" t="n">
        <x:f t="shared" si="0">IF($B52="","",IF($C52="Initiative",IF(COUNTIFS($B$5:$B$204,$B52,$C$5:$C$204,"Activity")+COUNTIFS($B$5:$B$204,$B52,$C$5:$C$204,"Variation")=0,"",IF(COUNTIFS($B$5:$B$204,$B52,$C$5:$C$204,"Activity")+COUNTIFS($B$5:$B$204,$B52,$C$5:$C$204,"Variation")&lt;&gt;COUNTIFS($B$5:$B$204,$B52,$C$5:$C$204,"Activity",$J$5:$J$204,"&lt;&gt;",$J$5:$J$204,"&gt;=0",$J$5:$J$204,"&lt;=1")+COUNTIFS($B$5:$B$204,$B52,$C$5:$C$204,"Variation",$J$5:$J$204,"&lt;&gt;",$J$5:$J$204,"&gt;=0",$J$5:$J$204,"&lt;=1"),"",(SUMIFS($J$5:$J$204,$B$5:$B$204,$B52,$C$5:$C$204,"Activity")+SUMIFS($J$5:$J$204,$B$5:$B$204,$B52,$C$5:$C$204,"Variation"))/(COUNTIFS($B$5:$B$204,$B52,$C$5:$C$204,"Activity")+COUNTIFS($B$5:$B$204,$B52,$C$5:$C$204,"Variation")))),IF($C52="Milestone",IF(COUNTIFS($D$5:$D$204,$A52,$C$5:$C$204,"Activity")+COUNTIFS($D$5:$D$204,$A52,$C$5:$C$204,"Variation")=0,"",IF(COUNTIFS($D$5:$D$204,$A52,$C$5:$C$204,"Activity")+COUNTIFS($D$5:$D$204,$A52,$C$5:$C$204,"Variation")&lt;&gt;COUNTIFS($D$5:$D$204,$A52,$C$5:$C$204,"Activity",$J$5:$J$204,"&lt;&gt;",$J$5:$J$204,"&gt;=0",$J$5:$J$204,"&lt;=1")+COUNTIFS($D$5:$D$204,$A52,$C$5:$C$204,"Variation",$J$5:$J$204,"&lt;&gt;",$J$5:$J$204,"&gt;=0",$J$5:$J$204,"&lt;=1"),"",(SUMIFS($J$5:$J$204,$D$5:$D$204,$A52,$C$5:$C$204,"Activity")+SUMIFS($J$5:$J$204,$D$5:$D$204,$A52,$C$5:$C$204,"Variation"))/(COUNTIFS($D$5:$D$204,$A52,$C$5:$C$204,"Activity")+COUNTIFS($D$5:$D$204,$A52,$C$5:$C$204,"Variation")))),IF(OR($C52="Activity",$C52="Variation"),IF(AND(ISNUMBER($J52),$J52&gt;=0,$J52&lt;=1),$J52,""),""))))</x:f>
        <x:v>0.7</x:v>
      </x:c>
      <x:c r="M52" s="7" t="n">
        <x:f t="shared" ca="1" si="1">IF(OR($K52="",$L52=""),"",$L52-$K52)</x:f>
        <x:v>-0.30000000000000004</x:v>
      </x:c>
      <x:c r="N52" s="6" t="str">
        <x:f ca="1">IF(OR($B52="",$I52="",$L52=""),"",IF(AND($L52&lt;1,$I52&lt;TODAY()),"Late",IF(AND($H52&lt;&gt;"",$I52&gt;$H52),"Forecast Slip","On Plan")))</x:f>
        <x:v>Late</x:v>
      </x:c>
      <x:c r="O52" s="19"/>
      <x:c r="P52" s="6" t="str">
        <x:f t="shared" si="2">IF($B52="","",IF($A52="","Enter item ID",IF(COUNTIF($A$5:$A$204,$A52)&gt;1,"Duplicate item ID",IF($C52="Initiative",IF($D52&lt;&gt;"","Parent must be blank",IF(COUNTIFS($B$5:$B$204,$B52,$C$5:$C$204,"Initiative")&lt;&gt;1,"One Initiative row required",IF(COUNTIFS($D$5:$D$204,$A52,$C$5:$C$204,"Milestone")=0,"Add milestone","OK"))),IF($C52="Milestone",IF(COUNTIFS($A$5:$A$204,$D52,$B$5:$B$204,$B52,$C$5:$C$204,"Initiative")&lt;&gt;1,"Parent must be Initiative",IF(COUNTIFS($D$5:$D$204,$A52,$C$5:$C$204,"Activity")+COUNTIFS($D$5:$D$204,$A52,$C$5:$C$204,"Variation")=0,"Add activity or variation","OK")),IF(OR($C52="Activity",$C52="Variation"),IF(COUNTIFS($A$5:$A$204,$D52,$B$5:$B$204,$B52,$C$5:$C$204,"Milestone")&lt;&gt;1,"Parent must be Milestone",IF(OR($G52="",$H52=""),"Enter baseline dates",IF($H52&lt;$G52,"Baseline finish before start",IF($I52="","Enter forecast finish",IF(COUNT($J52)=0,"Enter actual %",IF(OR(NOT(ISNUMBER($J52)),$J52&lt;0,$J52&gt;1),"Actual % must be 0–100%","OK")))))),"Select level"))))))</x:f>
        <x:v>OK</x:v>
      </x:c>
    </x:row>
    <x:row r="53" ht="38.599998474121094">
      <x:c r="A53" s="66" t="str" cm="1">
        <x:f t="array" ref="A53">IF(OR(B53="",C53=""),"",IF(C53="Initiative",COUNTIF($C$5:C53,"Initiative"),IF(C53="Milestone",IF(D53="","",D53&amp;"."&amp;COUNTIFS($D$5:D53,D53,$C$5:C53,"Milestone")),IF(OR(C53="Activity",C53="Variation"),IF(D53="","",D53&amp;"."&amp;(COUNTIFS($D$5:D53,D53,$C$5:C53,"Activity")+COUNTIFS($D$5:D53,D53,$C$5:C53,"Variation"))),""))))</x:f>
        <x:v>10.1.2</x:v>
      </x:c>
      <x:c r="B53" s="19" t="s">
        <x:v>73</x:v>
      </x:c>
      <x:c r="C53" s="19" t="s">
        <x:v>99</x:v>
      </x:c>
      <x:c r="D53" s="20">
        <x:v>10.1</x:v>
      </x:c>
      <x:c r="E53" s="21" t="s">
        <x:v>132</x:v>
      </x:c>
      <x:c r="F53" s="21" t="s">
        <x:v>43</x:v>
      </x:c>
      <x:c r="G53" s="102">
        <x:v>46183</x:v>
      </x:c>
      <x:c r="H53" s="102">
        <x:v>46247</x:v>
      </x:c>
      <x:c r="I53" s="102">
        <x:v>46303</x:v>
      </x:c>
      <x:c r="J53" s="100">
        <x:v>0.3</x:v>
      </x:c>
      <x:c r="K53" s="7" t="n">
        <x:f ca="1">IF($B53="","",IF($C53="Initiative",IF(COUNTIFS($B$54:$B$204,$B53,$C$54:$C$204,"Activity")+COUNTIFS($B$54:$B$204,$B53,$C$54:$C$204,"Variation")=0,"",IF(COUNTIFS($B$54:$B$204,$B53,$C$54:$C$204,"Activity")+COUNTIFS($B$54:$B$204,$B53,$C$54:$C$204,"Variation")&lt;&gt;COUNTIFS($B$54:$B$204,$B53,$C$54:$C$204,"Activity",$G$54:$G$204,"&lt;&gt;",$H$54:$H$204,"&lt;&gt;")+COUNTIFS($B$54:$B$204,$B53,$C$54:$C$204,"Variation",$G$54:$G$204,"&lt;&gt;",$H$54:$H$204,"&lt;&gt;"),"",(SUMIFS($K$54:$K$204,$B$54:$B$204,$B53,$C$54:$C$204,"Activity")+SUMIFS($K$54:$K$204,$B$54:$B$204,$B53,$C$54:$C$204,"Variation"))/(COUNTIFS($B$54:$B$204,$B53,$C$54:$C$204,"Activity")+COUNTIFS($B$54:$B$204,$B53,$C$54:$C$204,"Variation")))),IF($C53="Milestone",IF(COUNTIFS($D$54:$D$204,$A53,$C$54:$C$204,"Activity")+COUNTIFS($D$54:$D$204,$A53,$C$54:$C$204,"Variation")=0,"",IF(COUNTIFS($D$54:$D$204,$A53,$C$54:$C$204,"Activity")+COUNTIFS($D$54:$D$204,$A53,$C$54:$C$204,"Variation")&lt;&gt;COUNTIFS($D$54:$D$204,$A53,$C$54:$C$204,"Activity",$G$54:$G$204,"&lt;&gt;",$H$54:$H$204,"&lt;&gt;")+COUNTIFS($D$54:$D$204,$A53,$C$54:$C$204,"Variation",$G$54:$G$204,"&lt;&gt;",$H$54:$H$204,"&lt;&gt;"),"",(SUMIFS($K$54:$K$204,$D$54:$D$204,$A53,$C$54:$C$204,"Activity")+SUMIFS($K$54:$K$204,$D$54:$D$204,$A53,$C$54:$C$204,"Variation"))/(COUNTIFS($D$54:$D$204,$A53,$C$54:$C$204,"Activity")+COUNTIFS($D$54:$D$204,$A53,$C$54:$C$204,"Variation")))),IF(OR($C53="Activity",$C53="Variation"),IF(OR($G53="",$H53=""),"",IF($H53&lt;$G53,"",IF($H53=$G53,--(TODAY()&gt;=$H53),MAX(0,MIN(1,(TODAY()-$G53)/($H53-$G53)))))),""))))</x:f>
        <x:v>1</x:v>
      </x:c>
      <x:c r="L53" s="7" t="n">
        <x:f t="shared" si="0">IF($B53="","",IF($C53="Initiative",IF(COUNTIFS($B$5:$B$204,$B53,$C$5:$C$204,"Activity")+COUNTIFS($B$5:$B$204,$B53,$C$5:$C$204,"Variation")=0,"",IF(COUNTIFS($B$5:$B$204,$B53,$C$5:$C$204,"Activity")+COUNTIFS($B$5:$B$204,$B53,$C$5:$C$204,"Variation")&lt;&gt;COUNTIFS($B$5:$B$204,$B53,$C$5:$C$204,"Activity",$J$5:$J$204,"&lt;&gt;",$J$5:$J$204,"&gt;=0",$J$5:$J$204,"&lt;=1")+COUNTIFS($B$5:$B$204,$B53,$C$5:$C$204,"Variation",$J$5:$J$204,"&lt;&gt;",$J$5:$J$204,"&gt;=0",$J$5:$J$204,"&lt;=1"),"",(SUMIFS($J$5:$J$204,$B$5:$B$204,$B53,$C$5:$C$204,"Activity")+SUMIFS($J$5:$J$204,$B$5:$B$204,$B53,$C$5:$C$204,"Variation"))/(COUNTIFS($B$5:$B$204,$B53,$C$5:$C$204,"Activity")+COUNTIFS($B$5:$B$204,$B53,$C$5:$C$204,"Variation")))),IF($C53="Milestone",IF(COUNTIFS($D$5:$D$204,$A53,$C$5:$C$204,"Activity")+COUNTIFS($D$5:$D$204,$A53,$C$5:$C$204,"Variation")=0,"",IF(COUNTIFS($D$5:$D$204,$A53,$C$5:$C$204,"Activity")+COUNTIFS($D$5:$D$204,$A53,$C$5:$C$204,"Variation")&lt;&gt;COUNTIFS($D$5:$D$204,$A53,$C$5:$C$204,"Activity",$J$5:$J$204,"&lt;&gt;",$J$5:$J$204,"&gt;=0",$J$5:$J$204,"&lt;=1")+COUNTIFS($D$5:$D$204,$A53,$C$5:$C$204,"Variation",$J$5:$J$204,"&lt;&gt;",$J$5:$J$204,"&gt;=0",$J$5:$J$204,"&lt;=1"),"",(SUMIFS($J$5:$J$204,$D$5:$D$204,$A53,$C$5:$C$204,"Activity")+SUMIFS($J$5:$J$204,$D$5:$D$204,$A53,$C$5:$C$204,"Variation"))/(COUNTIFS($D$5:$D$204,$A53,$C$5:$C$204,"Activity")+COUNTIFS($D$5:$D$204,$A53,$C$5:$C$204,"Variation")))),IF(OR($C53="Activity",$C53="Variation"),IF(AND(ISNUMBER($J53),$J53&gt;=0,$J53&lt;=1),$J53,""),""))))</x:f>
        <x:v>0.3</x:v>
      </x:c>
      <x:c r="M53" s="7" t="n">
        <x:f t="shared" ca="1" si="1">IF(OR($K53="",$L53=""),"",$L53-$K53)</x:f>
        <x:v>-0.7</x:v>
      </x:c>
      <x:c r="N53" s="6" t="str">
        <x:f ca="1">IF(OR($B53="",$I53="",$L53=""),"",IF(AND($L53&lt;1,$I53&lt;TODAY()),"Late",IF(AND($H53&lt;&gt;"",$I53&gt;$H53),"Forecast Slip","On Plan")))</x:f>
        <x:v>Forecast Slip</x:v>
      </x:c>
      <x:c r="O53" s="19" t="s">
        <x:v>130</x:v>
      </x:c>
      <x:c r="P53" s="6" t="str">
        <x:f t="shared" si="2">IF($B53="","",IF($A53="","Enter item ID",IF(COUNTIF($A$5:$A$204,$A53)&gt;1,"Duplicate item ID",IF($C53="Initiative",IF($D53&lt;&gt;"","Parent must be blank",IF(COUNTIFS($B$5:$B$204,$B53,$C$5:$C$204,"Initiative")&lt;&gt;1,"One Initiative row required",IF(COUNTIFS($D$5:$D$204,$A53,$C$5:$C$204,"Milestone")=0,"Add milestone","OK"))),IF($C53="Milestone",IF(COUNTIFS($A$5:$A$204,$D53,$B$5:$B$204,$B53,$C$5:$C$204,"Initiative")&lt;&gt;1,"Parent must be Initiative",IF(COUNTIFS($D$5:$D$204,$A53,$C$5:$C$204,"Activity")+COUNTIFS($D$5:$D$204,$A53,$C$5:$C$204,"Variation")=0,"Add activity or variation","OK")),IF(OR($C53="Activity",$C53="Variation"),IF(COUNTIFS($A$5:$A$204,$D53,$B$5:$B$204,$B53,$C$5:$C$204,"Milestone")&lt;&gt;1,"Parent must be Milestone",IF(OR($G53="",$H53=""),"Enter baseline dates",IF($H53&lt;$G53,"Baseline finish before start",IF($I53="","Enter forecast finish",IF(COUNT($J53)=0,"Enter actual %",IF(OR(NOT(ISNUMBER($J53)),$J53&lt;0,$J53&gt;1),"Actual % must be 0–100%","OK")))))),"Select level"))))))</x:f>
        <x:v>OK</x:v>
      </x:c>
    </x:row>
    <x:row r="54" ht="38.599998474121094">
      <x:c r="A54" s="66" t="str" cm="1">
        <x:f t="array" ref="A54">IF(OR(B54="",C54=""),"",IF(C54="Initiative",COUNTIF($C$5:C54,"Initiative"),IF(C54="Milestone",IF(D54="","",D54&amp;"."&amp;COUNTIFS($D$5:D54,D54,$C$5:C54,"Milestone")),IF(OR(C54="Activity",C54="Variation"),IF(D54="","",D54&amp;"."&amp;(COUNTIFS($D$5:D54,D54,$C$5:C54,"Activity")+COUNTIFS($D$5:D54,D54,$C$5:C54,"Variation"))),""))))</x:f>
        <x:v>10.1.3</x:v>
      </x:c>
      <x:c r="B54" s="19" t="s">
        <x:v>73</x:v>
      </x:c>
      <x:c r="C54" s="19" t="s">
        <x:v>99</x:v>
      </x:c>
      <x:c r="D54" s="20">
        <x:v>10.1</x:v>
      </x:c>
      <x:c r="E54" s="21" t="s">
        <x:v>133</x:v>
      </x:c>
      <x:c r="F54" s="21" t="s">
        <x:v>43</x:v>
      </x:c>
      <x:c r="G54" s="102">
        <x:v>46248</x:v>
      </x:c>
      <x:c r="H54" s="102">
        <x:v>46311</x:v>
      </x:c>
      <x:c r="I54" s="102">
        <x:v>46367</x:v>
      </x:c>
      <x:c r="J54" s="100">
        <x:v>0.1</x:v>
      </x:c>
      <x:c r="K54" s="7" t="n">
        <x:f ca="1">IF($B54="","",IF($C54="Initiative",IF(COUNTIFS($B$55:$B$204,$B54,$C$55:$C$204,"Activity")+COUNTIFS($B$55:$B$204,$B54,$C$55:$C$204,"Variation")=0,"",IF(COUNTIFS($B$55:$B$204,$B54,$C$55:$C$204,"Activity")+COUNTIFS($B$55:$B$204,$B54,$C$55:$C$204,"Variation")&lt;&gt;COUNTIFS($B$55:$B$204,$B54,$C$55:$C$204,"Activity",$G$55:$G$204,"&lt;&gt;",$H$55:$H$204,"&lt;&gt;")+COUNTIFS($B$55:$B$204,$B54,$C$55:$C$204,"Variation",$G$55:$G$204,"&lt;&gt;",$H$55:$H$204,"&lt;&gt;"),"",(SUMIFS($K$55:$K$204,$B$55:$B$204,$B54,$C$55:$C$204,"Activity")+SUMIFS($K$55:$K$204,$B$55:$B$204,$B54,$C$55:$C$204,"Variation"))/(COUNTIFS($B$55:$B$204,$B54,$C$55:$C$204,"Activity")+COUNTIFS($B$55:$B$204,$B54,$C$55:$C$204,"Variation")))),IF($C54="Milestone",IF(COUNTIFS($D$55:$D$204,$A54,$C$55:$C$204,"Activity")+COUNTIFS($D$55:$D$204,$A54,$C$55:$C$204,"Variation")=0,"",IF(COUNTIFS($D$55:$D$204,$A54,$C$55:$C$204,"Activity")+COUNTIFS($D$55:$D$204,$A54,$C$55:$C$204,"Variation")&lt;&gt;COUNTIFS($D$55:$D$204,$A54,$C$55:$C$204,"Activity",$G$55:$G$204,"&lt;&gt;",$H$55:$H$204,"&lt;&gt;")+COUNTIFS($D$55:$D$204,$A54,$C$55:$C$204,"Variation",$G$55:$G$204,"&lt;&gt;",$H$55:$H$204,"&lt;&gt;"),"",(SUMIFS($K$55:$K$204,$D$55:$D$204,$A54,$C$55:$C$204,"Activity")+SUMIFS($K$55:$K$204,$D$55:$D$204,$A54,$C$55:$C$204,"Variation"))/(COUNTIFS($D$55:$D$204,$A54,$C$55:$C$204,"Activity")+COUNTIFS($D$55:$D$204,$A54,$C$55:$C$204,"Variation")))),IF(OR($C54="Activity",$C54="Variation"),IF(OR($G54="",$H54=""),"",IF($H54&lt;$G54,"",IF($H54=$G54,--(TODAY()&gt;=$H54),MAX(0,MIN(1,(TODAY()-$G54)/($H54-$G54)))))),""))))</x:f>
        <x:v>0.49206349206349204</x:v>
      </x:c>
      <x:c r="L54" s="7" t="n">
        <x:f t="shared" si="0">IF($B54="","",IF($C54="Initiative",IF(COUNTIFS($B$5:$B$204,$B54,$C$5:$C$204,"Activity")+COUNTIFS($B$5:$B$204,$B54,$C$5:$C$204,"Variation")=0,"",IF(COUNTIFS($B$5:$B$204,$B54,$C$5:$C$204,"Activity")+COUNTIFS($B$5:$B$204,$B54,$C$5:$C$204,"Variation")&lt;&gt;COUNTIFS($B$5:$B$204,$B54,$C$5:$C$204,"Activity",$J$5:$J$204,"&lt;&gt;",$J$5:$J$204,"&gt;=0",$J$5:$J$204,"&lt;=1")+COUNTIFS($B$5:$B$204,$B54,$C$5:$C$204,"Variation",$J$5:$J$204,"&lt;&gt;",$J$5:$J$204,"&gt;=0",$J$5:$J$204,"&lt;=1"),"",(SUMIFS($J$5:$J$204,$B$5:$B$204,$B54,$C$5:$C$204,"Activity")+SUMIFS($J$5:$J$204,$B$5:$B$204,$B54,$C$5:$C$204,"Variation"))/(COUNTIFS($B$5:$B$204,$B54,$C$5:$C$204,"Activity")+COUNTIFS($B$5:$B$204,$B54,$C$5:$C$204,"Variation")))),IF($C54="Milestone",IF(COUNTIFS($D$5:$D$204,$A54,$C$5:$C$204,"Activity")+COUNTIFS($D$5:$D$204,$A54,$C$5:$C$204,"Variation")=0,"",IF(COUNTIFS($D$5:$D$204,$A54,$C$5:$C$204,"Activity")+COUNTIFS($D$5:$D$204,$A54,$C$5:$C$204,"Variation")&lt;&gt;COUNTIFS($D$5:$D$204,$A54,$C$5:$C$204,"Activity",$J$5:$J$204,"&lt;&gt;",$J$5:$J$204,"&gt;=0",$J$5:$J$204,"&lt;=1")+COUNTIFS($D$5:$D$204,$A54,$C$5:$C$204,"Variation",$J$5:$J$204,"&lt;&gt;",$J$5:$J$204,"&gt;=0",$J$5:$J$204,"&lt;=1"),"",(SUMIFS($J$5:$J$204,$D$5:$D$204,$A54,$C$5:$C$204,"Activity")+SUMIFS($J$5:$J$204,$D$5:$D$204,$A54,$C$5:$C$204,"Variation"))/(COUNTIFS($D$5:$D$204,$A54,$C$5:$C$204,"Activity")+COUNTIFS($D$5:$D$204,$A54,$C$5:$C$204,"Variation")))),IF(OR($C54="Activity",$C54="Variation"),IF(AND(ISNUMBER($J54),$J54&gt;=0,$J54&lt;=1),$J54,""),""))))</x:f>
        <x:v>0.1</x:v>
      </x:c>
      <x:c r="M54" s="7" t="n">
        <x:f t="shared" ca="1" si="1">IF(OR($K54="",$L54=""),"",$L54-$K54)</x:f>
        <x:v>-0.392063492063492</x:v>
      </x:c>
      <x:c r="N54" s="6" t="str">
        <x:f ca="1">IF(OR($B54="",$I54="",$L54=""),"",IF(AND($L54&lt;1,$I54&lt;TODAY()),"Late",IF(AND($H54&lt;&gt;"",$I54&gt;$H54),"Forecast Slip","On Plan")))</x:f>
        <x:v>Forecast Slip</x:v>
      </x:c>
      <x:c r="O54" s="19" t="s">
        <x:v>130</x:v>
      </x:c>
      <x:c r="P54" s="6" t="str">
        <x:f t="shared" si="2">IF($B54="","",IF($A54="","Enter item ID",IF(COUNTIF($A$5:$A$204,$A54)&gt;1,"Duplicate item ID",IF($C54="Initiative",IF($D54&lt;&gt;"","Parent must be blank",IF(COUNTIFS($B$5:$B$204,$B54,$C$5:$C$204,"Initiative")&lt;&gt;1,"One Initiative row required",IF(COUNTIFS($D$5:$D$204,$A54,$C$5:$C$204,"Milestone")=0,"Add milestone","OK"))),IF($C54="Milestone",IF(COUNTIFS($A$5:$A$204,$D54,$B$5:$B$204,$B54,$C$5:$C$204,"Initiative")&lt;&gt;1,"Parent must be Initiative",IF(COUNTIFS($D$5:$D$204,$A54,$C$5:$C$204,"Activity")+COUNTIFS($D$5:$D$204,$A54,$C$5:$C$204,"Variation")=0,"Add activity or variation","OK")),IF(OR($C54="Activity",$C54="Variation"),IF(COUNTIFS($A$5:$A$204,$D54,$B$5:$B$204,$B54,$C$5:$C$204,"Milestone")&lt;&gt;1,"Parent must be Milestone",IF(OR($G54="",$H54=""),"Enter baseline dates",IF($H54&lt;$G54,"Baseline finish before start",IF($I54="","Enter forecast finish",IF(COUNT($J54)=0,"Enter actual %",IF(OR(NOT(ISNUMBER($J54)),$J54&lt;0,$J54&gt;1),"Actual % must be 0–100%","OK")))))),"Select level"))))))</x:f>
        <x:v>OK</x:v>
      </x:c>
    </x:row>
    <x:row r="55" ht="25.75">
      <x:c r="A55" s="66" t="n" cm="1">
        <x:f t="array" ref="A55">IF(OR(B55="",C55=""),"",IF(C55="Initiative",COUNTIF($C$5:C55,"Initiative"),IF(C55="Milestone",IF(D55="","",D55&amp;"."&amp;COUNTIFS($D$5:D55,D55,$C$5:C55,"Milestone")),IF(OR(C55="Activity",C55="Variation"),IF(D55="","",D55&amp;"."&amp;(COUNTIFS($D$5:D55,D55,$C$5:C55,"Activity")+COUNTIFS($D$5:D55,D55,$C$5:C55,"Variation"))),""))))</x:f>
        <x:v>11</x:v>
      </x:c>
      <x:c r="B55" s="19" t="s">
        <x:v>77</x:v>
      </x:c>
      <x:c r="C55" s="19" t="s">
        <x:v>7</x:v>
      </x:c>
      <x:c r="D55" s="20"/>
      <x:c r="E55" s="21" t="s">
        <x:v>78</x:v>
      </x:c>
      <x:c r="F55" s="21" t="s">
        <x:v>50</x:v>
      </x:c>
      <x:c r="G55" s="102">
        <x:v>46174</x:v>
      </x:c>
      <x:c r="H55" s="102">
        <x:v>46416</x:v>
      </x:c>
      <x:c r="I55" s="102">
        <x:v>46416</x:v>
      </x:c>
      <x:c r="J55" s="100"/>
      <x:c r="K55" s="7" t="n">
        <x:f ca="1">IF($B55="","",IF($C55="Initiative",IF(COUNTIFS($B$56:$B$204,$B55,$C$56:$C$204,"Activity")+COUNTIFS($B$56:$B$204,$B55,$C$56:$C$204,"Variation")=0,"",IF(COUNTIFS($B$56:$B$204,$B55,$C$56:$C$204,"Activity")+COUNTIFS($B$56:$B$204,$B55,$C$56:$C$204,"Variation")&lt;&gt;COUNTIFS($B$56:$B$204,$B55,$C$56:$C$204,"Activity",$G$56:$G$204,"&lt;&gt;",$H$56:$H$204,"&lt;&gt;")+COUNTIFS($B$56:$B$204,$B55,$C$56:$C$204,"Variation",$G$56:$G$204,"&lt;&gt;",$H$56:$H$204,"&lt;&gt;"),"",(SUMIFS($K$56:$K$204,$B$56:$B$204,$B55,$C$56:$C$204,"Activity")+SUMIFS($K$56:$K$204,$B$56:$B$204,$B55,$C$56:$C$204,"Variation"))/(COUNTIFS($B$56:$B$204,$B55,$C$56:$C$204,"Activity")+COUNTIFS($B$56:$B$204,$B55,$C$56:$C$204,"Variation")))),IF($C55="Milestone",IF(COUNTIFS($D$56:$D$204,$A55,$C$56:$C$204,"Activity")+COUNTIFS($D$56:$D$204,$A55,$C$56:$C$204,"Variation")=0,"",IF(COUNTIFS($D$56:$D$204,$A55,$C$56:$C$204,"Activity")+COUNTIFS($D$56:$D$204,$A55,$C$56:$C$204,"Variation")&lt;&gt;COUNTIFS($D$56:$D$204,$A55,$C$56:$C$204,"Activity",$G$56:$G$204,"&lt;&gt;",$H$56:$H$204,"&lt;&gt;")+COUNTIFS($D$56:$D$204,$A55,$C$56:$C$204,"Variation",$G$56:$G$204,"&lt;&gt;",$H$56:$H$204,"&lt;&gt;"),"",(SUMIFS($K$56:$K$204,$D$56:$D$204,$A55,$C$56:$C$204,"Activity")+SUMIFS($K$56:$K$204,$D$56:$D$204,$A55,$C$56:$C$204,"Variation"))/(COUNTIFS($D$56:$D$204,$A55,$C$56:$C$204,"Activity")+COUNTIFS($D$56:$D$204,$A55,$C$56:$C$204,"Variation")))),IF(OR($C55="Activity",$C55="Variation"),IF(OR($G55="",$H55=""),"",IF($H55&lt;$G55,"",IF($H55=$G55,--(TODAY()&gt;=$H55),MAX(0,MIN(1,(TODAY()-$G55)/($H55-$G55)))))),""))))</x:f>
        <x:v>0.43209876543209874</x:v>
      </x:c>
      <x:c r="L55" s="7" t="n">
        <x:f t="shared" si="0">IF($B55="","",IF($C55="Initiative",IF(COUNTIFS($B$5:$B$204,$B55,$C$5:$C$204,"Activity")+COUNTIFS($B$5:$B$204,$B55,$C$5:$C$204,"Variation")=0,"",IF(COUNTIFS($B$5:$B$204,$B55,$C$5:$C$204,"Activity")+COUNTIFS($B$5:$B$204,$B55,$C$5:$C$204,"Variation")&lt;&gt;COUNTIFS($B$5:$B$204,$B55,$C$5:$C$204,"Activity",$J$5:$J$204,"&lt;&gt;",$J$5:$J$204,"&gt;=0",$J$5:$J$204,"&lt;=1")+COUNTIFS($B$5:$B$204,$B55,$C$5:$C$204,"Variation",$J$5:$J$204,"&lt;&gt;",$J$5:$J$204,"&gt;=0",$J$5:$J$204,"&lt;=1"),"",(SUMIFS($J$5:$J$204,$B$5:$B$204,$B55,$C$5:$C$204,"Activity")+SUMIFS($J$5:$J$204,$B$5:$B$204,$B55,$C$5:$C$204,"Variation"))/(COUNTIFS($B$5:$B$204,$B55,$C$5:$C$204,"Activity")+COUNTIFS($B$5:$B$204,$B55,$C$5:$C$204,"Variation")))),IF($C55="Milestone",IF(COUNTIFS($D$5:$D$204,$A55,$C$5:$C$204,"Activity")+COUNTIFS($D$5:$D$204,$A55,$C$5:$C$204,"Variation")=0,"",IF(COUNTIFS($D$5:$D$204,$A55,$C$5:$C$204,"Activity")+COUNTIFS($D$5:$D$204,$A55,$C$5:$C$204,"Variation")&lt;&gt;COUNTIFS($D$5:$D$204,$A55,$C$5:$C$204,"Activity",$J$5:$J$204,"&lt;&gt;",$J$5:$J$204,"&gt;=0",$J$5:$J$204,"&lt;=1")+COUNTIFS($D$5:$D$204,$A55,$C$5:$C$204,"Variation",$J$5:$J$204,"&lt;&gt;",$J$5:$J$204,"&gt;=0",$J$5:$J$204,"&lt;=1"),"",(SUMIFS($J$5:$J$204,$D$5:$D$204,$A55,$C$5:$C$204,"Activity")+SUMIFS($J$5:$J$204,$D$5:$D$204,$A55,$C$5:$C$204,"Variation"))/(COUNTIFS($D$5:$D$204,$A55,$C$5:$C$204,"Activity")+COUNTIFS($D$5:$D$204,$A55,$C$5:$C$204,"Variation")))),IF(OR($C55="Activity",$C55="Variation"),IF(AND(ISNUMBER($J55),$J55&gt;=0,$J55&lt;=1),$J55,""),""))))</x:f>
        <x:v>0.45</x:v>
      </x:c>
      <x:c r="M55" s="7" t="n">
        <x:f t="shared" ca="1" si="1">IF(OR($K55="",$L55=""),"",$L55-$K55)</x:f>
        <x:v>0.01790123456790127</x:v>
      </x:c>
      <x:c r="N55" s="6" t="str">
        <x:f ca="1">IF(OR($B55="",$I55="",$L55=""),"",IF(AND($L55&lt;1,$I55&lt;TODAY()),"Late",IF(AND($H55&lt;&gt;"",$I55&gt;$H55),"Forecast Slip","On Plan")))</x:f>
        <x:v>On Plan</x:v>
      </x:c>
      <x:c r="O55" s="19"/>
      <x:c r="P55" s="6" t="str">
        <x:f t="shared" si="2">IF($B55="","",IF($A55="","Enter item ID",IF(COUNTIF($A$5:$A$204,$A55)&gt;1,"Duplicate item ID",IF($C55="Initiative",IF($D55&lt;&gt;"","Parent must be blank",IF(COUNTIFS($B$5:$B$204,$B55,$C$5:$C$204,"Initiative")&lt;&gt;1,"One Initiative row required",IF(COUNTIFS($D$5:$D$204,$A55,$C$5:$C$204,"Milestone")=0,"Add milestone","OK"))),IF($C55="Milestone",IF(COUNTIFS($A$5:$A$204,$D55,$B$5:$B$204,$B55,$C$5:$C$204,"Initiative")&lt;&gt;1,"Parent must be Initiative",IF(COUNTIFS($D$5:$D$204,$A55,$C$5:$C$204,"Activity")+COUNTIFS($D$5:$D$204,$A55,$C$5:$C$204,"Variation")=0,"Add activity or variation","OK")),IF(OR($C55="Activity",$C55="Variation"),IF(COUNTIFS($A$5:$A$204,$D55,$B$5:$B$204,$B55,$C$5:$C$204,"Milestone")&lt;&gt;1,"Parent must be Milestone",IF(OR($G55="",$H55=""),"Enter baseline dates",IF($H55&lt;$G55,"Baseline finish before start",IF($I55="","Enter forecast finish",IF(COUNT($J55)=0,"Enter actual %",IF(OR(NOT(ISNUMBER($J55)),$J55&lt;0,$J55&gt;1),"Actual % must be 0–100%","OK")))))),"Select level"))))))</x:f>
        <x:v>OK</x:v>
      </x:c>
    </x:row>
    <x:row r="56" ht="25.75">
      <x:c r="A56" s="66" t="str" cm="1">
        <x:f t="array" ref="A56">IF(OR(B56="",C56=""),"",IF(C56="Initiative",COUNTIF($C$5:C56,"Initiative"),IF(C56="Milestone",IF(D56="","",D56&amp;"."&amp;COUNTIFS($D$5:D56,D56,$C$5:C56,"Milestone")),IF(OR(C56="Activity",C56="Variation"),IF(D56="","",D56&amp;"."&amp;(COUNTIFS($D$5:D56,D56,$C$5:C56,"Activity")+COUNTIFS($D$5:D56,D56,$C$5:C56,"Variation"))),""))))</x:f>
        <x:v>11.1</x:v>
      </x:c>
      <x:c r="B56" s="19" t="s">
        <x:v>77</x:v>
      </x:c>
      <x:c r="C56" s="19" t="s">
        <x:v>97</x:v>
      </x:c>
      <x:c r="D56" s="20">
        <x:v>11</x:v>
      </x:c>
      <x:c r="E56" s="21" t="s">
        <x:v>98</x:v>
      </x:c>
      <x:c r="F56" s="21" t="s">
        <x:v>50</x:v>
      </x:c>
      <x:c r="G56" s="102">
        <x:v>46174</x:v>
      </x:c>
      <x:c r="H56" s="102">
        <x:v>46416</x:v>
      </x:c>
      <x:c r="I56" s="102">
        <x:v>46416</x:v>
      </x:c>
      <x:c r="J56" s="100"/>
      <x:c r="K56" s="7" t="n">
        <x:f ca="1">IF($B56="","",IF($C56="Initiative",IF(COUNTIFS($B$57:$B$204,$B56,$C$57:$C$204,"Activity")+COUNTIFS($B$57:$B$204,$B56,$C$57:$C$204,"Variation")=0,"",IF(COUNTIFS($B$57:$B$204,$B56,$C$57:$C$204,"Activity")+COUNTIFS($B$57:$B$204,$B56,$C$57:$C$204,"Variation")&lt;&gt;COUNTIFS($B$57:$B$204,$B56,$C$57:$C$204,"Activity",$G$57:$G$204,"&lt;&gt;",$H$57:$H$204,"&lt;&gt;")+COUNTIFS($B$57:$B$204,$B56,$C$57:$C$204,"Variation",$G$57:$G$204,"&lt;&gt;",$H$57:$H$204,"&lt;&gt;"),"",(SUMIFS($K$57:$K$204,$B$57:$B$204,$B56,$C$57:$C$204,"Activity")+SUMIFS($K$57:$K$204,$B$57:$B$204,$B56,$C$57:$C$204,"Variation"))/(COUNTIFS($B$57:$B$204,$B56,$C$57:$C$204,"Activity")+COUNTIFS($B$57:$B$204,$B56,$C$57:$C$204,"Variation")))),IF($C56="Milestone",IF(COUNTIFS($D$57:$D$204,$A56,$C$57:$C$204,"Activity")+COUNTIFS($D$57:$D$204,$A56,$C$57:$C$204,"Variation")=0,"",IF(COUNTIFS($D$57:$D$204,$A56,$C$57:$C$204,"Activity")+COUNTIFS($D$57:$D$204,$A56,$C$57:$C$204,"Variation")&lt;&gt;COUNTIFS($D$57:$D$204,$A56,$C$57:$C$204,"Activity",$G$57:$G$204,"&lt;&gt;",$H$57:$H$204,"&lt;&gt;")+COUNTIFS($D$57:$D$204,$A56,$C$57:$C$204,"Variation",$G$57:$G$204,"&lt;&gt;",$H$57:$H$204,"&lt;&gt;"),"",(SUMIFS($K$57:$K$204,$D$57:$D$204,$A56,$C$57:$C$204,"Activity")+SUMIFS($K$57:$K$204,$D$57:$D$204,$A56,$C$57:$C$204,"Variation"))/(COUNTIFS($D$57:$D$204,$A56,$C$57:$C$204,"Activity")+COUNTIFS($D$57:$D$204,$A56,$C$57:$C$204,"Variation")))),IF(OR($C56="Activity",$C56="Variation"),IF(OR($G56="",$H56=""),"",IF($H56&lt;$G56,"",IF($H56=$G56,--(TODAY()&gt;=$H56),MAX(0,MIN(1,(TODAY()-$G56)/($H56-$G56)))))),""))))</x:f>
        <x:v>0.43209876543209874</x:v>
      </x:c>
      <x:c r="L56" s="7" t="n">
        <x:f t="shared" si="0">IF($B56="","",IF($C56="Initiative",IF(COUNTIFS($B$5:$B$204,$B56,$C$5:$C$204,"Activity")+COUNTIFS($B$5:$B$204,$B56,$C$5:$C$204,"Variation")=0,"",IF(COUNTIFS($B$5:$B$204,$B56,$C$5:$C$204,"Activity")+COUNTIFS($B$5:$B$204,$B56,$C$5:$C$204,"Variation")&lt;&gt;COUNTIFS($B$5:$B$204,$B56,$C$5:$C$204,"Activity",$J$5:$J$204,"&lt;&gt;",$J$5:$J$204,"&gt;=0",$J$5:$J$204,"&lt;=1")+COUNTIFS($B$5:$B$204,$B56,$C$5:$C$204,"Variation",$J$5:$J$204,"&lt;&gt;",$J$5:$J$204,"&gt;=0",$J$5:$J$204,"&lt;=1"),"",(SUMIFS($J$5:$J$204,$B$5:$B$204,$B56,$C$5:$C$204,"Activity")+SUMIFS($J$5:$J$204,$B$5:$B$204,$B56,$C$5:$C$204,"Variation"))/(COUNTIFS($B$5:$B$204,$B56,$C$5:$C$204,"Activity")+COUNTIFS($B$5:$B$204,$B56,$C$5:$C$204,"Variation")))),IF($C56="Milestone",IF(COUNTIFS($D$5:$D$204,$A56,$C$5:$C$204,"Activity")+COUNTIFS($D$5:$D$204,$A56,$C$5:$C$204,"Variation")=0,"",IF(COUNTIFS($D$5:$D$204,$A56,$C$5:$C$204,"Activity")+COUNTIFS($D$5:$D$204,$A56,$C$5:$C$204,"Variation")&lt;&gt;COUNTIFS($D$5:$D$204,$A56,$C$5:$C$204,"Activity",$J$5:$J$204,"&lt;&gt;",$J$5:$J$204,"&gt;=0",$J$5:$J$204,"&lt;=1")+COUNTIFS($D$5:$D$204,$A56,$C$5:$C$204,"Variation",$J$5:$J$204,"&lt;&gt;",$J$5:$J$204,"&gt;=0",$J$5:$J$204,"&lt;=1"),"",(SUMIFS($J$5:$J$204,$D$5:$D$204,$A56,$C$5:$C$204,"Activity")+SUMIFS($J$5:$J$204,$D$5:$D$204,$A56,$C$5:$C$204,"Variation"))/(COUNTIFS($D$5:$D$204,$A56,$C$5:$C$204,"Activity")+COUNTIFS($D$5:$D$204,$A56,$C$5:$C$204,"Variation")))),IF(OR($C56="Activity",$C56="Variation"),IF(AND(ISNUMBER($J56),$J56&gt;=0,$J56&lt;=1),$J56,""),""))))</x:f>
        <x:v>0.45</x:v>
      </x:c>
      <x:c r="M56" s="7" t="n">
        <x:f t="shared" ca="1" si="1">IF(OR($K56="",$L56=""),"",$L56-$K56)</x:f>
        <x:v>0.01790123456790127</x:v>
      </x:c>
      <x:c r="N56" s="6" t="str">
        <x:f ca="1">IF(OR($B56="",$I56="",$L56=""),"",IF(AND($L56&lt;1,$I56&lt;TODAY()),"Late",IF(AND($H56&lt;&gt;"",$I56&gt;$H56),"Forecast Slip","On Plan")))</x:f>
        <x:v>On Plan</x:v>
      </x:c>
      <x:c r="O56" s="19"/>
      <x:c r="P56" s="6" t="str">
        <x:f t="shared" si="2">IF($B56="","",IF($A56="","Enter item ID",IF(COUNTIF($A$5:$A$204,$A56)&gt;1,"Duplicate item ID",IF($C56="Initiative",IF($D56&lt;&gt;"","Parent must be blank",IF(COUNTIFS($B$5:$B$204,$B56,$C$5:$C$204,"Initiative")&lt;&gt;1,"One Initiative row required",IF(COUNTIFS($D$5:$D$204,$A56,$C$5:$C$204,"Milestone")=0,"Add milestone","OK"))),IF($C56="Milestone",IF(COUNTIFS($A$5:$A$204,$D56,$B$5:$B$204,$B56,$C$5:$C$204,"Initiative")&lt;&gt;1,"Parent must be Initiative",IF(COUNTIFS($D$5:$D$204,$A56,$C$5:$C$204,"Activity")+COUNTIFS($D$5:$D$204,$A56,$C$5:$C$204,"Variation")=0,"Add activity or variation","OK")),IF(OR($C56="Activity",$C56="Variation"),IF(COUNTIFS($A$5:$A$204,$D56,$B$5:$B$204,$B56,$C$5:$C$204,"Milestone")&lt;&gt;1,"Parent must be Milestone",IF(OR($G56="",$H56=""),"Enter baseline dates",IF($H56&lt;$G56,"Baseline finish before start",IF($I56="","Enter forecast finish",IF(COUNT($J56)=0,"Enter actual %",IF(OR(NOT(ISNUMBER($J56)),$J56&lt;0,$J56&gt;1),"Actual % must be 0–100%","OK")))))),"Select level"))))))</x:f>
        <x:v>OK</x:v>
      </x:c>
    </x:row>
    <x:row r="57">
      <x:c r="A57" s="66" t="str" cm="1">
        <x:f t="array" ref="A57">IF(OR(B57="",C57=""),"",IF(C57="Initiative",COUNTIF($C$5:C57,"Initiative"),IF(C57="Milestone",IF(D57="","",D57&amp;"."&amp;COUNTIFS($D$5:D57,D57,$C$5:C57,"Milestone")),IF(OR(C57="Activity",C57="Variation"),IF(D57="","",D57&amp;"."&amp;(COUNTIFS($D$5:D57,D57,$C$5:C57,"Activity")+COUNTIFS($D$5:D57,D57,$C$5:C57,"Variation"))),""))))</x:f>
        <x:v>11.1.1</x:v>
      </x:c>
      <x:c r="B57" s="19" t="s">
        <x:v>77</x:v>
      </x:c>
      <x:c r="C57" s="19" t="s">
        <x:v>99</x:v>
      </x:c>
      <x:c r="D57" s="20">
        <x:v>11.1</x:v>
      </x:c>
      <x:c r="E57" s="21" t="s">
        <x:v>134</x:v>
      </x:c>
      <x:c r="F57" s="21" t="s">
        <x:v>50</x:v>
      </x:c>
      <x:c r="G57" s="102">
        <x:v>46174</x:v>
      </x:c>
      <x:c r="H57" s="102">
        <x:v>46254</x:v>
      </x:c>
      <x:c r="I57" s="102">
        <x:v>46254</x:v>
      </x:c>
      <x:c r="J57" s="100">
        <x:v>0.55000000000000004</x:v>
      </x:c>
      <x:c r="K57" s="7" t="n">
        <x:f ca="1">IF($B57="","",IF($C57="Initiative",IF(COUNTIFS($B$58:$B$204,$B57,$C$58:$C$204,"Activity")+COUNTIFS($B$58:$B$204,$B57,$C$58:$C$204,"Variation")=0,"",IF(COUNTIFS($B$58:$B$204,$B57,$C$58:$C$204,"Activity")+COUNTIFS($B$58:$B$204,$B57,$C$58:$C$204,"Variation")&lt;&gt;COUNTIFS($B$58:$B$204,$B57,$C$58:$C$204,"Activity",$G$58:$G$204,"&lt;&gt;",$H$58:$H$204,"&lt;&gt;")+COUNTIFS($B$58:$B$204,$B57,$C$58:$C$204,"Variation",$G$58:$G$204,"&lt;&gt;",$H$58:$H$204,"&lt;&gt;"),"",(SUMIFS($K$58:$K$204,$B$58:$B$204,$B57,$C$58:$C$204,"Activity")+SUMIFS($K$58:$K$204,$B$58:$B$204,$B57,$C$58:$C$204,"Variation"))/(COUNTIFS($B$58:$B$204,$B57,$C$58:$C$204,"Activity")+COUNTIFS($B$58:$B$204,$B57,$C$58:$C$204,"Variation")))),IF($C57="Milestone",IF(COUNTIFS($D$58:$D$204,$A57,$C$58:$C$204,"Activity")+COUNTIFS($D$58:$D$204,$A57,$C$58:$C$204,"Variation")=0,"",IF(COUNTIFS($D$58:$D$204,$A57,$C$58:$C$204,"Activity")+COUNTIFS($D$58:$D$204,$A57,$C$58:$C$204,"Variation")&lt;&gt;COUNTIFS($D$58:$D$204,$A57,$C$58:$C$204,"Activity",$G$58:$G$204,"&lt;&gt;",$H$58:$H$204,"&lt;&gt;")+COUNTIFS($D$58:$D$204,$A57,$C$58:$C$204,"Variation",$G$58:$G$204,"&lt;&gt;",$H$58:$H$204,"&lt;&gt;"),"",(SUMIFS($K$58:$K$204,$D$58:$D$204,$A57,$C$58:$C$204,"Activity")+SUMIFS($K$58:$K$204,$D$58:$D$204,$A57,$C$58:$C$204,"Variation"))/(COUNTIFS($D$58:$D$204,$A57,$C$58:$C$204,"Activity")+COUNTIFS($D$58:$D$204,$A57,$C$58:$C$204,"Variation")))),IF(OR($C57="Activity",$C57="Variation"),IF(OR($G57="",$H57=""),"",IF($H57&lt;$G57,"",IF($H57=$G57,--(TODAY()&gt;=$H57),MAX(0,MIN(1,(TODAY()-$G57)/($H57-$G57)))))),""))))</x:f>
        <x:v>1</x:v>
      </x:c>
      <x:c r="L57" s="7" t="n">
        <x:f t="shared" si="0">IF($B57="","",IF($C57="Initiative",IF(COUNTIFS($B$5:$B$204,$B57,$C$5:$C$204,"Activity")+COUNTIFS($B$5:$B$204,$B57,$C$5:$C$204,"Variation")=0,"",IF(COUNTIFS($B$5:$B$204,$B57,$C$5:$C$204,"Activity")+COUNTIFS($B$5:$B$204,$B57,$C$5:$C$204,"Variation")&lt;&gt;COUNTIFS($B$5:$B$204,$B57,$C$5:$C$204,"Activity",$J$5:$J$204,"&lt;&gt;",$J$5:$J$204,"&gt;=0",$J$5:$J$204,"&lt;=1")+COUNTIFS($B$5:$B$204,$B57,$C$5:$C$204,"Variation",$J$5:$J$204,"&lt;&gt;",$J$5:$J$204,"&gt;=0",$J$5:$J$204,"&lt;=1"),"",(SUMIFS($J$5:$J$204,$B$5:$B$204,$B57,$C$5:$C$204,"Activity")+SUMIFS($J$5:$J$204,$B$5:$B$204,$B57,$C$5:$C$204,"Variation"))/(COUNTIFS($B$5:$B$204,$B57,$C$5:$C$204,"Activity")+COUNTIFS($B$5:$B$204,$B57,$C$5:$C$204,"Variation")))),IF($C57="Milestone",IF(COUNTIFS($D$5:$D$204,$A57,$C$5:$C$204,"Activity")+COUNTIFS($D$5:$D$204,$A57,$C$5:$C$204,"Variation")=0,"",IF(COUNTIFS($D$5:$D$204,$A57,$C$5:$C$204,"Activity")+COUNTIFS($D$5:$D$204,$A57,$C$5:$C$204,"Variation")&lt;&gt;COUNTIFS($D$5:$D$204,$A57,$C$5:$C$204,"Activity",$J$5:$J$204,"&lt;&gt;",$J$5:$J$204,"&gt;=0",$J$5:$J$204,"&lt;=1")+COUNTIFS($D$5:$D$204,$A57,$C$5:$C$204,"Variation",$J$5:$J$204,"&lt;&gt;",$J$5:$J$204,"&gt;=0",$J$5:$J$204,"&lt;=1"),"",(SUMIFS($J$5:$J$204,$D$5:$D$204,$A57,$C$5:$C$204,"Activity")+SUMIFS($J$5:$J$204,$D$5:$D$204,$A57,$C$5:$C$204,"Variation"))/(COUNTIFS($D$5:$D$204,$A57,$C$5:$C$204,"Activity")+COUNTIFS($D$5:$D$204,$A57,$C$5:$C$204,"Variation")))),IF(OR($C57="Activity",$C57="Variation"),IF(AND(ISNUMBER($J57),$J57&gt;=0,$J57&lt;=1),$J57,""),""))))</x:f>
        <x:v>0.55</x:v>
      </x:c>
      <x:c r="M57" s="7" t="n">
        <x:f t="shared" ca="1" si="1">IF(OR($K57="",$L57=""),"",$L57-$K57)</x:f>
        <x:v>-0.44999999999999996</x:v>
      </x:c>
      <x:c r="N57" s="6" t="str">
        <x:f ca="1">IF(OR($B57="",$I57="",$L57=""),"",IF(AND($L57&lt;1,$I57&lt;TODAY()),"Late",IF(AND($H57&lt;&gt;"",$I57&gt;$H57),"Forecast Slip","On Plan")))</x:f>
        <x:v>Late</x:v>
      </x:c>
      <x:c r="O57" s="19"/>
      <x:c r="P57" s="6" t="str">
        <x:f t="shared" si="2">IF($B57="","",IF($A57="","Enter item ID",IF(COUNTIF($A$5:$A$204,$A57)&gt;1,"Duplicate item ID",IF($C57="Initiative",IF($D57&lt;&gt;"","Parent must be blank",IF(COUNTIFS($B$5:$B$204,$B57,$C$5:$C$204,"Initiative")&lt;&gt;1,"One Initiative row required",IF(COUNTIFS($D$5:$D$204,$A57,$C$5:$C$204,"Milestone")=0,"Add milestone","OK"))),IF($C57="Milestone",IF(COUNTIFS($A$5:$A$204,$D57,$B$5:$B$204,$B57,$C$5:$C$204,"Initiative")&lt;&gt;1,"Parent must be Initiative",IF(COUNTIFS($D$5:$D$204,$A57,$C$5:$C$204,"Activity")+COUNTIFS($D$5:$D$204,$A57,$C$5:$C$204,"Variation")=0,"Add activity or variation","OK")),IF(OR($C57="Activity",$C57="Variation"),IF(COUNTIFS($A$5:$A$204,$D57,$B$5:$B$204,$B57,$C$5:$C$204,"Milestone")&lt;&gt;1,"Parent must be Milestone",IF(OR($G57="",$H57=""),"Enter baseline dates",IF($H57&lt;$G57,"Baseline finish before start",IF($I57="","Enter forecast finish",IF(COUNT($J57)=0,"Enter actual %",IF(OR(NOT(ISNUMBER($J57)),$J57&lt;0,$J57&gt;1),"Actual % must be 0–100%","OK")))))),"Select level"))))))</x:f>
        <x:v>OK</x:v>
      </x:c>
    </x:row>
    <x:row r="58" ht="25.75">
      <x:c r="A58" s="66" t="str" cm="1">
        <x:f t="array" ref="A58">IF(OR(B58="",C58=""),"",IF(C58="Initiative",COUNTIF($C$5:C58,"Initiative"),IF(C58="Milestone",IF(D58="","",D58&amp;"."&amp;COUNTIFS($D$5:D58,D58,$C$5:C58,"Milestone")),IF(OR(C58="Activity",C58="Variation"),IF(D58="","",D58&amp;"."&amp;(COUNTIFS($D$5:D58,D58,$C$5:C58,"Activity")+COUNTIFS($D$5:D58,D58,$C$5:C58,"Variation"))),""))))</x:f>
        <x:v>11.1.2</x:v>
      </x:c>
      <x:c r="B58" s="19" t="s">
        <x:v>77</x:v>
      </x:c>
      <x:c r="C58" s="19" t="s">
        <x:v>99</x:v>
      </x:c>
      <x:c r="D58" s="20">
        <x:v>11.1</x:v>
      </x:c>
      <x:c r="E58" s="21" t="s">
        <x:v>135</x:v>
      </x:c>
      <x:c r="F58" s="21" t="s">
        <x:v>50</x:v>
      </x:c>
      <x:c r="G58" s="102">
        <x:v>46255</x:v>
      </x:c>
      <x:c r="H58" s="102">
        <x:v>46336</x:v>
      </x:c>
      <x:c r="I58" s="102">
        <x:v>46336</x:v>
      </x:c>
      <x:c r="J58" s="100">
        <x:v>0.45</x:v>
      </x:c>
      <x:c r="K58" s="7" t="n">
        <x:f ca="1">IF($B58="","",IF($C58="Initiative",IF(COUNTIFS($B$59:$B$204,$B58,$C$59:$C$204,"Activity")+COUNTIFS($B$59:$B$204,$B58,$C$59:$C$204,"Variation")=0,"",IF(COUNTIFS($B$59:$B$204,$B58,$C$59:$C$204,"Activity")+COUNTIFS($B$59:$B$204,$B58,$C$59:$C$204,"Variation")&lt;&gt;COUNTIFS($B$59:$B$204,$B58,$C$59:$C$204,"Activity",$G$59:$G$204,"&lt;&gt;",$H$59:$H$204,"&lt;&gt;")+COUNTIFS($B$59:$B$204,$B58,$C$59:$C$204,"Variation",$G$59:$G$204,"&lt;&gt;",$H$59:$H$204,"&lt;&gt;"),"",(SUMIFS($K$59:$K$204,$B$59:$B$204,$B58,$C$59:$C$204,"Activity")+SUMIFS($K$59:$K$204,$B$59:$B$204,$B58,$C$59:$C$204,"Variation"))/(COUNTIFS($B$59:$B$204,$B58,$C$59:$C$204,"Activity")+COUNTIFS($B$59:$B$204,$B58,$C$59:$C$204,"Variation")))),IF($C58="Milestone",IF(COUNTIFS($D$59:$D$204,$A58,$C$59:$C$204,"Activity")+COUNTIFS($D$59:$D$204,$A58,$C$59:$C$204,"Variation")=0,"",IF(COUNTIFS($D$59:$D$204,$A58,$C$59:$C$204,"Activity")+COUNTIFS($D$59:$D$204,$A58,$C$59:$C$204,"Variation")&lt;&gt;COUNTIFS($D$59:$D$204,$A58,$C$59:$C$204,"Activity",$G$59:$G$204,"&lt;&gt;",$H$59:$H$204,"&lt;&gt;")+COUNTIFS($D$59:$D$204,$A58,$C$59:$C$204,"Variation",$G$59:$G$204,"&lt;&gt;",$H$59:$H$204,"&lt;&gt;"),"",(SUMIFS($K$59:$K$204,$D$59:$D$204,$A58,$C$59:$C$204,"Activity")+SUMIFS($K$59:$K$204,$D$59:$D$204,$A58,$C$59:$C$204,"Variation"))/(COUNTIFS($D$59:$D$204,$A58,$C$59:$C$204,"Activity")+COUNTIFS($D$59:$D$204,$A58,$C$59:$C$204,"Variation")))),IF(OR($C58="Activity",$C58="Variation"),IF(OR($G58="",$H58=""),"",IF($H58&lt;$G58,"",IF($H58=$G58,--(TODAY()&gt;=$H58),MAX(0,MIN(1,(TODAY()-$G58)/($H58-$G58)))))),""))))</x:f>
        <x:v>0.2962962962962963</x:v>
      </x:c>
      <x:c r="L58" s="7" t="n">
        <x:f t="shared" si="0">IF($B58="","",IF($C58="Initiative",IF(COUNTIFS($B$5:$B$204,$B58,$C$5:$C$204,"Activity")+COUNTIFS($B$5:$B$204,$B58,$C$5:$C$204,"Variation")=0,"",IF(COUNTIFS($B$5:$B$204,$B58,$C$5:$C$204,"Activity")+COUNTIFS($B$5:$B$204,$B58,$C$5:$C$204,"Variation")&lt;&gt;COUNTIFS($B$5:$B$204,$B58,$C$5:$C$204,"Activity",$J$5:$J$204,"&lt;&gt;",$J$5:$J$204,"&gt;=0",$J$5:$J$204,"&lt;=1")+COUNTIFS($B$5:$B$204,$B58,$C$5:$C$204,"Variation",$J$5:$J$204,"&lt;&gt;",$J$5:$J$204,"&gt;=0",$J$5:$J$204,"&lt;=1"),"",(SUMIFS($J$5:$J$204,$B$5:$B$204,$B58,$C$5:$C$204,"Activity")+SUMIFS($J$5:$J$204,$B$5:$B$204,$B58,$C$5:$C$204,"Variation"))/(COUNTIFS($B$5:$B$204,$B58,$C$5:$C$204,"Activity")+COUNTIFS($B$5:$B$204,$B58,$C$5:$C$204,"Variation")))),IF($C58="Milestone",IF(COUNTIFS($D$5:$D$204,$A58,$C$5:$C$204,"Activity")+COUNTIFS($D$5:$D$204,$A58,$C$5:$C$204,"Variation")=0,"",IF(COUNTIFS($D$5:$D$204,$A58,$C$5:$C$204,"Activity")+COUNTIFS($D$5:$D$204,$A58,$C$5:$C$204,"Variation")&lt;&gt;COUNTIFS($D$5:$D$204,$A58,$C$5:$C$204,"Activity",$J$5:$J$204,"&lt;&gt;",$J$5:$J$204,"&gt;=0",$J$5:$J$204,"&lt;=1")+COUNTIFS($D$5:$D$204,$A58,$C$5:$C$204,"Variation",$J$5:$J$204,"&lt;&gt;",$J$5:$J$204,"&gt;=0",$J$5:$J$204,"&lt;=1"),"",(SUMIFS($J$5:$J$204,$D$5:$D$204,$A58,$C$5:$C$204,"Activity")+SUMIFS($J$5:$J$204,$D$5:$D$204,$A58,$C$5:$C$204,"Variation"))/(COUNTIFS($D$5:$D$204,$A58,$C$5:$C$204,"Activity")+COUNTIFS($D$5:$D$204,$A58,$C$5:$C$204,"Variation")))),IF(OR($C58="Activity",$C58="Variation"),IF(AND(ISNUMBER($J58),$J58&gt;=0,$J58&lt;=1),$J58,""),""))))</x:f>
        <x:v>0.45</x:v>
      </x:c>
      <x:c r="M58" s="7" t="n">
        <x:f t="shared" ca="1" si="1">IF(OR($K58="",$L58=""),"",$L58-$K58)</x:f>
        <x:v>0.15370370370370373</x:v>
      </x:c>
      <x:c r="N58" s="6" t="str">
        <x:f ca="1">IF(OR($B58="",$I58="",$L58=""),"",IF(AND($L58&lt;1,$I58&lt;TODAY()),"Late",IF(AND($H58&lt;&gt;"",$I58&gt;$H58),"Forecast Slip","On Plan")))</x:f>
        <x:v>On Plan</x:v>
      </x:c>
      <x:c r="O58" s="19"/>
      <x:c r="P58" s="6" t="str">
        <x:f t="shared" si="2">IF($B58="","",IF($A58="","Enter item ID",IF(COUNTIF($A$5:$A$204,$A58)&gt;1,"Duplicate item ID",IF($C58="Initiative",IF($D58&lt;&gt;"","Parent must be blank",IF(COUNTIFS($B$5:$B$204,$B58,$C$5:$C$204,"Initiative")&lt;&gt;1,"One Initiative row required",IF(COUNTIFS($D$5:$D$204,$A58,$C$5:$C$204,"Milestone")=0,"Add milestone","OK"))),IF($C58="Milestone",IF(COUNTIFS($A$5:$A$204,$D58,$B$5:$B$204,$B58,$C$5:$C$204,"Initiative")&lt;&gt;1,"Parent must be Initiative",IF(COUNTIFS($D$5:$D$204,$A58,$C$5:$C$204,"Activity")+COUNTIFS($D$5:$D$204,$A58,$C$5:$C$204,"Variation")=0,"Add activity or variation","OK")),IF(OR($C58="Activity",$C58="Variation"),IF(COUNTIFS($A$5:$A$204,$D58,$B$5:$B$204,$B58,$C$5:$C$204,"Milestone")&lt;&gt;1,"Parent must be Milestone",IF(OR($G58="",$H58=""),"Enter baseline dates",IF($H58&lt;$G58,"Baseline finish before start",IF($I58="","Enter forecast finish",IF(COUNT($J58)=0,"Enter actual %",IF(OR(NOT(ISNUMBER($J58)),$J58&lt;0,$J58&gt;1),"Actual % must be 0–100%","OK")))))),"Select level"))))))</x:f>
        <x:v>OK</x:v>
      </x:c>
    </x:row>
    <x:row r="59">
      <x:c r="A59" s="66" t="str" cm="1">
        <x:f t="array" ref="A59">IF(OR(B59="",C59=""),"",IF(C59="Initiative",COUNTIF($C$5:C59,"Initiative"),IF(C59="Milestone",IF(D59="","",D59&amp;"."&amp;COUNTIFS($D$5:D59,D59,$C$5:C59,"Milestone")),IF(OR(C59="Activity",C59="Variation"),IF(D59="","",D59&amp;"."&amp;(COUNTIFS($D$5:D59,D59,$C$5:C59,"Activity")+COUNTIFS($D$5:D59,D59,$C$5:C59,"Variation"))),""))))</x:f>
        <x:v>11.1.3</x:v>
      </x:c>
      <x:c r="B59" s="19" t="s">
        <x:v>77</x:v>
      </x:c>
      <x:c r="C59" s="19" t="s">
        <x:v>99</x:v>
      </x:c>
      <x:c r="D59" s="20">
        <x:v>11.1</x:v>
      </x:c>
      <x:c r="E59" s="21" t="s">
        <x:v>136</x:v>
      </x:c>
      <x:c r="F59" s="21" t="s">
        <x:v>50</x:v>
      </x:c>
      <x:c r="G59" s="102">
        <x:v>46337</x:v>
      </x:c>
      <x:c r="H59" s="102">
        <x:v>46416</x:v>
      </x:c>
      <x:c r="I59" s="102">
        <x:v>46416</x:v>
      </x:c>
      <x:c r="J59" s="100">
        <x:v>0.35</x:v>
      </x:c>
      <x:c r="K59" s="7" t="n">
        <x:f ca="1">IF($B59="","",IF($C59="Initiative",IF(COUNTIFS($B$60:$B$204,$B59,$C$60:$C$204,"Activity")+COUNTIFS($B$60:$B$204,$B59,$C$60:$C$204,"Variation")=0,"",IF(COUNTIFS($B$60:$B$204,$B59,$C$60:$C$204,"Activity")+COUNTIFS($B$60:$B$204,$B59,$C$60:$C$204,"Variation")&lt;&gt;COUNTIFS($B$60:$B$204,$B59,$C$60:$C$204,"Activity",$G$60:$G$204,"&lt;&gt;",$H$60:$H$204,"&lt;&gt;")+COUNTIFS($B$60:$B$204,$B59,$C$60:$C$204,"Variation",$G$60:$G$204,"&lt;&gt;",$H$60:$H$204,"&lt;&gt;"),"",(SUMIFS($K$60:$K$204,$B$60:$B$204,$B59,$C$60:$C$204,"Activity")+SUMIFS($K$60:$K$204,$B$60:$B$204,$B59,$C$60:$C$204,"Variation"))/(COUNTIFS($B$60:$B$204,$B59,$C$60:$C$204,"Activity")+COUNTIFS($B$60:$B$204,$B59,$C$60:$C$204,"Variation")))),IF($C59="Milestone",IF(COUNTIFS($D$60:$D$204,$A59,$C$60:$C$204,"Activity")+COUNTIFS($D$60:$D$204,$A59,$C$60:$C$204,"Variation")=0,"",IF(COUNTIFS($D$60:$D$204,$A59,$C$60:$C$204,"Activity")+COUNTIFS($D$60:$D$204,$A59,$C$60:$C$204,"Variation")&lt;&gt;COUNTIFS($D$60:$D$204,$A59,$C$60:$C$204,"Activity",$G$60:$G$204,"&lt;&gt;",$H$60:$H$204,"&lt;&gt;")+COUNTIFS($D$60:$D$204,$A59,$C$60:$C$204,"Variation",$G$60:$G$204,"&lt;&gt;",$H$60:$H$204,"&lt;&gt;"),"",(SUMIFS($K$60:$K$204,$D$60:$D$204,$A59,$C$60:$C$204,"Activity")+SUMIFS($K$60:$K$204,$D$60:$D$204,$A59,$C$60:$C$204,"Variation"))/(COUNTIFS($D$60:$D$204,$A59,$C$60:$C$204,"Activity")+COUNTIFS($D$60:$D$204,$A59,$C$60:$C$204,"Variation")))),IF(OR($C59="Activity",$C59="Variation"),IF(OR($G59="",$H59=""),"",IF($H59&lt;$G59,"",IF($H59=$G59,--(TODAY()&gt;=$H59),MAX(0,MIN(1,(TODAY()-$G59)/($H59-$G59)))))),""))))</x:f>
        <x:v>0</x:v>
      </x:c>
      <x:c r="L59" s="7" t="n">
        <x:f t="shared" si="0">IF($B59="","",IF($C59="Initiative",IF(COUNTIFS($B$5:$B$204,$B59,$C$5:$C$204,"Activity")+COUNTIFS($B$5:$B$204,$B59,$C$5:$C$204,"Variation")=0,"",IF(COUNTIFS($B$5:$B$204,$B59,$C$5:$C$204,"Activity")+COUNTIFS($B$5:$B$204,$B59,$C$5:$C$204,"Variation")&lt;&gt;COUNTIFS($B$5:$B$204,$B59,$C$5:$C$204,"Activity",$J$5:$J$204,"&lt;&gt;",$J$5:$J$204,"&gt;=0",$J$5:$J$204,"&lt;=1")+COUNTIFS($B$5:$B$204,$B59,$C$5:$C$204,"Variation",$J$5:$J$204,"&lt;&gt;",$J$5:$J$204,"&gt;=0",$J$5:$J$204,"&lt;=1"),"",(SUMIFS($J$5:$J$204,$B$5:$B$204,$B59,$C$5:$C$204,"Activity")+SUMIFS($J$5:$J$204,$B$5:$B$204,$B59,$C$5:$C$204,"Variation"))/(COUNTIFS($B$5:$B$204,$B59,$C$5:$C$204,"Activity")+COUNTIFS($B$5:$B$204,$B59,$C$5:$C$204,"Variation")))),IF($C59="Milestone",IF(COUNTIFS($D$5:$D$204,$A59,$C$5:$C$204,"Activity")+COUNTIFS($D$5:$D$204,$A59,$C$5:$C$204,"Variation")=0,"",IF(COUNTIFS($D$5:$D$204,$A59,$C$5:$C$204,"Activity")+COUNTIFS($D$5:$D$204,$A59,$C$5:$C$204,"Variation")&lt;&gt;COUNTIFS($D$5:$D$204,$A59,$C$5:$C$204,"Activity",$J$5:$J$204,"&lt;&gt;",$J$5:$J$204,"&gt;=0",$J$5:$J$204,"&lt;=1")+COUNTIFS($D$5:$D$204,$A59,$C$5:$C$204,"Variation",$J$5:$J$204,"&lt;&gt;",$J$5:$J$204,"&gt;=0",$J$5:$J$204,"&lt;=1"),"",(SUMIFS($J$5:$J$204,$D$5:$D$204,$A59,$C$5:$C$204,"Activity")+SUMIFS($J$5:$J$204,$D$5:$D$204,$A59,$C$5:$C$204,"Variation"))/(COUNTIFS($D$5:$D$204,$A59,$C$5:$C$204,"Activity")+COUNTIFS($D$5:$D$204,$A59,$C$5:$C$204,"Variation")))),IF(OR($C59="Activity",$C59="Variation"),IF(AND(ISNUMBER($J59),$J59&gt;=0,$J59&lt;=1),$J59,""),""))))</x:f>
        <x:v>0.35</x:v>
      </x:c>
      <x:c r="M59" s="7" t="str">
        <x:f t="shared" ca="1" si="1">IF(OR($K59="",$L59=""),"",$L59-$K59)</x:f>
      </x:c>
      <x:c r="N59" s="6" t="str">
        <x:f ca="1">IF(OR($B59="",$I59="",$L59=""),"",IF(AND($L59&lt;1,$I59&lt;TODAY()),"Late",IF(AND($H59&lt;&gt;"",$I59&gt;$H59),"Forecast Slip","On Plan")))</x:f>
        <x:v>On Plan</x:v>
      </x:c>
      <x:c r="O59" s="19"/>
      <x:c r="P59" s="6" t="str">
        <x:f t="shared" si="2">IF($B59="","",IF($A59="","Enter item ID",IF(COUNTIF($A$5:$A$204,$A59)&gt;1,"Duplicate item ID",IF($C59="Initiative",IF($D59&lt;&gt;"","Parent must be blank",IF(COUNTIFS($B$5:$B$204,$B59,$C$5:$C$204,"Initiative")&lt;&gt;1,"One Initiative row required",IF(COUNTIFS($D$5:$D$204,$A59,$C$5:$C$204,"Milestone")=0,"Add milestone","OK"))),IF($C59="Milestone",IF(COUNTIFS($A$5:$A$204,$D59,$B$5:$B$204,$B59,$C$5:$C$204,"Initiative")&lt;&gt;1,"Parent must be Initiative",IF(COUNTIFS($D$5:$D$204,$A59,$C$5:$C$204,"Activity")+COUNTIFS($D$5:$D$204,$A59,$C$5:$C$204,"Variation")=0,"Add activity or variation","OK")),IF(OR($C59="Activity",$C59="Variation"),IF(COUNTIFS($A$5:$A$204,$D59,$B$5:$B$204,$B59,$C$5:$C$204,"Milestone")&lt;&gt;1,"Parent must be Milestone",IF(OR($G59="",$H59=""),"Enter baseline dates",IF($H59&lt;$G59,"Baseline finish before start",IF($I59="","Enter forecast finish",IF(COUNT($J59)=0,"Enter actual %",IF(OR(NOT(ISNUMBER($J59)),$J59&lt;0,$J59&gt;1),"Actual % must be 0–100%","OK")))))),"Select level"))))))</x:f>
        <x:v>OK</x:v>
      </x:c>
    </x:row>
    <x:row r="60" ht="38.599998474121094">
      <x:c r="A60" s="66" t="n" cm="1">
        <x:f t="array" ref="A60">IF(OR(B60="",C60=""),"",IF(C60="Initiative",COUNTIF($C$5:C60,"Initiative"),IF(C60="Milestone",IF(D60="","",D60&amp;"."&amp;COUNTIFS($D$5:D60,D60,$C$5:C60,"Milestone")),IF(OR(C60="Activity",C60="Variation"),IF(D60="","",D60&amp;"."&amp;(COUNTIFS($D$5:D60,D60,$C$5:C60,"Activity")+COUNTIFS($D$5:D60,D60,$C$5:C60,"Variation"))),""))))</x:f>
        <x:v>12</x:v>
      </x:c>
      <x:c r="B60" s="19" t="s">
        <x:v>79</x:v>
      </x:c>
      <x:c r="C60" s="19" t="s">
        <x:v>7</x:v>
      </x:c>
      <x:c r="D60" s="20"/>
      <x:c r="E60" s="21" t="s">
        <x:v>80</x:v>
      </x:c>
      <x:c r="F60" s="21" t="s">
        <x:v>54</x:v>
      </x:c>
      <x:c r="G60" s="102">
        <x:v>46069</x:v>
      </x:c>
      <x:c r="H60" s="102">
        <x:v>46374</x:v>
      </x:c>
      <x:c r="I60" s="102">
        <x:v>46472</x:v>
      </x:c>
      <x:c r="J60" s="100"/>
      <x:c r="K60" s="7" t="n">
        <x:f ca="1">IF($B60="","",IF($C60="Initiative",IF(COUNTIFS($B$61:$B$204,$B60,$C$61:$C$204,"Activity")+COUNTIFS($B$61:$B$204,$B60,$C$61:$C$204,"Variation")=0,"",IF(COUNTIFS($B$61:$B$204,$B60,$C$61:$C$204,"Activity")+COUNTIFS($B$61:$B$204,$B60,$C$61:$C$204,"Variation")&lt;&gt;COUNTIFS($B$61:$B$204,$B60,$C$61:$C$204,"Activity",$G$61:$G$204,"&lt;&gt;",$H$61:$H$204,"&lt;&gt;")+COUNTIFS($B$61:$B$204,$B60,$C$61:$C$204,"Variation",$G$61:$G$204,"&lt;&gt;",$H$61:$H$204,"&lt;&gt;"),"",(SUMIFS($K$61:$K$204,$B$61:$B$204,$B60,$C$61:$C$204,"Activity")+SUMIFS($K$61:$K$204,$B$61:$B$204,$B60,$C$61:$C$204,"Variation"))/(COUNTIFS($B$61:$B$204,$B60,$C$61:$C$204,"Activity")+COUNTIFS($B$61:$B$204,$B60,$C$61:$C$204,"Variation")))),IF($C60="Milestone",IF(COUNTIFS($D$61:$D$204,$A60,$C$61:$C$204,"Activity")+COUNTIFS($D$61:$D$204,$A60,$C$61:$C$204,"Variation")=0,"",IF(COUNTIFS($D$61:$D$204,$A60,$C$61:$C$204,"Activity")+COUNTIFS($D$61:$D$204,$A60,$C$61:$C$204,"Variation")&lt;&gt;COUNTIFS($D$61:$D$204,$A60,$C$61:$C$204,"Activity",$G$61:$G$204,"&lt;&gt;",$H$61:$H$204,"&lt;&gt;")+COUNTIFS($D$61:$D$204,$A60,$C$61:$C$204,"Variation",$G$61:$G$204,"&lt;&gt;",$H$61:$H$204,"&lt;&gt;"),"",(SUMIFS($K$61:$K$204,$D$61:$D$204,$A60,$C$61:$C$204,"Activity")+SUMIFS($K$61:$K$204,$D$61:$D$204,$A60,$C$61:$C$204,"Variation"))/(COUNTIFS($D$61:$D$204,$A60,$C$61:$C$204,"Activity")+COUNTIFS($D$61:$D$204,$A60,$C$61:$C$204,"Variation")))),IF(OR($C60="Activity",$C60="Variation"),IF(OR($G60="",$H60=""),"",IF($H60&lt;$G60,"",IF($H60=$G60,--(TODAY()&gt;=$H60),MAX(0,MIN(1,(TODAY()-$G60)/($H60-$G60)))))),""))))</x:f>
        <x:v>0.6833333333333332</x:v>
      </x:c>
      <x:c r="L60" s="7" t="n">
        <x:f t="shared" si="0">IF($B60="","",IF($C60="Initiative",IF(COUNTIFS($B$5:$B$204,$B60,$C$5:$C$204,"Activity")+COUNTIFS($B$5:$B$204,$B60,$C$5:$C$204,"Variation")=0,"",IF(COUNTIFS($B$5:$B$204,$B60,$C$5:$C$204,"Activity")+COUNTIFS($B$5:$B$204,$B60,$C$5:$C$204,"Variation")&lt;&gt;COUNTIFS($B$5:$B$204,$B60,$C$5:$C$204,"Activity",$J$5:$J$204,"&lt;&gt;",$J$5:$J$204,"&gt;=0",$J$5:$J$204,"&lt;=1")+COUNTIFS($B$5:$B$204,$B60,$C$5:$C$204,"Variation",$J$5:$J$204,"&lt;&gt;",$J$5:$J$204,"&gt;=0",$J$5:$J$204,"&lt;=1"),"",(SUMIFS($J$5:$J$204,$B$5:$B$204,$B60,$C$5:$C$204,"Activity")+SUMIFS($J$5:$J$204,$B$5:$B$204,$B60,$C$5:$C$204,"Variation"))/(COUNTIFS($B$5:$B$204,$B60,$C$5:$C$204,"Activity")+COUNTIFS($B$5:$B$204,$B60,$C$5:$C$204,"Variation")))),IF($C60="Milestone",IF(COUNTIFS($D$5:$D$204,$A60,$C$5:$C$204,"Activity")+COUNTIFS($D$5:$D$204,$A60,$C$5:$C$204,"Variation")=0,"",IF(COUNTIFS($D$5:$D$204,$A60,$C$5:$C$204,"Activity")+COUNTIFS($D$5:$D$204,$A60,$C$5:$C$204,"Variation")&lt;&gt;COUNTIFS($D$5:$D$204,$A60,$C$5:$C$204,"Activity",$J$5:$J$204,"&lt;&gt;",$J$5:$J$204,"&gt;=0",$J$5:$J$204,"&lt;=1")+COUNTIFS($D$5:$D$204,$A60,$C$5:$C$204,"Variation",$J$5:$J$204,"&lt;&gt;",$J$5:$J$204,"&gt;=0",$J$5:$J$204,"&lt;=1"),"",(SUMIFS($J$5:$J$204,$D$5:$D$204,$A60,$C$5:$C$204,"Activity")+SUMIFS($J$5:$J$204,$D$5:$D$204,$A60,$C$5:$C$204,"Variation"))/(COUNTIFS($D$5:$D$204,$A60,$C$5:$C$204,"Activity")+COUNTIFS($D$5:$D$204,$A60,$C$5:$C$204,"Variation")))),IF(OR($C60="Activity",$C60="Variation"),IF(AND(ISNUMBER($J60),$J60&gt;=0,$J60&lt;=1),$J60,""),""))))</x:f>
        <x:v>0.2333333333333333</x:v>
      </x:c>
      <x:c r="M60" s="7" t="n">
        <x:f t="shared" ca="1" si="1">IF(OR($K60="",$L60=""),"",$L60-$K60)</x:f>
        <x:v>-0.44999999999999996</x:v>
      </x:c>
      <x:c r="N60" s="6" t="str">
        <x:f ca="1">IF(OR($B60="",$I60="",$L60=""),"",IF(AND($L60&lt;1,$I60&lt;TODAY()),"Late",IF(AND($H60&lt;&gt;"",$I60&gt;$H60),"Forecast Slip","On Plan")))</x:f>
        <x:v>Forecast Slip</x:v>
      </x:c>
      <x:c r="O60" s="19" t="s">
        <x:v>137</x:v>
      </x:c>
      <x:c r="P60" s="6" t="str">
        <x:f t="shared" si="2">IF($B60="","",IF($A60="","Enter item ID",IF(COUNTIF($A$5:$A$204,$A60)&gt;1,"Duplicate item ID",IF($C60="Initiative",IF($D60&lt;&gt;"","Parent must be blank",IF(COUNTIFS($B$5:$B$204,$B60,$C$5:$C$204,"Initiative")&lt;&gt;1,"One Initiative row required",IF(COUNTIFS($D$5:$D$204,$A60,$C$5:$C$204,"Milestone")=0,"Add milestone","OK"))),IF($C60="Milestone",IF(COUNTIFS($A$5:$A$204,$D60,$B$5:$B$204,$B60,$C$5:$C$204,"Initiative")&lt;&gt;1,"Parent must be Initiative",IF(COUNTIFS($D$5:$D$204,$A60,$C$5:$C$204,"Activity")+COUNTIFS($D$5:$D$204,$A60,$C$5:$C$204,"Variation")=0,"Add activity or variation","OK")),IF(OR($C60="Activity",$C60="Variation"),IF(COUNTIFS($A$5:$A$204,$D60,$B$5:$B$204,$B60,$C$5:$C$204,"Milestone")&lt;&gt;1,"Parent must be Milestone",IF(OR($G60="",$H60=""),"Enter baseline dates",IF($H60&lt;$G60,"Baseline finish before start",IF($I60="","Enter forecast finish",IF(COUNT($J60)=0,"Enter actual %",IF(OR(NOT(ISNUMBER($J60)),$J60&lt;0,$J60&gt;1),"Actual % must be 0–100%","OK")))))),"Select level"))))))</x:f>
        <x:v>OK</x:v>
      </x:c>
    </x:row>
    <x:row r="61" ht="38.599998474121094">
      <x:c r="A61" s="66" t="str" cm="1">
        <x:f t="array" ref="A61">IF(OR(B61="",C61=""),"",IF(C61="Initiative",COUNTIF($C$5:C61,"Initiative"),IF(C61="Milestone",IF(D61="","",D61&amp;"."&amp;COUNTIFS($D$5:D61,D61,$C$5:C61,"Milestone")),IF(OR(C61="Activity",C61="Variation"),IF(D61="","",D61&amp;"."&amp;(COUNTIFS($D$5:D61,D61,$C$5:C61,"Activity")+COUNTIFS($D$5:D61,D61,$C$5:C61,"Variation"))),""))))</x:f>
        <x:v>12.1</x:v>
      </x:c>
      <x:c r="B61" s="19" t="s">
        <x:v>79</x:v>
      </x:c>
      <x:c r="C61" s="19" t="s">
        <x:v>97</x:v>
      </x:c>
      <x:c r="D61" s="20">
        <x:v>12</x:v>
      </x:c>
      <x:c r="E61" s="21" t="s">
        <x:v>98</x:v>
      </x:c>
      <x:c r="F61" s="21" t="s">
        <x:v>54</x:v>
      </x:c>
      <x:c r="G61" s="102">
        <x:v>46069</x:v>
      </x:c>
      <x:c r="H61" s="102">
        <x:v>46374</x:v>
      </x:c>
      <x:c r="I61" s="102">
        <x:v>46472</x:v>
      </x:c>
      <x:c r="J61" s="100"/>
      <x:c r="K61" s="7" t="n">
        <x:f ca="1">IF($B61="","",IF($C61="Initiative",IF(COUNTIFS($B$62:$B$204,$B61,$C$62:$C$204,"Activity")+COUNTIFS($B$62:$B$204,$B61,$C$62:$C$204,"Variation")=0,"",IF(COUNTIFS($B$62:$B$204,$B61,$C$62:$C$204,"Activity")+COUNTIFS($B$62:$B$204,$B61,$C$62:$C$204,"Variation")&lt;&gt;COUNTIFS($B$62:$B$204,$B61,$C$62:$C$204,"Activity",$G$62:$G$204,"&lt;&gt;",$H$62:$H$204,"&lt;&gt;")+COUNTIFS($B$62:$B$204,$B61,$C$62:$C$204,"Variation",$G$62:$G$204,"&lt;&gt;",$H$62:$H$204,"&lt;&gt;"),"",(SUMIFS($K$62:$K$204,$B$62:$B$204,$B61,$C$62:$C$204,"Activity")+SUMIFS($K$62:$K$204,$B$62:$B$204,$B61,$C$62:$C$204,"Variation"))/(COUNTIFS($B$62:$B$204,$B61,$C$62:$C$204,"Activity")+COUNTIFS($B$62:$B$204,$B61,$C$62:$C$204,"Variation")))),IF($C61="Milestone",IF(COUNTIFS($D$62:$D$204,$A61,$C$62:$C$204,"Activity")+COUNTIFS($D$62:$D$204,$A61,$C$62:$C$204,"Variation")=0,"",IF(COUNTIFS($D$62:$D$204,$A61,$C$62:$C$204,"Activity")+COUNTIFS($D$62:$D$204,$A61,$C$62:$C$204,"Variation")&lt;&gt;COUNTIFS($D$62:$D$204,$A61,$C$62:$C$204,"Activity",$G$62:$G$204,"&lt;&gt;",$H$62:$H$204,"&lt;&gt;")+COUNTIFS($D$62:$D$204,$A61,$C$62:$C$204,"Variation",$G$62:$G$204,"&lt;&gt;",$H$62:$H$204,"&lt;&gt;"),"",(SUMIFS($K$62:$K$204,$D$62:$D$204,$A61,$C$62:$C$204,"Activity")+SUMIFS($K$62:$K$204,$D$62:$D$204,$A61,$C$62:$C$204,"Variation"))/(COUNTIFS($D$62:$D$204,$A61,$C$62:$C$204,"Activity")+COUNTIFS($D$62:$D$204,$A61,$C$62:$C$204,"Variation")))),IF(OR($C61="Activity",$C61="Variation"),IF(OR($G61="",$H61=""),"",IF($H61&lt;$G61,"",IF($H61=$G61,--(TODAY()&gt;=$H61),MAX(0,MIN(1,(TODAY()-$G61)/($H61-$G61)))))),""))))</x:f>
        <x:v>0.6833333333333332</x:v>
      </x:c>
      <x:c r="L61" s="7" t="n">
        <x:f t="shared" si="0">IF($B61="","",IF($C61="Initiative",IF(COUNTIFS($B$5:$B$204,$B61,$C$5:$C$204,"Activity")+COUNTIFS($B$5:$B$204,$B61,$C$5:$C$204,"Variation")=0,"",IF(COUNTIFS($B$5:$B$204,$B61,$C$5:$C$204,"Activity")+COUNTIFS($B$5:$B$204,$B61,$C$5:$C$204,"Variation")&lt;&gt;COUNTIFS($B$5:$B$204,$B61,$C$5:$C$204,"Activity",$J$5:$J$204,"&lt;&gt;",$J$5:$J$204,"&gt;=0",$J$5:$J$204,"&lt;=1")+COUNTIFS($B$5:$B$204,$B61,$C$5:$C$204,"Variation",$J$5:$J$204,"&lt;&gt;",$J$5:$J$204,"&gt;=0",$J$5:$J$204,"&lt;=1"),"",(SUMIFS($J$5:$J$204,$B$5:$B$204,$B61,$C$5:$C$204,"Activity")+SUMIFS($J$5:$J$204,$B$5:$B$204,$B61,$C$5:$C$204,"Variation"))/(COUNTIFS($B$5:$B$204,$B61,$C$5:$C$204,"Activity")+COUNTIFS($B$5:$B$204,$B61,$C$5:$C$204,"Variation")))),IF($C61="Milestone",IF(COUNTIFS($D$5:$D$204,$A61,$C$5:$C$204,"Activity")+COUNTIFS($D$5:$D$204,$A61,$C$5:$C$204,"Variation")=0,"",IF(COUNTIFS($D$5:$D$204,$A61,$C$5:$C$204,"Activity")+COUNTIFS($D$5:$D$204,$A61,$C$5:$C$204,"Variation")&lt;&gt;COUNTIFS($D$5:$D$204,$A61,$C$5:$C$204,"Activity",$J$5:$J$204,"&lt;&gt;",$J$5:$J$204,"&gt;=0",$J$5:$J$204,"&lt;=1")+COUNTIFS($D$5:$D$204,$A61,$C$5:$C$204,"Variation",$J$5:$J$204,"&lt;&gt;",$J$5:$J$204,"&gt;=0",$J$5:$J$204,"&lt;=1"),"",(SUMIFS($J$5:$J$204,$D$5:$D$204,$A61,$C$5:$C$204,"Activity")+SUMIFS($J$5:$J$204,$D$5:$D$204,$A61,$C$5:$C$204,"Variation"))/(COUNTIFS($D$5:$D$204,$A61,$C$5:$C$204,"Activity")+COUNTIFS($D$5:$D$204,$A61,$C$5:$C$204,"Variation")))),IF(OR($C61="Activity",$C61="Variation"),IF(AND(ISNUMBER($J61),$J61&gt;=0,$J61&lt;=1),$J61,""),""))))</x:f>
        <x:v>0.2333333333333333</x:v>
      </x:c>
      <x:c r="M61" s="7" t="n">
        <x:f t="shared" ca="1" si="1">IF(OR($K61="",$L61=""),"",$L61-$K61)</x:f>
        <x:v>-0.44999999999999996</x:v>
      </x:c>
      <x:c r="N61" s="6" t="str">
        <x:f ca="1">IF(OR($B61="",$I61="",$L61=""),"",IF(AND($L61&lt;1,$I61&lt;TODAY()),"Late",IF(AND($H61&lt;&gt;"",$I61&gt;$H61),"Forecast Slip","On Plan")))</x:f>
        <x:v>Forecast Slip</x:v>
      </x:c>
      <x:c r="O61" s="19" t="s">
        <x:v>137</x:v>
      </x:c>
      <x:c r="P61" s="6" t="str">
        <x:f t="shared" si="2">IF($B61="","",IF($A61="","Enter item ID",IF(COUNTIF($A$5:$A$204,$A61)&gt;1,"Duplicate item ID",IF($C61="Initiative",IF($D61&lt;&gt;"","Parent must be blank",IF(COUNTIFS($B$5:$B$204,$B61,$C$5:$C$204,"Initiative")&lt;&gt;1,"One Initiative row required",IF(COUNTIFS($D$5:$D$204,$A61,$C$5:$C$204,"Milestone")=0,"Add milestone","OK"))),IF($C61="Milestone",IF(COUNTIFS($A$5:$A$204,$D61,$B$5:$B$204,$B61,$C$5:$C$204,"Initiative")&lt;&gt;1,"Parent must be Initiative",IF(COUNTIFS($D$5:$D$204,$A61,$C$5:$C$204,"Activity")+COUNTIFS($D$5:$D$204,$A61,$C$5:$C$204,"Variation")=0,"Add activity or variation","OK")),IF(OR($C61="Activity",$C61="Variation"),IF(COUNTIFS($A$5:$A$204,$D61,$B$5:$B$204,$B61,$C$5:$C$204,"Milestone")&lt;&gt;1,"Parent must be Milestone",IF(OR($G61="",$H61=""),"Enter baseline dates",IF($H61&lt;$G61,"Baseline finish before start",IF($I61="","Enter forecast finish",IF(COUNT($J61)=0,"Enter actual %",IF(OR(NOT(ISNUMBER($J61)),$J61&lt;0,$J61&gt;1),"Actual % must be 0–100%","OK")))))),"Select level"))))))</x:f>
        <x:v>OK</x:v>
      </x:c>
    </x:row>
    <x:row r="62" ht="25.75">
      <x:c r="A62" s="66" t="str" cm="1">
        <x:f t="array" ref="A62">IF(OR(B62="",C62=""),"",IF(C62="Initiative",COUNTIF($C$5:C62,"Initiative"),IF(C62="Milestone",IF(D62="","",D62&amp;"."&amp;COUNTIFS($D$5:D62,D62,$C$5:C62,"Milestone")),IF(OR(C62="Activity",C62="Variation"),IF(D62="","",D62&amp;"."&amp;(COUNTIFS($D$5:D62,D62,$C$5:C62,"Activity")+COUNTIFS($D$5:D62,D62,$C$5:C62,"Variation"))),""))))</x:f>
        <x:v>12.1.1</x:v>
      </x:c>
      <x:c r="B62" s="19" t="s">
        <x:v>79</x:v>
      </x:c>
      <x:c r="C62" s="19" t="s">
        <x:v>99</x:v>
      </x:c>
      <x:c r="D62" s="20">
        <x:v>12.1</x:v>
      </x:c>
      <x:c r="E62" s="21" t="s">
        <x:v>138</x:v>
      </x:c>
      <x:c r="F62" s="21" t="s">
        <x:v>54</x:v>
      </x:c>
      <x:c r="G62" s="102">
        <x:v>46069</x:v>
      </x:c>
      <x:c r="H62" s="102">
        <x:v>46170</x:v>
      </x:c>
      <x:c r="I62" s="102">
        <x:v>46170</x:v>
      </x:c>
      <x:c r="J62" s="100">
        <x:v>0.5</x:v>
      </x:c>
      <x:c r="K62" s="7" t="n">
        <x:f ca="1">IF($B62="","",IF($C62="Initiative",IF(COUNTIFS($B$63:$B$204,$B62,$C$63:$C$204,"Activity")+COUNTIFS($B$63:$B$204,$B62,$C$63:$C$204,"Variation")=0,"",IF(COUNTIFS($B$63:$B$204,$B62,$C$63:$C$204,"Activity")+COUNTIFS($B$63:$B$204,$B62,$C$63:$C$204,"Variation")&lt;&gt;COUNTIFS($B$63:$B$204,$B62,$C$63:$C$204,"Activity",$G$63:$G$204,"&lt;&gt;",$H$63:$H$204,"&lt;&gt;")+COUNTIFS($B$63:$B$204,$B62,$C$63:$C$204,"Variation",$G$63:$G$204,"&lt;&gt;",$H$63:$H$204,"&lt;&gt;"),"",(SUMIFS($K$63:$K$204,$B$63:$B$204,$B62,$C$63:$C$204,"Activity")+SUMIFS($K$63:$K$204,$B$63:$B$204,$B62,$C$63:$C$204,"Variation"))/(COUNTIFS($B$63:$B$204,$B62,$C$63:$C$204,"Activity")+COUNTIFS($B$63:$B$204,$B62,$C$63:$C$204,"Variation")))),IF($C62="Milestone",IF(COUNTIFS($D$63:$D$204,$A62,$C$63:$C$204,"Activity")+COUNTIFS($D$63:$D$204,$A62,$C$63:$C$204,"Variation")=0,"",IF(COUNTIFS($D$63:$D$204,$A62,$C$63:$C$204,"Activity")+COUNTIFS($D$63:$D$204,$A62,$C$63:$C$204,"Variation")&lt;&gt;COUNTIFS($D$63:$D$204,$A62,$C$63:$C$204,"Activity",$G$63:$G$204,"&lt;&gt;",$H$63:$H$204,"&lt;&gt;")+COUNTIFS($D$63:$D$204,$A62,$C$63:$C$204,"Variation",$G$63:$G$204,"&lt;&gt;",$H$63:$H$204,"&lt;&gt;"),"",(SUMIFS($K$63:$K$204,$D$63:$D$204,$A62,$C$63:$C$204,"Activity")+SUMIFS($K$63:$K$204,$D$63:$D$204,$A62,$C$63:$C$204,"Variation"))/(COUNTIFS($D$63:$D$204,$A62,$C$63:$C$204,"Activity")+COUNTIFS($D$63:$D$204,$A62,$C$63:$C$204,"Variation")))),IF(OR($C62="Activity",$C62="Variation"),IF(OR($G62="",$H62=""),"",IF($H62&lt;$G62,"",IF($H62=$G62,--(TODAY()&gt;=$H62),MAX(0,MIN(1,(TODAY()-$G62)/($H62-$G62)))))),""))))</x:f>
        <x:v>1</x:v>
      </x:c>
      <x:c r="L62" s="7" t="n">
        <x:f t="shared" si="0">IF($B62="","",IF($C62="Initiative",IF(COUNTIFS($B$5:$B$204,$B62,$C$5:$C$204,"Activity")+COUNTIFS($B$5:$B$204,$B62,$C$5:$C$204,"Variation")=0,"",IF(COUNTIFS($B$5:$B$204,$B62,$C$5:$C$204,"Activity")+COUNTIFS($B$5:$B$204,$B62,$C$5:$C$204,"Variation")&lt;&gt;COUNTIFS($B$5:$B$204,$B62,$C$5:$C$204,"Activity",$J$5:$J$204,"&lt;&gt;",$J$5:$J$204,"&gt;=0",$J$5:$J$204,"&lt;=1")+COUNTIFS($B$5:$B$204,$B62,$C$5:$C$204,"Variation",$J$5:$J$204,"&lt;&gt;",$J$5:$J$204,"&gt;=0",$J$5:$J$204,"&lt;=1"),"",(SUMIFS($J$5:$J$204,$B$5:$B$204,$B62,$C$5:$C$204,"Activity")+SUMIFS($J$5:$J$204,$B$5:$B$204,$B62,$C$5:$C$204,"Variation"))/(COUNTIFS($B$5:$B$204,$B62,$C$5:$C$204,"Activity")+COUNTIFS($B$5:$B$204,$B62,$C$5:$C$204,"Variation")))),IF($C62="Milestone",IF(COUNTIFS($D$5:$D$204,$A62,$C$5:$C$204,"Activity")+COUNTIFS($D$5:$D$204,$A62,$C$5:$C$204,"Variation")=0,"",IF(COUNTIFS($D$5:$D$204,$A62,$C$5:$C$204,"Activity")+COUNTIFS($D$5:$D$204,$A62,$C$5:$C$204,"Variation")&lt;&gt;COUNTIFS($D$5:$D$204,$A62,$C$5:$C$204,"Activity",$J$5:$J$204,"&lt;&gt;",$J$5:$J$204,"&gt;=0",$J$5:$J$204,"&lt;=1")+COUNTIFS($D$5:$D$204,$A62,$C$5:$C$204,"Variation",$J$5:$J$204,"&lt;&gt;",$J$5:$J$204,"&gt;=0",$J$5:$J$204,"&lt;=1"),"",(SUMIFS($J$5:$J$204,$D$5:$D$204,$A62,$C$5:$C$204,"Activity")+SUMIFS($J$5:$J$204,$D$5:$D$204,$A62,$C$5:$C$204,"Variation"))/(COUNTIFS($D$5:$D$204,$A62,$C$5:$C$204,"Activity")+COUNTIFS($D$5:$D$204,$A62,$C$5:$C$204,"Variation")))),IF(OR($C62="Activity",$C62="Variation"),IF(AND(ISNUMBER($J62),$J62&gt;=0,$J62&lt;=1),$J62,""),""))))</x:f>
        <x:v>0.5</x:v>
      </x:c>
      <x:c r="M62" s="7" t="n">
        <x:f t="shared" ca="1" si="1">IF(OR($K62="",$L62=""),"",$L62-$K62)</x:f>
        <x:v>-0.5</x:v>
      </x:c>
      <x:c r="N62" s="6" t="str">
        <x:f ca="1">IF(OR($B62="",$I62="",$L62=""),"",IF(AND($L62&lt;1,$I62&lt;TODAY()),"Late",IF(AND($H62&lt;&gt;"",$I62&gt;$H62),"Forecast Slip","On Plan")))</x:f>
        <x:v>Late</x:v>
      </x:c>
      <x:c r="O62" s="19"/>
      <x:c r="P62" s="6" t="str">
        <x:f t="shared" si="2">IF($B62="","",IF($A62="","Enter item ID",IF(COUNTIF($A$5:$A$204,$A62)&gt;1,"Duplicate item ID",IF($C62="Initiative",IF($D62&lt;&gt;"","Parent must be blank",IF(COUNTIFS($B$5:$B$204,$B62,$C$5:$C$204,"Initiative")&lt;&gt;1,"One Initiative row required",IF(COUNTIFS($D$5:$D$204,$A62,$C$5:$C$204,"Milestone")=0,"Add milestone","OK"))),IF($C62="Milestone",IF(COUNTIFS($A$5:$A$204,$D62,$B$5:$B$204,$B62,$C$5:$C$204,"Initiative")&lt;&gt;1,"Parent must be Initiative",IF(COUNTIFS($D$5:$D$204,$A62,$C$5:$C$204,"Activity")+COUNTIFS($D$5:$D$204,$A62,$C$5:$C$204,"Variation")=0,"Add activity or variation","OK")),IF(OR($C62="Activity",$C62="Variation"),IF(COUNTIFS($A$5:$A$204,$D62,$B$5:$B$204,$B62,$C$5:$C$204,"Milestone")&lt;&gt;1,"Parent must be Milestone",IF(OR($G62="",$H62=""),"Enter baseline dates",IF($H62&lt;$G62,"Baseline finish before start",IF($I62="","Enter forecast finish",IF(COUNT($J62)=0,"Enter actual %",IF(OR(NOT(ISNUMBER($J62)),$J62&lt;0,$J62&gt;1),"Actual % must be 0–100%","OK")))))),"Select level"))))))</x:f>
        <x:v>OK</x:v>
      </x:c>
    </x:row>
    <x:row r="63" ht="38.599998474121094">
      <x:c r="A63" s="66" t="str" cm="1">
        <x:f t="array" ref="A63">IF(OR(B63="",C63=""),"",IF(C63="Initiative",COUNTIF($C$5:C63,"Initiative"),IF(C63="Milestone",IF(D63="","",D63&amp;"."&amp;COUNTIFS($D$5:D63,D63,$C$5:C63,"Milestone")),IF(OR(C63="Activity",C63="Variation"),IF(D63="","",D63&amp;"."&amp;(COUNTIFS($D$5:D63,D63,$C$5:C63,"Activity")+COUNTIFS($D$5:D63,D63,$C$5:C63,"Variation"))),""))))</x:f>
        <x:v>12.1.2</x:v>
      </x:c>
      <x:c r="B63" s="19" t="s">
        <x:v>79</x:v>
      </x:c>
      <x:c r="C63" s="19" t="s">
        <x:v>99</x:v>
      </x:c>
      <x:c r="D63" s="20">
        <x:v>12.1</x:v>
      </x:c>
      <x:c r="E63" s="21" t="s">
        <x:v>139</x:v>
      </x:c>
      <x:c r="F63" s="21" t="s">
        <x:v>54</x:v>
      </x:c>
      <x:c r="G63" s="102">
        <x:v>46171</x:v>
      </x:c>
      <x:c r="H63" s="102">
        <x:v>46273</x:v>
      </x:c>
      <x:c r="I63" s="102">
        <x:v>46371</x:v>
      </x:c>
      <x:c r="J63" s="100">
        <x:v>0.2</x:v>
      </x:c>
      <x:c r="K63" s="7" t="n">
        <x:f ca="1">IF($B63="","",IF($C63="Initiative",IF(COUNTIFS($B$64:$B$204,$B63,$C$64:$C$204,"Activity")+COUNTIFS($B$64:$B$204,$B63,$C$64:$C$204,"Variation")=0,"",IF(COUNTIFS($B$64:$B$204,$B63,$C$64:$C$204,"Activity")+COUNTIFS($B$64:$B$204,$B63,$C$64:$C$204,"Variation")&lt;&gt;COUNTIFS($B$64:$B$204,$B63,$C$64:$C$204,"Activity",$G$64:$G$204,"&lt;&gt;",$H$64:$H$204,"&lt;&gt;")+COUNTIFS($B$64:$B$204,$B63,$C$64:$C$204,"Variation",$G$64:$G$204,"&lt;&gt;",$H$64:$H$204,"&lt;&gt;"),"",(SUMIFS($K$64:$K$204,$B$64:$B$204,$B63,$C$64:$C$204,"Activity")+SUMIFS($K$64:$K$204,$B$64:$B$204,$B63,$C$64:$C$204,"Variation"))/(COUNTIFS($B$64:$B$204,$B63,$C$64:$C$204,"Activity")+COUNTIFS($B$64:$B$204,$B63,$C$64:$C$204,"Variation")))),IF($C63="Milestone",IF(COUNTIFS($D$64:$D$204,$A63,$C$64:$C$204,"Activity")+COUNTIFS($D$64:$D$204,$A63,$C$64:$C$204,"Variation")=0,"",IF(COUNTIFS($D$64:$D$204,$A63,$C$64:$C$204,"Activity")+COUNTIFS($D$64:$D$204,$A63,$C$64:$C$204,"Variation")&lt;&gt;COUNTIFS($D$64:$D$204,$A63,$C$64:$C$204,"Activity",$G$64:$G$204,"&lt;&gt;",$H$64:$H$204,"&lt;&gt;")+COUNTIFS($D$64:$D$204,$A63,$C$64:$C$204,"Variation",$G$64:$G$204,"&lt;&gt;",$H$64:$H$204,"&lt;&gt;"),"",(SUMIFS($K$64:$K$204,$D$64:$D$204,$A63,$C$64:$C$204,"Activity")+SUMIFS($K$64:$K$204,$D$64:$D$204,$A63,$C$64:$C$204,"Variation"))/(COUNTIFS($D$64:$D$204,$A63,$C$64:$C$204,"Activity")+COUNTIFS($D$64:$D$204,$A63,$C$64:$C$204,"Variation")))),IF(OR($C63="Activity",$C63="Variation"),IF(OR($G63="",$H63=""),"",IF($H63&lt;$G63,"",IF($H63=$G63,--(TODAY()&gt;=$H63),MAX(0,MIN(1,(TODAY()-$G63)/($H63-$G63)))))),""))))</x:f>
        <x:v>1</x:v>
      </x:c>
      <x:c r="L63" s="7" t="n">
        <x:f t="shared" si="0">IF($B63="","",IF($C63="Initiative",IF(COUNTIFS($B$5:$B$204,$B63,$C$5:$C$204,"Activity")+COUNTIFS($B$5:$B$204,$B63,$C$5:$C$204,"Variation")=0,"",IF(COUNTIFS($B$5:$B$204,$B63,$C$5:$C$204,"Activity")+COUNTIFS($B$5:$B$204,$B63,$C$5:$C$204,"Variation")&lt;&gt;COUNTIFS($B$5:$B$204,$B63,$C$5:$C$204,"Activity",$J$5:$J$204,"&lt;&gt;",$J$5:$J$204,"&gt;=0",$J$5:$J$204,"&lt;=1")+COUNTIFS($B$5:$B$204,$B63,$C$5:$C$204,"Variation",$J$5:$J$204,"&lt;&gt;",$J$5:$J$204,"&gt;=0",$J$5:$J$204,"&lt;=1"),"",(SUMIFS($J$5:$J$204,$B$5:$B$204,$B63,$C$5:$C$204,"Activity")+SUMIFS($J$5:$J$204,$B$5:$B$204,$B63,$C$5:$C$204,"Variation"))/(COUNTIFS($B$5:$B$204,$B63,$C$5:$C$204,"Activity")+COUNTIFS($B$5:$B$204,$B63,$C$5:$C$204,"Variation")))),IF($C63="Milestone",IF(COUNTIFS($D$5:$D$204,$A63,$C$5:$C$204,"Activity")+COUNTIFS($D$5:$D$204,$A63,$C$5:$C$204,"Variation")=0,"",IF(COUNTIFS($D$5:$D$204,$A63,$C$5:$C$204,"Activity")+COUNTIFS($D$5:$D$204,$A63,$C$5:$C$204,"Variation")&lt;&gt;COUNTIFS($D$5:$D$204,$A63,$C$5:$C$204,"Activity",$J$5:$J$204,"&lt;&gt;",$J$5:$J$204,"&gt;=0",$J$5:$J$204,"&lt;=1")+COUNTIFS($D$5:$D$204,$A63,$C$5:$C$204,"Variation",$J$5:$J$204,"&lt;&gt;",$J$5:$J$204,"&gt;=0",$J$5:$J$204,"&lt;=1"),"",(SUMIFS($J$5:$J$204,$D$5:$D$204,$A63,$C$5:$C$204,"Activity")+SUMIFS($J$5:$J$204,$D$5:$D$204,$A63,$C$5:$C$204,"Variation"))/(COUNTIFS($D$5:$D$204,$A63,$C$5:$C$204,"Activity")+COUNTIFS($D$5:$D$204,$A63,$C$5:$C$204,"Variation")))),IF(OR($C63="Activity",$C63="Variation"),IF(AND(ISNUMBER($J63),$J63&gt;=0,$J63&lt;=1),$J63,""),""))))</x:f>
        <x:v>0.2</x:v>
      </x:c>
      <x:c r="M63" s="7" t="n">
        <x:f t="shared" ca="1" si="1">IF(OR($K63="",$L63=""),"",$L63-$K63)</x:f>
        <x:v>-0.8</x:v>
      </x:c>
      <x:c r="N63" s="6" t="str">
        <x:f ca="1">IF(OR($B63="",$I63="",$L63=""),"",IF(AND($L63&lt;1,$I63&lt;TODAY()),"Late",IF(AND($H63&lt;&gt;"",$I63&gt;$H63),"Forecast Slip","On Plan")))</x:f>
        <x:v>Forecast Slip</x:v>
      </x:c>
      <x:c r="O63" s="19" t="s">
        <x:v>137</x:v>
      </x:c>
      <x:c r="P63" s="6" t="str">
        <x:f t="shared" si="2">IF($B63="","",IF($A63="","Enter item ID",IF(COUNTIF($A$5:$A$204,$A63)&gt;1,"Duplicate item ID",IF($C63="Initiative",IF($D63&lt;&gt;"","Parent must be blank",IF(COUNTIFS($B$5:$B$204,$B63,$C$5:$C$204,"Initiative")&lt;&gt;1,"One Initiative row required",IF(COUNTIFS($D$5:$D$204,$A63,$C$5:$C$204,"Milestone")=0,"Add milestone","OK"))),IF($C63="Milestone",IF(COUNTIFS($A$5:$A$204,$D63,$B$5:$B$204,$B63,$C$5:$C$204,"Initiative")&lt;&gt;1,"Parent must be Initiative",IF(COUNTIFS($D$5:$D$204,$A63,$C$5:$C$204,"Activity")+COUNTIFS($D$5:$D$204,$A63,$C$5:$C$204,"Variation")=0,"Add activity or variation","OK")),IF(OR($C63="Activity",$C63="Variation"),IF(COUNTIFS($A$5:$A$204,$D63,$B$5:$B$204,$B63,$C$5:$C$204,"Milestone")&lt;&gt;1,"Parent must be Milestone",IF(OR($G63="",$H63=""),"Enter baseline dates",IF($H63&lt;$G63,"Baseline finish before start",IF($I63="","Enter forecast finish",IF(COUNT($J63)=0,"Enter actual %",IF(OR(NOT(ISNUMBER($J63)),$J63&lt;0,$J63&gt;1),"Actual % must be 0–100%","OK")))))),"Select level"))))))</x:f>
        <x:v>OK</x:v>
      </x:c>
    </x:row>
    <x:row r="64" ht="38.599998474121094">
      <x:c r="A64" s="66" t="str" cm="1">
        <x:f t="array" ref="A64">IF(OR(B64="",C64=""),"",IF(C64="Initiative",COUNTIF($C$5:C64,"Initiative"),IF(C64="Milestone",IF(D64="","",D64&amp;"."&amp;COUNTIFS($D$5:D64,D64,$C$5:C64,"Milestone")),IF(OR(C64="Activity",C64="Variation"),IF(D64="","",D64&amp;"."&amp;(COUNTIFS($D$5:D64,D64,$C$5:C64,"Activity")+COUNTIFS($D$5:D64,D64,$C$5:C64,"Variation"))),""))))</x:f>
        <x:v>12.1.3</x:v>
      </x:c>
      <x:c r="B64" s="19" t="s">
        <x:v>79</x:v>
      </x:c>
      <x:c r="C64" s="19" t="s">
        <x:v>99</x:v>
      </x:c>
      <x:c r="D64" s="20">
        <x:v>12.1</x:v>
      </x:c>
      <x:c r="E64" s="21" t="s">
        <x:v>140</x:v>
      </x:c>
      <x:c r="F64" s="21" t="s">
        <x:v>54</x:v>
      </x:c>
      <x:c r="G64" s="102">
        <x:v>46274</x:v>
      </x:c>
      <x:c r="H64" s="102">
        <x:v>46374</x:v>
      </x:c>
      <x:c r="I64" s="102">
        <x:v>46472</x:v>
      </x:c>
      <x:c r="J64" s="100">
        <x:v>0</x:v>
      </x:c>
      <x:c r="K64" s="7" t="n">
        <x:f ca="1">IF($B64="","",IF($C64="Initiative",IF(COUNTIFS($B$65:$B$204,$B64,$C$65:$C$204,"Activity")+COUNTIFS($B$65:$B$204,$B64,$C$65:$C$204,"Variation")=0,"",IF(COUNTIFS($B$65:$B$204,$B64,$C$65:$C$204,"Activity")+COUNTIFS($B$65:$B$204,$B64,$C$65:$C$204,"Variation")&lt;&gt;COUNTIFS($B$65:$B$204,$B64,$C$65:$C$204,"Activity",$G$65:$G$204,"&lt;&gt;",$H$65:$H$204,"&lt;&gt;")+COUNTIFS($B$65:$B$204,$B64,$C$65:$C$204,"Variation",$G$65:$G$204,"&lt;&gt;",$H$65:$H$204,"&lt;&gt;"),"",(SUMIFS($K$65:$K$204,$B$65:$B$204,$B64,$C$65:$C$204,"Activity")+SUMIFS($K$65:$K$204,$B$65:$B$204,$B64,$C$65:$C$204,"Variation"))/(COUNTIFS($B$65:$B$204,$B64,$C$65:$C$204,"Activity")+COUNTIFS($B$65:$B$204,$B64,$C$65:$C$204,"Variation")))),IF($C64="Milestone",IF(COUNTIFS($D$65:$D$204,$A64,$C$65:$C$204,"Activity")+COUNTIFS($D$65:$D$204,$A64,$C$65:$C$204,"Variation")=0,"",IF(COUNTIFS($D$65:$D$204,$A64,$C$65:$C$204,"Activity")+COUNTIFS($D$65:$D$204,$A64,$C$65:$C$204,"Variation")&lt;&gt;COUNTIFS($D$65:$D$204,$A64,$C$65:$C$204,"Activity",$G$65:$G$204,"&lt;&gt;",$H$65:$H$204,"&lt;&gt;")+COUNTIFS($D$65:$D$204,$A64,$C$65:$C$204,"Variation",$G$65:$G$204,"&lt;&gt;",$H$65:$H$204,"&lt;&gt;"),"",(SUMIFS($K$65:$K$204,$D$65:$D$204,$A64,$C$65:$C$204,"Activity")+SUMIFS($K$65:$K$204,$D$65:$D$204,$A64,$C$65:$C$204,"Variation"))/(COUNTIFS($D$65:$D$204,$A64,$C$65:$C$204,"Activity")+COUNTIFS($D$65:$D$204,$A64,$C$65:$C$204,"Variation")))),IF(OR($C64="Activity",$C64="Variation"),IF(OR($G64="",$H64=""),"",IF($H64&lt;$G64,"",IF($H64=$G64,--(TODAY()&gt;=$H64),MAX(0,MIN(1,(TODAY()-$G64)/($H64-$G64)))))),""))))</x:f>
        <x:v>0.05</x:v>
      </x:c>
      <x:c r="L64" s="7" t="n">
        <x:f t="shared" si="0">IF($B64="","",IF($C64="Initiative",IF(COUNTIFS($B$5:$B$204,$B64,$C$5:$C$204,"Activity")+COUNTIFS($B$5:$B$204,$B64,$C$5:$C$204,"Variation")=0,"",IF(COUNTIFS($B$5:$B$204,$B64,$C$5:$C$204,"Activity")+COUNTIFS($B$5:$B$204,$B64,$C$5:$C$204,"Variation")&lt;&gt;COUNTIFS($B$5:$B$204,$B64,$C$5:$C$204,"Activity",$J$5:$J$204,"&lt;&gt;",$J$5:$J$204,"&gt;=0",$J$5:$J$204,"&lt;=1")+COUNTIFS($B$5:$B$204,$B64,$C$5:$C$204,"Variation",$J$5:$J$204,"&lt;&gt;",$J$5:$J$204,"&gt;=0",$J$5:$J$204,"&lt;=1"),"",(SUMIFS($J$5:$J$204,$B$5:$B$204,$B64,$C$5:$C$204,"Activity")+SUMIFS($J$5:$J$204,$B$5:$B$204,$B64,$C$5:$C$204,"Variation"))/(COUNTIFS($B$5:$B$204,$B64,$C$5:$C$204,"Activity")+COUNTIFS($B$5:$B$204,$B64,$C$5:$C$204,"Variation")))),IF($C64="Milestone",IF(COUNTIFS($D$5:$D$204,$A64,$C$5:$C$204,"Activity")+COUNTIFS($D$5:$D$204,$A64,$C$5:$C$204,"Variation")=0,"",IF(COUNTIFS($D$5:$D$204,$A64,$C$5:$C$204,"Activity")+COUNTIFS($D$5:$D$204,$A64,$C$5:$C$204,"Variation")&lt;&gt;COUNTIFS($D$5:$D$204,$A64,$C$5:$C$204,"Activity",$J$5:$J$204,"&lt;&gt;",$J$5:$J$204,"&gt;=0",$J$5:$J$204,"&lt;=1")+COUNTIFS($D$5:$D$204,$A64,$C$5:$C$204,"Variation",$J$5:$J$204,"&lt;&gt;",$J$5:$J$204,"&gt;=0",$J$5:$J$204,"&lt;=1"),"",(SUMIFS($J$5:$J$204,$D$5:$D$204,$A64,$C$5:$C$204,"Activity")+SUMIFS($J$5:$J$204,$D$5:$D$204,$A64,$C$5:$C$204,"Variation"))/(COUNTIFS($D$5:$D$204,$A64,$C$5:$C$204,"Activity")+COUNTIFS($D$5:$D$204,$A64,$C$5:$C$204,"Variation")))),IF(OR($C64="Activity",$C64="Variation"),IF(AND(ISNUMBER($J64),$J64&gt;=0,$J64&lt;=1),$J64,""),""))))</x:f>
        <x:v>0</x:v>
      </x:c>
      <x:c r="M64" s="7" t="str">
        <x:f t="shared" ca="1" si="1">IF(OR($K64="",$L64=""),"",$L64-$K64)</x:f>
      </x:c>
      <x:c r="N64" s="6" t="str">
        <x:f ca="1">IF(OR($B64="",$I64="",$L64=""),"",IF(AND($L64&lt;1,$I64&lt;TODAY()),"Late",IF(AND($H64&lt;&gt;"",$I64&gt;$H64),"Forecast Slip","On Plan")))</x:f>
      </x:c>
      <x:c r="O64" s="19" t="s">
        <x:v>137</x:v>
      </x:c>
      <x:c r="P64" s="6" t="str">
        <x:f t="shared" si="2">IF($B64="","",IF($A64="","Enter item ID",IF(COUNTIF($A$5:$A$204,$A64)&gt;1,"Duplicate item ID",IF($C64="Initiative",IF($D64&lt;&gt;"","Parent must be blank",IF(COUNTIFS($B$5:$B$204,$B64,$C$5:$C$204,"Initiative")&lt;&gt;1,"One Initiative row required",IF(COUNTIFS($D$5:$D$204,$A64,$C$5:$C$204,"Milestone")=0,"Add milestone","OK"))),IF($C64="Milestone",IF(COUNTIFS($A$5:$A$204,$D64,$B$5:$B$204,$B64,$C$5:$C$204,"Initiative")&lt;&gt;1,"Parent must be Initiative",IF(COUNTIFS($D$5:$D$204,$A64,$C$5:$C$204,"Activity")+COUNTIFS($D$5:$D$204,$A64,$C$5:$C$204,"Variation")=0,"Add activity or variation","OK")),IF(OR($C64="Activity",$C64="Variation"),IF(COUNTIFS($A$5:$A$204,$D64,$B$5:$B$204,$B64,$C$5:$C$204,"Milestone")&lt;&gt;1,"Parent must be Milestone",IF(OR($G64="",$H64=""),"Enter baseline dates",IF($H64&lt;$G64,"Baseline finish before start",IF($I64="","Enter forecast finish",IF(COUNT($J64)=0,"Enter actual %",IF(OR(NOT(ISNUMBER($J64)),$J64&lt;0,$J64&gt;1),"Actual % must be 0–100%","OK")))))),"Select level"))))))</x:f>
        <x:v>OK</x:v>
      </x:c>
    </x:row>
    <x:row r="65">
      <x:c r="A65" s="66" t="str" cm="1">
        <x:f t="array" ref="A65">IF(OR(B65="",C65=""),"",IF(C65="Initiative",COUNTIF($C$5:C65,"Initiative"),IF(C65="Milestone",IF(D65="","",D65&amp;"."&amp;COUNTIFS($D$5:D65,D65,$C$5:C65,"Milestone")),IF(OR(C65="Activity",C65="Variation"),IF(D65="","",D65&amp;"."&amp;(COUNTIFS($D$5:D65,D65,$C$5:C65,"Activity")+COUNTIFS($D$5:D65,D65,$C$5:C65,"Variation"))),""))))</x:f>
      </x:c>
      <x:c r="B65" s="19"/>
      <x:c r="C65" s="19"/>
      <x:c r="D65" s="20"/>
      <x:c r="E65" s="21"/>
      <x:c r="F65" s="21"/>
      <x:c r="G65" s="102"/>
      <x:c r="H65" s="102"/>
      <x:c r="I65" s="102"/>
      <x:c r="J65" s="100"/>
      <x:c r="K65" s="7" t="str">
        <x:f>IF($B65="","",IF($C65="Initiative",IF(COUNTIFS($B$66:$B$204,$B65,$C$66:$C$204,"Activity")+COUNTIFS($B$66:$B$204,$B65,$C$66:$C$204,"Variation")=0,"",IF(COUNTIFS($B$66:$B$204,$B65,$C$66:$C$204,"Activity")+COUNTIFS($B$66:$B$204,$B65,$C$66:$C$204,"Variation")&lt;&gt;COUNTIFS($B$66:$B$204,$B65,$C$66:$C$204,"Activity",$G$66:$G$204,"&lt;&gt;",$H$66:$H$204,"&lt;&gt;")+COUNTIFS($B$66:$B$204,$B65,$C$66:$C$204,"Variation",$G$66:$G$204,"&lt;&gt;",$H$66:$H$204,"&lt;&gt;"),"",(SUMIFS($K$66:$K$204,$B$66:$B$204,$B65,$C$66:$C$204,"Activity")+SUMIFS($K$66:$K$204,$B$66:$B$204,$B65,$C$66:$C$204,"Variation"))/(COUNTIFS($B$66:$B$204,$B65,$C$66:$C$204,"Activity")+COUNTIFS($B$66:$B$204,$B65,$C$66:$C$204,"Variation")))),IF($C65="Milestone",IF(COUNTIFS($D$66:$D$204,$A65,$C$66:$C$204,"Activity")+COUNTIFS($D$66:$D$204,$A65,$C$66:$C$204,"Variation")=0,"",IF(COUNTIFS($D$66:$D$204,$A65,$C$66:$C$204,"Activity")+COUNTIFS($D$66:$D$204,$A65,$C$66:$C$204,"Variation")&lt;&gt;COUNTIFS($D$66:$D$204,$A65,$C$66:$C$204,"Activity",$G$66:$G$204,"&lt;&gt;",$H$66:$H$204,"&lt;&gt;")+COUNTIFS($D$66:$D$204,$A65,$C$66:$C$204,"Variation",$G$66:$G$204,"&lt;&gt;",$H$66:$H$204,"&lt;&gt;"),"",(SUMIFS($K$66:$K$204,$D$66:$D$204,$A65,$C$66:$C$204,"Activity")+SUMIFS($K$66:$K$204,$D$66:$D$204,$A65,$C$66:$C$204,"Variation"))/(COUNTIFS($D$66:$D$204,$A65,$C$66:$C$204,"Activity")+COUNTIFS($D$66:$D$204,$A65,$C$66:$C$204,"Variation")))),IF(OR($C65="Activity",$C65="Variation"),IF(OR($G65="",$H65=""),"",IF($H65&lt;$G65,"",IF($H65=$G65,--(TODAY()&gt;=$H65),MAX(0,MIN(1,(TODAY()-$G65)/($H65-$G65)))))),""))))</x:f>
      </x:c>
      <x:c r="L65" s="7" t="str">
        <x:f t="shared" si="0">IF($B65="","",IF($C65="Initiative",IF(COUNTIFS($B$5:$B$204,$B65,$C$5:$C$204,"Activity")+COUNTIFS($B$5:$B$204,$B65,$C$5:$C$204,"Variation")=0,"",IF(COUNTIFS($B$5:$B$204,$B65,$C$5:$C$204,"Activity")+COUNTIFS($B$5:$B$204,$B65,$C$5:$C$204,"Variation")&lt;&gt;COUNTIFS($B$5:$B$204,$B65,$C$5:$C$204,"Activity",$J$5:$J$204,"&lt;&gt;",$J$5:$J$204,"&gt;=0",$J$5:$J$204,"&lt;=1")+COUNTIFS($B$5:$B$204,$B65,$C$5:$C$204,"Variation",$J$5:$J$204,"&lt;&gt;",$J$5:$J$204,"&gt;=0",$J$5:$J$204,"&lt;=1"),"",(SUMIFS($J$5:$J$204,$B$5:$B$204,$B65,$C$5:$C$204,"Activity")+SUMIFS($J$5:$J$204,$B$5:$B$204,$B65,$C$5:$C$204,"Variation"))/(COUNTIFS($B$5:$B$204,$B65,$C$5:$C$204,"Activity")+COUNTIFS($B$5:$B$204,$B65,$C$5:$C$204,"Variation")))),IF($C65="Milestone",IF(COUNTIFS($D$5:$D$204,$A65,$C$5:$C$204,"Activity")+COUNTIFS($D$5:$D$204,$A65,$C$5:$C$204,"Variation")=0,"",IF(COUNTIFS($D$5:$D$204,$A65,$C$5:$C$204,"Activity")+COUNTIFS($D$5:$D$204,$A65,$C$5:$C$204,"Variation")&lt;&gt;COUNTIFS($D$5:$D$204,$A65,$C$5:$C$204,"Activity",$J$5:$J$204,"&lt;&gt;",$J$5:$J$204,"&gt;=0",$J$5:$J$204,"&lt;=1")+COUNTIFS($D$5:$D$204,$A65,$C$5:$C$204,"Variation",$J$5:$J$204,"&lt;&gt;",$J$5:$J$204,"&gt;=0",$J$5:$J$204,"&lt;=1"),"",(SUMIFS($J$5:$J$204,$D$5:$D$204,$A65,$C$5:$C$204,"Activity")+SUMIFS($J$5:$J$204,$D$5:$D$204,$A65,$C$5:$C$204,"Variation"))/(COUNTIFS($D$5:$D$204,$A65,$C$5:$C$204,"Activity")+COUNTIFS($D$5:$D$204,$A65,$C$5:$C$204,"Variation")))),IF(OR($C65="Activity",$C65="Variation"),IF(AND(ISNUMBER($J65),$J65&gt;=0,$J65&lt;=1),$J65,""),""))))</x:f>
      </x:c>
      <x:c r="M65" s="7" t="str">
        <x:f t="shared" si="1">IF(OR($K65="",$L65=""),"",$L65-$K65)</x:f>
      </x:c>
      <x:c r="N65" s="6" t="str">
        <x:f>IF(OR($B65="",$I65="",$L65=""),"",IF(AND($L65&lt;1,$I65&lt;TODAY()),"Late",IF(AND($H65&lt;&gt;"",$I65&gt;$H65),"Forecast Slip","On Plan")))</x:f>
      </x:c>
      <x:c r="O65" s="19"/>
      <x:c r="P65" s="6" t="str">
        <x:f t="shared" si="2">IF($B65="","",IF($A65="","Enter item ID",IF(COUNTIF($A$5:$A$204,$A65)&gt;1,"Duplicate item ID",IF($C65="Initiative",IF($D65&lt;&gt;"","Parent must be blank",IF(COUNTIFS($B$5:$B$204,$B65,$C$5:$C$204,"Initiative")&lt;&gt;1,"One Initiative row required",IF(COUNTIFS($D$5:$D$204,$A65,$C$5:$C$204,"Milestone")=0,"Add milestone","OK"))),IF($C65="Milestone",IF(COUNTIFS($A$5:$A$204,$D65,$B$5:$B$204,$B65,$C$5:$C$204,"Initiative")&lt;&gt;1,"Parent must be Initiative",IF(COUNTIFS($D$5:$D$204,$A65,$C$5:$C$204,"Activity")+COUNTIFS($D$5:$D$204,$A65,$C$5:$C$204,"Variation")=0,"Add activity or variation","OK")),IF(OR($C65="Activity",$C65="Variation"),IF(COUNTIFS($A$5:$A$204,$D65,$B$5:$B$204,$B65,$C$5:$C$204,"Milestone")&lt;&gt;1,"Parent must be Milestone",IF(OR($G65="",$H65=""),"Enter baseline dates",IF($H65&lt;$G65,"Baseline finish before start",IF($I65="","Enter forecast finish",IF(COUNT($J65)=0,"Enter actual %",IF(OR(NOT(ISNUMBER($J65)),$J65&lt;0,$J65&gt;1),"Actual % must be 0–100%","OK")))))),"Select level"))))))</x:f>
      </x:c>
    </x:row>
    <x:row r="66">
      <x:c r="A66" s="66" t="str" cm="1">
        <x:f t="array" ref="A66">IF(OR(B66="",C66=""),"",IF(C66="Initiative",COUNTIF($C$5:C66,"Initiative"),IF(C66="Milestone",IF(D66="","",D66&amp;"."&amp;COUNTIFS($D$5:D66,D66,$C$5:C66,"Milestone")),IF(OR(C66="Activity",C66="Variation"),IF(D66="","",D66&amp;"."&amp;(COUNTIFS($D$5:D66,D66,$C$5:C66,"Activity")+COUNTIFS($D$5:D66,D66,$C$5:C66,"Variation"))),""))))</x:f>
      </x:c>
      <x:c r="B66" s="19"/>
      <x:c r="C66" s="19"/>
      <x:c r="D66" s="20"/>
      <x:c r="E66" s="21"/>
      <x:c r="F66" s="21"/>
      <x:c r="G66" s="102"/>
      <x:c r="H66" s="102"/>
      <x:c r="I66" s="102"/>
      <x:c r="J66" s="100"/>
      <x:c r="K66" s="7" t="str">
        <x:f>IF($B66="","",IF($C66="Initiative",IF(COUNTIFS($B$67:$B$204,$B66,$C$67:$C$204,"Activity")+COUNTIFS($B$67:$B$204,$B66,$C$67:$C$204,"Variation")=0,"",IF(COUNTIFS($B$67:$B$204,$B66,$C$67:$C$204,"Activity")+COUNTIFS($B$67:$B$204,$B66,$C$67:$C$204,"Variation")&lt;&gt;COUNTIFS($B$67:$B$204,$B66,$C$67:$C$204,"Activity",$G$67:$G$204,"&lt;&gt;",$H$67:$H$204,"&lt;&gt;")+COUNTIFS($B$67:$B$204,$B66,$C$67:$C$204,"Variation",$G$67:$G$204,"&lt;&gt;",$H$67:$H$204,"&lt;&gt;"),"",(SUMIFS($K$67:$K$204,$B$67:$B$204,$B66,$C$67:$C$204,"Activity")+SUMIFS($K$67:$K$204,$B$67:$B$204,$B66,$C$67:$C$204,"Variation"))/(COUNTIFS($B$67:$B$204,$B66,$C$67:$C$204,"Activity")+COUNTIFS($B$67:$B$204,$B66,$C$67:$C$204,"Variation")))),IF($C66="Milestone",IF(COUNTIFS($D$67:$D$204,$A66,$C$67:$C$204,"Activity")+COUNTIFS($D$67:$D$204,$A66,$C$67:$C$204,"Variation")=0,"",IF(COUNTIFS($D$67:$D$204,$A66,$C$67:$C$204,"Activity")+COUNTIFS($D$67:$D$204,$A66,$C$67:$C$204,"Variation")&lt;&gt;COUNTIFS($D$67:$D$204,$A66,$C$67:$C$204,"Activity",$G$67:$G$204,"&lt;&gt;",$H$67:$H$204,"&lt;&gt;")+COUNTIFS($D$67:$D$204,$A66,$C$67:$C$204,"Variation",$G$67:$G$204,"&lt;&gt;",$H$67:$H$204,"&lt;&gt;"),"",(SUMIFS($K$67:$K$204,$D$67:$D$204,$A66,$C$67:$C$204,"Activity")+SUMIFS($K$67:$K$204,$D$67:$D$204,$A66,$C$67:$C$204,"Variation"))/(COUNTIFS($D$67:$D$204,$A66,$C$67:$C$204,"Activity")+COUNTIFS($D$67:$D$204,$A66,$C$67:$C$204,"Variation")))),IF(OR($C66="Activity",$C66="Variation"),IF(OR($G66="",$H66=""),"",IF($H66&lt;$G66,"",IF($H66=$G66,--(TODAY()&gt;=$H66),MAX(0,MIN(1,(TODAY()-$G66)/($H66-$G66)))))),""))))</x:f>
      </x:c>
      <x:c r="L66" s="7" t="str">
        <x:f t="shared" si="0">IF($B66="","",IF($C66="Initiative",IF(COUNTIFS($B$5:$B$204,$B66,$C$5:$C$204,"Activity")+COUNTIFS($B$5:$B$204,$B66,$C$5:$C$204,"Variation")=0,"",IF(COUNTIFS($B$5:$B$204,$B66,$C$5:$C$204,"Activity")+COUNTIFS($B$5:$B$204,$B66,$C$5:$C$204,"Variation")&lt;&gt;COUNTIFS($B$5:$B$204,$B66,$C$5:$C$204,"Activity",$J$5:$J$204,"&lt;&gt;",$J$5:$J$204,"&gt;=0",$J$5:$J$204,"&lt;=1")+COUNTIFS($B$5:$B$204,$B66,$C$5:$C$204,"Variation",$J$5:$J$204,"&lt;&gt;",$J$5:$J$204,"&gt;=0",$J$5:$J$204,"&lt;=1"),"",(SUMIFS($J$5:$J$204,$B$5:$B$204,$B66,$C$5:$C$204,"Activity")+SUMIFS($J$5:$J$204,$B$5:$B$204,$B66,$C$5:$C$204,"Variation"))/(COUNTIFS($B$5:$B$204,$B66,$C$5:$C$204,"Activity")+COUNTIFS($B$5:$B$204,$B66,$C$5:$C$204,"Variation")))),IF($C66="Milestone",IF(COUNTIFS($D$5:$D$204,$A66,$C$5:$C$204,"Activity")+COUNTIFS($D$5:$D$204,$A66,$C$5:$C$204,"Variation")=0,"",IF(COUNTIFS($D$5:$D$204,$A66,$C$5:$C$204,"Activity")+COUNTIFS($D$5:$D$204,$A66,$C$5:$C$204,"Variation")&lt;&gt;COUNTIFS($D$5:$D$204,$A66,$C$5:$C$204,"Activity",$J$5:$J$204,"&lt;&gt;",$J$5:$J$204,"&gt;=0",$J$5:$J$204,"&lt;=1")+COUNTIFS($D$5:$D$204,$A66,$C$5:$C$204,"Variation",$J$5:$J$204,"&lt;&gt;",$J$5:$J$204,"&gt;=0",$J$5:$J$204,"&lt;=1"),"",(SUMIFS($J$5:$J$204,$D$5:$D$204,$A66,$C$5:$C$204,"Activity")+SUMIFS($J$5:$J$204,$D$5:$D$204,$A66,$C$5:$C$204,"Variation"))/(COUNTIFS($D$5:$D$204,$A66,$C$5:$C$204,"Activity")+COUNTIFS($D$5:$D$204,$A66,$C$5:$C$204,"Variation")))),IF(OR($C66="Activity",$C66="Variation"),IF(AND(ISNUMBER($J66),$J66&gt;=0,$J66&lt;=1),$J66,""),""))))</x:f>
      </x:c>
      <x:c r="M66" s="7" t="str">
        <x:f t="shared" si="1">IF(OR($K66="",$L66=""),"",$L66-$K66)</x:f>
      </x:c>
      <x:c r="N66" s="6" t="str">
        <x:f>IF(OR($B66="",$I66="",$L66=""),"",IF(AND($L66&lt;1,$I66&lt;TODAY()),"Late",IF(AND($H66&lt;&gt;"",$I66&gt;$H66),"Forecast Slip","On Plan")))</x:f>
      </x:c>
      <x:c r="O66" s="19"/>
      <x:c r="P66" s="6" t="str">
        <x:f t="shared" si="2">IF($B66="","",IF($A66="","Enter item ID",IF(COUNTIF($A$5:$A$204,$A66)&gt;1,"Duplicate item ID",IF($C66="Initiative",IF($D66&lt;&gt;"","Parent must be blank",IF(COUNTIFS($B$5:$B$204,$B66,$C$5:$C$204,"Initiative")&lt;&gt;1,"One Initiative row required",IF(COUNTIFS($D$5:$D$204,$A66,$C$5:$C$204,"Milestone")=0,"Add milestone","OK"))),IF($C66="Milestone",IF(COUNTIFS($A$5:$A$204,$D66,$B$5:$B$204,$B66,$C$5:$C$204,"Initiative")&lt;&gt;1,"Parent must be Initiative",IF(COUNTIFS($D$5:$D$204,$A66,$C$5:$C$204,"Activity")+COUNTIFS($D$5:$D$204,$A66,$C$5:$C$204,"Variation")=0,"Add activity or variation","OK")),IF(OR($C66="Activity",$C66="Variation"),IF(COUNTIFS($A$5:$A$204,$D66,$B$5:$B$204,$B66,$C$5:$C$204,"Milestone")&lt;&gt;1,"Parent must be Milestone",IF(OR($G66="",$H66=""),"Enter baseline dates",IF($H66&lt;$G66,"Baseline finish before start",IF($I66="","Enter forecast finish",IF(COUNT($J66)=0,"Enter actual %",IF(OR(NOT(ISNUMBER($J66)),$J66&lt;0,$J66&gt;1),"Actual % must be 0–100%","OK")))))),"Select level"))))))</x:f>
      </x:c>
    </x:row>
    <x:row r="67">
      <x:c r="A67" s="66" t="str" cm="1">
        <x:f t="array" ref="A67">IF(OR(B67="",C67=""),"",IF(C67="Initiative",COUNTIF($C$5:C67,"Initiative"),IF(C67="Milestone",IF(D67="","",D67&amp;"."&amp;COUNTIFS($D$5:D67,D67,$C$5:C67,"Milestone")),IF(OR(C67="Activity",C67="Variation"),IF(D67="","",D67&amp;"."&amp;(COUNTIFS($D$5:D67,D67,$C$5:C67,"Activity")+COUNTIFS($D$5:D67,D67,$C$5:C67,"Variation"))),""))))</x:f>
      </x:c>
      <x:c r="B67" s="19"/>
      <x:c r="C67" s="19"/>
      <x:c r="D67" s="20"/>
      <x:c r="E67" s="21"/>
      <x:c r="F67" s="21"/>
      <x:c r="G67" s="102"/>
      <x:c r="H67" s="102"/>
      <x:c r="I67" s="102"/>
      <x:c r="J67" s="100"/>
      <x:c r="K67" s="7" t="str">
        <x:f>IF($B67="","",IF($C67="Initiative",IF(COUNTIFS($B$68:$B$204,$B67,$C$68:$C$204,"Activity")+COUNTIFS($B$68:$B$204,$B67,$C$68:$C$204,"Variation")=0,"",IF(COUNTIFS($B$68:$B$204,$B67,$C$68:$C$204,"Activity")+COUNTIFS($B$68:$B$204,$B67,$C$68:$C$204,"Variation")&lt;&gt;COUNTIFS($B$68:$B$204,$B67,$C$68:$C$204,"Activity",$G$68:$G$204,"&lt;&gt;",$H$68:$H$204,"&lt;&gt;")+COUNTIFS($B$68:$B$204,$B67,$C$68:$C$204,"Variation",$G$68:$G$204,"&lt;&gt;",$H$68:$H$204,"&lt;&gt;"),"",(SUMIFS($K$68:$K$204,$B$68:$B$204,$B67,$C$68:$C$204,"Activity")+SUMIFS($K$68:$K$204,$B$68:$B$204,$B67,$C$68:$C$204,"Variation"))/(COUNTIFS($B$68:$B$204,$B67,$C$68:$C$204,"Activity")+COUNTIFS($B$68:$B$204,$B67,$C$68:$C$204,"Variation")))),IF($C67="Milestone",IF(COUNTIFS($D$68:$D$204,$A67,$C$68:$C$204,"Activity")+COUNTIFS($D$68:$D$204,$A67,$C$68:$C$204,"Variation")=0,"",IF(COUNTIFS($D$68:$D$204,$A67,$C$68:$C$204,"Activity")+COUNTIFS($D$68:$D$204,$A67,$C$68:$C$204,"Variation")&lt;&gt;COUNTIFS($D$68:$D$204,$A67,$C$68:$C$204,"Activity",$G$68:$G$204,"&lt;&gt;",$H$68:$H$204,"&lt;&gt;")+COUNTIFS($D$68:$D$204,$A67,$C$68:$C$204,"Variation",$G$68:$G$204,"&lt;&gt;",$H$68:$H$204,"&lt;&gt;"),"",(SUMIFS($K$68:$K$204,$D$68:$D$204,$A67,$C$68:$C$204,"Activity")+SUMIFS($K$68:$K$204,$D$68:$D$204,$A67,$C$68:$C$204,"Variation"))/(COUNTIFS($D$68:$D$204,$A67,$C$68:$C$204,"Activity")+COUNTIFS($D$68:$D$204,$A67,$C$68:$C$204,"Variation")))),IF(OR($C67="Activity",$C67="Variation"),IF(OR($G67="",$H67=""),"",IF($H67&lt;$G67,"",IF($H67=$G67,--(TODAY()&gt;=$H67),MAX(0,MIN(1,(TODAY()-$G67)/($H67-$G67)))))),""))))</x:f>
      </x:c>
      <x:c r="L67" s="7" t="str">
        <x:f t="shared" si="0">IF($B67="","",IF($C67="Initiative",IF(COUNTIFS($B$5:$B$204,$B67,$C$5:$C$204,"Activity")+COUNTIFS($B$5:$B$204,$B67,$C$5:$C$204,"Variation")=0,"",IF(COUNTIFS($B$5:$B$204,$B67,$C$5:$C$204,"Activity")+COUNTIFS($B$5:$B$204,$B67,$C$5:$C$204,"Variation")&lt;&gt;COUNTIFS($B$5:$B$204,$B67,$C$5:$C$204,"Activity",$J$5:$J$204,"&lt;&gt;",$J$5:$J$204,"&gt;=0",$J$5:$J$204,"&lt;=1")+COUNTIFS($B$5:$B$204,$B67,$C$5:$C$204,"Variation",$J$5:$J$204,"&lt;&gt;",$J$5:$J$204,"&gt;=0",$J$5:$J$204,"&lt;=1"),"",(SUMIFS($J$5:$J$204,$B$5:$B$204,$B67,$C$5:$C$204,"Activity")+SUMIFS($J$5:$J$204,$B$5:$B$204,$B67,$C$5:$C$204,"Variation"))/(COUNTIFS($B$5:$B$204,$B67,$C$5:$C$204,"Activity")+COUNTIFS($B$5:$B$204,$B67,$C$5:$C$204,"Variation")))),IF($C67="Milestone",IF(COUNTIFS($D$5:$D$204,$A67,$C$5:$C$204,"Activity")+COUNTIFS($D$5:$D$204,$A67,$C$5:$C$204,"Variation")=0,"",IF(COUNTIFS($D$5:$D$204,$A67,$C$5:$C$204,"Activity")+COUNTIFS($D$5:$D$204,$A67,$C$5:$C$204,"Variation")&lt;&gt;COUNTIFS($D$5:$D$204,$A67,$C$5:$C$204,"Activity",$J$5:$J$204,"&lt;&gt;",$J$5:$J$204,"&gt;=0",$J$5:$J$204,"&lt;=1")+COUNTIFS($D$5:$D$204,$A67,$C$5:$C$204,"Variation",$J$5:$J$204,"&lt;&gt;",$J$5:$J$204,"&gt;=0",$J$5:$J$204,"&lt;=1"),"",(SUMIFS($J$5:$J$204,$D$5:$D$204,$A67,$C$5:$C$204,"Activity")+SUMIFS($J$5:$J$204,$D$5:$D$204,$A67,$C$5:$C$204,"Variation"))/(COUNTIFS($D$5:$D$204,$A67,$C$5:$C$204,"Activity")+COUNTIFS($D$5:$D$204,$A67,$C$5:$C$204,"Variation")))),IF(OR($C67="Activity",$C67="Variation"),IF(AND(ISNUMBER($J67),$J67&gt;=0,$J67&lt;=1),$J67,""),""))))</x:f>
      </x:c>
      <x:c r="M67" s="7" t="str">
        <x:f t="shared" si="1">IF(OR($K67="",$L67=""),"",$L67-$K67)</x:f>
      </x:c>
      <x:c r="N67" s="6" t="str">
        <x:f>IF(OR($B67="",$I67="",$L67=""),"",IF(AND($L67&lt;1,$I67&lt;TODAY()),"Late",IF(AND($H67&lt;&gt;"",$I67&gt;$H67),"Forecast Slip","On Plan")))</x:f>
      </x:c>
      <x:c r="O67" s="19"/>
      <x:c r="P67" s="6" t="str">
        <x:f t="shared" si="2">IF($B67="","",IF($A67="","Enter item ID",IF(COUNTIF($A$5:$A$204,$A67)&gt;1,"Duplicate item ID",IF($C67="Initiative",IF($D67&lt;&gt;"","Parent must be blank",IF(COUNTIFS($B$5:$B$204,$B67,$C$5:$C$204,"Initiative")&lt;&gt;1,"One Initiative row required",IF(COUNTIFS($D$5:$D$204,$A67,$C$5:$C$204,"Milestone")=0,"Add milestone","OK"))),IF($C67="Milestone",IF(COUNTIFS($A$5:$A$204,$D67,$B$5:$B$204,$B67,$C$5:$C$204,"Initiative")&lt;&gt;1,"Parent must be Initiative",IF(COUNTIFS($D$5:$D$204,$A67,$C$5:$C$204,"Activity")+COUNTIFS($D$5:$D$204,$A67,$C$5:$C$204,"Variation")=0,"Add activity or variation","OK")),IF(OR($C67="Activity",$C67="Variation"),IF(COUNTIFS($A$5:$A$204,$D67,$B$5:$B$204,$B67,$C$5:$C$204,"Milestone")&lt;&gt;1,"Parent must be Milestone",IF(OR($G67="",$H67=""),"Enter baseline dates",IF($H67&lt;$G67,"Baseline finish before start",IF($I67="","Enter forecast finish",IF(COUNT($J67)=0,"Enter actual %",IF(OR(NOT(ISNUMBER($J67)),$J67&lt;0,$J67&gt;1),"Actual % must be 0–100%","OK")))))),"Select level"))))))</x:f>
      </x:c>
    </x:row>
    <x:row r="68">
      <x:c r="A68" s="66" t="str" cm="1">
        <x:f t="array" ref="A68">IF(OR(B68="",C68=""),"",IF(C68="Initiative",COUNTIF($C$5:C68,"Initiative"),IF(C68="Milestone",IF(D68="","",D68&amp;"."&amp;COUNTIFS($D$5:D68,D68,$C$5:C68,"Milestone")),IF(OR(C68="Activity",C68="Variation"),IF(D68="","",D68&amp;"."&amp;(COUNTIFS($D$5:D68,D68,$C$5:C68,"Activity")+COUNTIFS($D$5:D68,D68,$C$5:C68,"Variation"))),""))))</x:f>
      </x:c>
      <x:c r="B68" s="19"/>
      <x:c r="C68" s="19"/>
      <x:c r="D68" s="20"/>
      <x:c r="E68" s="21"/>
      <x:c r="F68" s="21"/>
      <x:c r="G68" s="102"/>
      <x:c r="H68" s="102"/>
      <x:c r="I68" s="102"/>
      <x:c r="J68" s="100"/>
      <x:c r="K68" s="7" t="str">
        <x:f>IF($B68="","",IF($C68="Initiative",IF(COUNTIFS($B$69:$B$204,$B68,$C$69:$C$204,"Activity")+COUNTIFS($B$69:$B$204,$B68,$C$69:$C$204,"Variation")=0,"",IF(COUNTIFS($B$69:$B$204,$B68,$C$69:$C$204,"Activity")+COUNTIFS($B$69:$B$204,$B68,$C$69:$C$204,"Variation")&lt;&gt;COUNTIFS($B$69:$B$204,$B68,$C$69:$C$204,"Activity",$G$69:$G$204,"&lt;&gt;",$H$69:$H$204,"&lt;&gt;")+COUNTIFS($B$69:$B$204,$B68,$C$69:$C$204,"Variation",$G$69:$G$204,"&lt;&gt;",$H$69:$H$204,"&lt;&gt;"),"",(SUMIFS($K$69:$K$204,$B$69:$B$204,$B68,$C$69:$C$204,"Activity")+SUMIFS($K$69:$K$204,$B$69:$B$204,$B68,$C$69:$C$204,"Variation"))/(COUNTIFS($B$69:$B$204,$B68,$C$69:$C$204,"Activity")+COUNTIFS($B$69:$B$204,$B68,$C$69:$C$204,"Variation")))),IF($C68="Milestone",IF(COUNTIFS($D$69:$D$204,$A68,$C$69:$C$204,"Activity")+COUNTIFS($D$69:$D$204,$A68,$C$69:$C$204,"Variation")=0,"",IF(COUNTIFS($D$69:$D$204,$A68,$C$69:$C$204,"Activity")+COUNTIFS($D$69:$D$204,$A68,$C$69:$C$204,"Variation")&lt;&gt;COUNTIFS($D$69:$D$204,$A68,$C$69:$C$204,"Activity",$G$69:$G$204,"&lt;&gt;",$H$69:$H$204,"&lt;&gt;")+COUNTIFS($D$69:$D$204,$A68,$C$69:$C$204,"Variation",$G$69:$G$204,"&lt;&gt;",$H$69:$H$204,"&lt;&gt;"),"",(SUMIFS($K$69:$K$204,$D$69:$D$204,$A68,$C$69:$C$204,"Activity")+SUMIFS($K$69:$K$204,$D$69:$D$204,$A68,$C$69:$C$204,"Variation"))/(COUNTIFS($D$69:$D$204,$A68,$C$69:$C$204,"Activity")+COUNTIFS($D$69:$D$204,$A68,$C$69:$C$204,"Variation")))),IF(OR($C68="Activity",$C68="Variation"),IF(OR($G68="",$H68=""),"",IF($H68&lt;$G68,"",IF($H68=$G68,--(TODAY()&gt;=$H68),MAX(0,MIN(1,(TODAY()-$G68)/($H68-$G68)))))),""))))</x:f>
      </x:c>
      <x:c r="L68" s="7" t="str">
        <x:f t="shared" si="0">IF($B68="","",IF($C68="Initiative",IF(COUNTIFS($B$5:$B$204,$B68,$C$5:$C$204,"Activity")+COUNTIFS($B$5:$B$204,$B68,$C$5:$C$204,"Variation")=0,"",IF(COUNTIFS($B$5:$B$204,$B68,$C$5:$C$204,"Activity")+COUNTIFS($B$5:$B$204,$B68,$C$5:$C$204,"Variation")&lt;&gt;COUNTIFS($B$5:$B$204,$B68,$C$5:$C$204,"Activity",$J$5:$J$204,"&lt;&gt;",$J$5:$J$204,"&gt;=0",$J$5:$J$204,"&lt;=1")+COUNTIFS($B$5:$B$204,$B68,$C$5:$C$204,"Variation",$J$5:$J$204,"&lt;&gt;",$J$5:$J$204,"&gt;=0",$J$5:$J$204,"&lt;=1"),"",(SUMIFS($J$5:$J$204,$B$5:$B$204,$B68,$C$5:$C$204,"Activity")+SUMIFS($J$5:$J$204,$B$5:$B$204,$B68,$C$5:$C$204,"Variation"))/(COUNTIFS($B$5:$B$204,$B68,$C$5:$C$204,"Activity")+COUNTIFS($B$5:$B$204,$B68,$C$5:$C$204,"Variation")))),IF($C68="Milestone",IF(COUNTIFS($D$5:$D$204,$A68,$C$5:$C$204,"Activity")+COUNTIFS($D$5:$D$204,$A68,$C$5:$C$204,"Variation")=0,"",IF(COUNTIFS($D$5:$D$204,$A68,$C$5:$C$204,"Activity")+COUNTIFS($D$5:$D$204,$A68,$C$5:$C$204,"Variation")&lt;&gt;COUNTIFS($D$5:$D$204,$A68,$C$5:$C$204,"Activity",$J$5:$J$204,"&lt;&gt;",$J$5:$J$204,"&gt;=0",$J$5:$J$204,"&lt;=1")+COUNTIFS($D$5:$D$204,$A68,$C$5:$C$204,"Variation",$J$5:$J$204,"&lt;&gt;",$J$5:$J$204,"&gt;=0",$J$5:$J$204,"&lt;=1"),"",(SUMIFS($J$5:$J$204,$D$5:$D$204,$A68,$C$5:$C$204,"Activity")+SUMIFS($J$5:$J$204,$D$5:$D$204,$A68,$C$5:$C$204,"Variation"))/(COUNTIFS($D$5:$D$204,$A68,$C$5:$C$204,"Activity")+COUNTIFS($D$5:$D$204,$A68,$C$5:$C$204,"Variation")))),IF(OR($C68="Activity",$C68="Variation"),IF(AND(ISNUMBER($J68),$J68&gt;=0,$J68&lt;=1),$J68,""),""))))</x:f>
      </x:c>
      <x:c r="M68" s="7" t="str">
        <x:f t="shared" si="1">IF(OR($K68="",$L68=""),"",$L68-$K68)</x:f>
      </x:c>
      <x:c r="N68" s="6" t="str">
        <x:f>IF(OR($B68="",$I68="",$L68=""),"",IF(AND($L68&lt;1,$I68&lt;TODAY()),"Late",IF(AND($H68&lt;&gt;"",$I68&gt;$H68),"Forecast Slip","On Plan")))</x:f>
      </x:c>
      <x:c r="O68" s="19"/>
      <x:c r="P68" s="6" t="str">
        <x:f t="shared" si="2">IF($B68="","",IF($A68="","Enter item ID",IF(COUNTIF($A$5:$A$204,$A68)&gt;1,"Duplicate item ID",IF($C68="Initiative",IF($D68&lt;&gt;"","Parent must be blank",IF(COUNTIFS($B$5:$B$204,$B68,$C$5:$C$204,"Initiative")&lt;&gt;1,"One Initiative row required",IF(COUNTIFS($D$5:$D$204,$A68,$C$5:$C$204,"Milestone")=0,"Add milestone","OK"))),IF($C68="Milestone",IF(COUNTIFS($A$5:$A$204,$D68,$B$5:$B$204,$B68,$C$5:$C$204,"Initiative")&lt;&gt;1,"Parent must be Initiative",IF(COUNTIFS($D$5:$D$204,$A68,$C$5:$C$204,"Activity")+COUNTIFS($D$5:$D$204,$A68,$C$5:$C$204,"Variation")=0,"Add activity or variation","OK")),IF(OR($C68="Activity",$C68="Variation"),IF(COUNTIFS($A$5:$A$204,$D68,$B$5:$B$204,$B68,$C$5:$C$204,"Milestone")&lt;&gt;1,"Parent must be Milestone",IF(OR($G68="",$H68=""),"Enter baseline dates",IF($H68&lt;$G68,"Baseline finish before start",IF($I68="","Enter forecast finish",IF(COUNT($J68)=0,"Enter actual %",IF(OR(NOT(ISNUMBER($J68)),$J68&lt;0,$J68&gt;1),"Actual % must be 0–100%","OK")))))),"Select level"))))))</x:f>
      </x:c>
    </x:row>
    <x:row r="69">
      <x:c r="A69" s="66" t="str" cm="1">
        <x:f t="array" ref="A69">IF(OR(B69="",C69=""),"",IF(C69="Initiative",COUNTIF($C$5:C69,"Initiative"),IF(C69="Milestone",IF(D69="","",D69&amp;"."&amp;COUNTIFS($D$5:D69,D69,$C$5:C69,"Milestone")),IF(OR(C69="Activity",C69="Variation"),IF(D69="","",D69&amp;"."&amp;(COUNTIFS($D$5:D69,D69,$C$5:C69,"Activity")+COUNTIFS($D$5:D69,D69,$C$5:C69,"Variation"))),""))))</x:f>
      </x:c>
      <x:c r="B69" s="19"/>
      <x:c r="C69" s="19"/>
      <x:c r="D69" s="20"/>
      <x:c r="E69" s="21"/>
      <x:c r="F69" s="21"/>
      <x:c r="G69" s="102"/>
      <x:c r="H69" s="102"/>
      <x:c r="I69" s="102"/>
      <x:c r="J69" s="100"/>
      <x:c r="K69" s="7" t="str">
        <x:f>IF($B69="","",IF($C69="Initiative",IF(COUNTIFS($B$70:$B$204,$B69,$C$70:$C$204,"Activity")+COUNTIFS($B$70:$B$204,$B69,$C$70:$C$204,"Variation")=0,"",IF(COUNTIFS($B$70:$B$204,$B69,$C$70:$C$204,"Activity")+COUNTIFS($B$70:$B$204,$B69,$C$70:$C$204,"Variation")&lt;&gt;COUNTIFS($B$70:$B$204,$B69,$C$70:$C$204,"Activity",$G$70:$G$204,"&lt;&gt;",$H$70:$H$204,"&lt;&gt;")+COUNTIFS($B$70:$B$204,$B69,$C$70:$C$204,"Variation",$G$70:$G$204,"&lt;&gt;",$H$70:$H$204,"&lt;&gt;"),"",(SUMIFS($K$70:$K$204,$B$70:$B$204,$B69,$C$70:$C$204,"Activity")+SUMIFS($K$70:$K$204,$B$70:$B$204,$B69,$C$70:$C$204,"Variation"))/(COUNTIFS($B$70:$B$204,$B69,$C$70:$C$204,"Activity")+COUNTIFS($B$70:$B$204,$B69,$C$70:$C$204,"Variation")))),IF($C69="Milestone",IF(COUNTIFS($D$70:$D$204,$A69,$C$70:$C$204,"Activity")+COUNTIFS($D$70:$D$204,$A69,$C$70:$C$204,"Variation")=0,"",IF(COUNTIFS($D$70:$D$204,$A69,$C$70:$C$204,"Activity")+COUNTIFS($D$70:$D$204,$A69,$C$70:$C$204,"Variation")&lt;&gt;COUNTIFS($D$70:$D$204,$A69,$C$70:$C$204,"Activity",$G$70:$G$204,"&lt;&gt;",$H$70:$H$204,"&lt;&gt;")+COUNTIFS($D$70:$D$204,$A69,$C$70:$C$204,"Variation",$G$70:$G$204,"&lt;&gt;",$H$70:$H$204,"&lt;&gt;"),"",(SUMIFS($K$70:$K$204,$D$70:$D$204,$A69,$C$70:$C$204,"Activity")+SUMIFS($K$70:$K$204,$D$70:$D$204,$A69,$C$70:$C$204,"Variation"))/(COUNTIFS($D$70:$D$204,$A69,$C$70:$C$204,"Activity")+COUNTIFS($D$70:$D$204,$A69,$C$70:$C$204,"Variation")))),IF(OR($C69="Activity",$C69="Variation"),IF(OR($G69="",$H69=""),"",IF($H69&lt;$G69,"",IF($H69=$G69,--(TODAY()&gt;=$H69),MAX(0,MIN(1,(TODAY()-$G69)/($H69-$G69)))))),""))))</x:f>
      </x:c>
      <x:c r="L69" s="7" t="str">
        <x:f t="shared" ref="L69:L132" si="3">IF($B69="","",IF($C69="Initiative",IF(COUNTIFS($B$5:$B$204,$B69,$C$5:$C$204,"Activity")+COUNTIFS($B$5:$B$204,$B69,$C$5:$C$204,"Variation")=0,"",IF(COUNTIFS($B$5:$B$204,$B69,$C$5:$C$204,"Activity")+COUNTIFS($B$5:$B$204,$B69,$C$5:$C$204,"Variation")&lt;&gt;COUNTIFS($B$5:$B$204,$B69,$C$5:$C$204,"Activity",$J$5:$J$204,"&lt;&gt;",$J$5:$J$204,"&gt;=0",$J$5:$J$204,"&lt;=1")+COUNTIFS($B$5:$B$204,$B69,$C$5:$C$204,"Variation",$J$5:$J$204,"&lt;&gt;",$J$5:$J$204,"&gt;=0",$J$5:$J$204,"&lt;=1"),"",(SUMIFS($J$5:$J$204,$B$5:$B$204,$B69,$C$5:$C$204,"Activity")+SUMIFS($J$5:$J$204,$B$5:$B$204,$B69,$C$5:$C$204,"Variation"))/(COUNTIFS($B$5:$B$204,$B69,$C$5:$C$204,"Activity")+COUNTIFS($B$5:$B$204,$B69,$C$5:$C$204,"Variation")))),IF($C69="Milestone",IF(COUNTIFS($D$5:$D$204,$A69,$C$5:$C$204,"Activity")+COUNTIFS($D$5:$D$204,$A69,$C$5:$C$204,"Variation")=0,"",IF(COUNTIFS($D$5:$D$204,$A69,$C$5:$C$204,"Activity")+COUNTIFS($D$5:$D$204,$A69,$C$5:$C$204,"Variation")&lt;&gt;COUNTIFS($D$5:$D$204,$A69,$C$5:$C$204,"Activity",$J$5:$J$204,"&lt;&gt;",$J$5:$J$204,"&gt;=0",$J$5:$J$204,"&lt;=1")+COUNTIFS($D$5:$D$204,$A69,$C$5:$C$204,"Variation",$J$5:$J$204,"&lt;&gt;",$J$5:$J$204,"&gt;=0",$J$5:$J$204,"&lt;=1"),"",(SUMIFS($J$5:$J$204,$D$5:$D$204,$A69,$C$5:$C$204,"Activity")+SUMIFS($J$5:$J$204,$D$5:$D$204,$A69,$C$5:$C$204,"Variation"))/(COUNTIFS($D$5:$D$204,$A69,$C$5:$C$204,"Activity")+COUNTIFS($D$5:$D$204,$A69,$C$5:$C$204,"Variation")))),IF(OR($C69="Activity",$C69="Variation"),IF(AND(ISNUMBER($J69),$J69&gt;=0,$J69&lt;=1),$J69,""),""))))</x:f>
      </x:c>
      <x:c r="M69" s="7" t="str">
        <x:f t="shared" si="1">IF(OR($K69="",$L69=""),"",$L69-$K69)</x:f>
      </x:c>
      <x:c r="N69" s="6" t="str">
        <x:f>IF(OR($B69="",$I69="",$L69=""),"",IF(AND($L69&lt;1,$I69&lt;TODAY()),"Late",IF(AND($H69&lt;&gt;"",$I69&gt;$H69),"Forecast Slip","On Plan")))</x:f>
      </x:c>
      <x:c r="O69" s="19"/>
      <x:c r="P69" s="6" t="str">
        <x:f t="shared" si="2">IF($B69="","",IF($A69="","Enter item ID",IF(COUNTIF($A$5:$A$204,$A69)&gt;1,"Duplicate item ID",IF($C69="Initiative",IF($D69&lt;&gt;"","Parent must be blank",IF(COUNTIFS($B$5:$B$204,$B69,$C$5:$C$204,"Initiative")&lt;&gt;1,"One Initiative row required",IF(COUNTIFS($D$5:$D$204,$A69,$C$5:$C$204,"Milestone")=0,"Add milestone","OK"))),IF($C69="Milestone",IF(COUNTIFS($A$5:$A$204,$D69,$B$5:$B$204,$B69,$C$5:$C$204,"Initiative")&lt;&gt;1,"Parent must be Initiative",IF(COUNTIFS($D$5:$D$204,$A69,$C$5:$C$204,"Activity")+COUNTIFS($D$5:$D$204,$A69,$C$5:$C$204,"Variation")=0,"Add activity or variation","OK")),IF(OR($C69="Activity",$C69="Variation"),IF(COUNTIFS($A$5:$A$204,$D69,$B$5:$B$204,$B69,$C$5:$C$204,"Milestone")&lt;&gt;1,"Parent must be Milestone",IF(OR($G69="",$H69=""),"Enter baseline dates",IF($H69&lt;$G69,"Baseline finish before start",IF($I69="","Enter forecast finish",IF(COUNT($J69)=0,"Enter actual %",IF(OR(NOT(ISNUMBER($J69)),$J69&lt;0,$J69&gt;1),"Actual % must be 0–100%","OK")))))),"Select level"))))))</x:f>
      </x:c>
    </x:row>
    <x:row r="70">
      <x:c r="A70" s="66" t="str" cm="1">
        <x:f t="array" ref="A70">IF(OR(B70="",C70=""),"",IF(C70="Initiative",COUNTIF($C$5:C70,"Initiative"),IF(C70="Milestone",IF(D70="","",D70&amp;"."&amp;COUNTIFS($D$5:D70,D70,$C$5:C70,"Milestone")),IF(OR(C70="Activity",C70="Variation"),IF(D70="","",D70&amp;"."&amp;(COUNTIFS($D$5:D70,D70,$C$5:C70,"Activity")+COUNTIFS($D$5:D70,D70,$C$5:C70,"Variation"))),""))))</x:f>
      </x:c>
      <x:c r="B70" s="19"/>
      <x:c r="C70" s="19"/>
      <x:c r="D70" s="20"/>
      <x:c r="E70" s="21"/>
      <x:c r="F70" s="21"/>
      <x:c r="G70" s="102"/>
      <x:c r="H70" s="102"/>
      <x:c r="I70" s="102"/>
      <x:c r="J70" s="100"/>
      <x:c r="K70" s="7" t="str">
        <x:f>IF($B70="","",IF($C70="Initiative",IF(COUNTIFS($B$71:$B$204,$B70,$C$71:$C$204,"Activity")+COUNTIFS($B$71:$B$204,$B70,$C$71:$C$204,"Variation")=0,"",IF(COUNTIFS($B$71:$B$204,$B70,$C$71:$C$204,"Activity")+COUNTIFS($B$71:$B$204,$B70,$C$71:$C$204,"Variation")&lt;&gt;COUNTIFS($B$71:$B$204,$B70,$C$71:$C$204,"Activity",$G$71:$G$204,"&lt;&gt;",$H$71:$H$204,"&lt;&gt;")+COUNTIFS($B$71:$B$204,$B70,$C$71:$C$204,"Variation",$G$71:$G$204,"&lt;&gt;",$H$71:$H$204,"&lt;&gt;"),"",(SUMIFS($K$71:$K$204,$B$71:$B$204,$B70,$C$71:$C$204,"Activity")+SUMIFS($K$71:$K$204,$B$71:$B$204,$B70,$C$71:$C$204,"Variation"))/(COUNTIFS($B$71:$B$204,$B70,$C$71:$C$204,"Activity")+COUNTIFS($B$71:$B$204,$B70,$C$71:$C$204,"Variation")))),IF($C70="Milestone",IF(COUNTIFS($D$71:$D$204,$A70,$C$71:$C$204,"Activity")+COUNTIFS($D$71:$D$204,$A70,$C$71:$C$204,"Variation")=0,"",IF(COUNTIFS($D$71:$D$204,$A70,$C$71:$C$204,"Activity")+COUNTIFS($D$71:$D$204,$A70,$C$71:$C$204,"Variation")&lt;&gt;COUNTIFS($D$71:$D$204,$A70,$C$71:$C$204,"Activity",$G$71:$G$204,"&lt;&gt;",$H$71:$H$204,"&lt;&gt;")+COUNTIFS($D$71:$D$204,$A70,$C$71:$C$204,"Variation",$G$71:$G$204,"&lt;&gt;",$H$71:$H$204,"&lt;&gt;"),"",(SUMIFS($K$71:$K$204,$D$71:$D$204,$A70,$C$71:$C$204,"Activity")+SUMIFS($K$71:$K$204,$D$71:$D$204,$A70,$C$71:$C$204,"Variation"))/(COUNTIFS($D$71:$D$204,$A70,$C$71:$C$204,"Activity")+COUNTIFS($D$71:$D$204,$A70,$C$71:$C$204,"Variation")))),IF(OR($C70="Activity",$C70="Variation"),IF(OR($G70="",$H70=""),"",IF($H70&lt;$G70,"",IF($H70=$G70,--(TODAY()&gt;=$H70),MAX(0,MIN(1,(TODAY()-$G70)/($H70-$G70)))))),""))))</x:f>
      </x:c>
      <x:c r="L70" s="7" t="str">
        <x:f t="shared" si="3">IF($B70="","",IF($C70="Initiative",IF(COUNTIFS($B$5:$B$204,$B70,$C$5:$C$204,"Activity")+COUNTIFS($B$5:$B$204,$B70,$C$5:$C$204,"Variation")=0,"",IF(COUNTIFS($B$5:$B$204,$B70,$C$5:$C$204,"Activity")+COUNTIFS($B$5:$B$204,$B70,$C$5:$C$204,"Variation")&lt;&gt;COUNTIFS($B$5:$B$204,$B70,$C$5:$C$204,"Activity",$J$5:$J$204,"&lt;&gt;",$J$5:$J$204,"&gt;=0",$J$5:$J$204,"&lt;=1")+COUNTIFS($B$5:$B$204,$B70,$C$5:$C$204,"Variation",$J$5:$J$204,"&lt;&gt;",$J$5:$J$204,"&gt;=0",$J$5:$J$204,"&lt;=1"),"",(SUMIFS($J$5:$J$204,$B$5:$B$204,$B70,$C$5:$C$204,"Activity")+SUMIFS($J$5:$J$204,$B$5:$B$204,$B70,$C$5:$C$204,"Variation"))/(COUNTIFS($B$5:$B$204,$B70,$C$5:$C$204,"Activity")+COUNTIFS($B$5:$B$204,$B70,$C$5:$C$204,"Variation")))),IF($C70="Milestone",IF(COUNTIFS($D$5:$D$204,$A70,$C$5:$C$204,"Activity")+COUNTIFS($D$5:$D$204,$A70,$C$5:$C$204,"Variation")=0,"",IF(COUNTIFS($D$5:$D$204,$A70,$C$5:$C$204,"Activity")+COUNTIFS($D$5:$D$204,$A70,$C$5:$C$204,"Variation")&lt;&gt;COUNTIFS($D$5:$D$204,$A70,$C$5:$C$204,"Activity",$J$5:$J$204,"&lt;&gt;",$J$5:$J$204,"&gt;=0",$J$5:$J$204,"&lt;=1")+COUNTIFS($D$5:$D$204,$A70,$C$5:$C$204,"Variation",$J$5:$J$204,"&lt;&gt;",$J$5:$J$204,"&gt;=0",$J$5:$J$204,"&lt;=1"),"",(SUMIFS($J$5:$J$204,$D$5:$D$204,$A70,$C$5:$C$204,"Activity")+SUMIFS($J$5:$J$204,$D$5:$D$204,$A70,$C$5:$C$204,"Variation"))/(COUNTIFS($D$5:$D$204,$A70,$C$5:$C$204,"Activity")+COUNTIFS($D$5:$D$204,$A70,$C$5:$C$204,"Variation")))),IF(OR($C70="Activity",$C70="Variation"),IF(AND(ISNUMBER($J70),$J70&gt;=0,$J70&lt;=1),$J70,""),""))))</x:f>
      </x:c>
      <x:c r="M70" s="7" t="str">
        <x:f t="shared" ref="M70:M133" si="4">IF(OR($K70="",$L70=""),"",$L70-$K70)</x:f>
      </x:c>
      <x:c r="N70" s="6" t="str">
        <x:f>IF(OR($B70="",$I70="",$L70=""),"",IF(AND($L70&lt;1,$I70&lt;TODAY()),"Late",IF(AND($H70&lt;&gt;"",$I70&gt;$H70),"Forecast Slip","On Plan")))</x:f>
      </x:c>
      <x:c r="O70" s="19"/>
      <x:c r="P70" s="6" t="str">
        <x:f t="shared" ref="P70:P133" si="5">IF($B70="","",IF($A70="","Enter item ID",IF(COUNTIF($A$5:$A$204,$A70)&gt;1,"Duplicate item ID",IF($C70="Initiative",IF($D70&lt;&gt;"","Parent must be blank",IF(COUNTIFS($B$5:$B$204,$B70,$C$5:$C$204,"Initiative")&lt;&gt;1,"One Initiative row required",IF(COUNTIFS($D$5:$D$204,$A70,$C$5:$C$204,"Milestone")=0,"Add milestone","OK"))),IF($C70="Milestone",IF(COUNTIFS($A$5:$A$204,$D70,$B$5:$B$204,$B70,$C$5:$C$204,"Initiative")&lt;&gt;1,"Parent must be Initiative",IF(COUNTIFS($D$5:$D$204,$A70,$C$5:$C$204,"Activity")+COUNTIFS($D$5:$D$204,$A70,$C$5:$C$204,"Variation")=0,"Add activity or variation","OK")),IF(OR($C70="Activity",$C70="Variation"),IF(COUNTIFS($A$5:$A$204,$D70,$B$5:$B$204,$B70,$C$5:$C$204,"Milestone")&lt;&gt;1,"Parent must be Milestone",IF(OR($G70="",$H70=""),"Enter baseline dates",IF($H70&lt;$G70,"Baseline finish before start",IF($I70="","Enter forecast finish",IF(COUNT($J70)=0,"Enter actual %",IF(OR(NOT(ISNUMBER($J70)),$J70&lt;0,$J70&gt;1),"Actual % must be 0–100%","OK")))))),"Select level"))))))</x:f>
      </x:c>
    </x:row>
    <x:row r="71">
      <x:c r="A71" s="66" t="str" cm="1">
        <x:f t="array" ref="A71">IF(OR(B71="",C71=""),"",IF(C71="Initiative",COUNTIF($C$5:C71,"Initiative"),IF(C71="Milestone",IF(D71="","",D71&amp;"."&amp;COUNTIFS($D$5:D71,D71,$C$5:C71,"Milestone")),IF(OR(C71="Activity",C71="Variation"),IF(D71="","",D71&amp;"."&amp;(COUNTIFS($D$5:D71,D71,$C$5:C71,"Activity")+COUNTIFS($D$5:D71,D71,$C$5:C71,"Variation"))),""))))</x:f>
      </x:c>
      <x:c r="B71" s="19"/>
      <x:c r="C71" s="19"/>
      <x:c r="D71" s="20"/>
      <x:c r="E71" s="21"/>
      <x:c r="F71" s="21"/>
      <x:c r="G71" s="102"/>
      <x:c r="H71" s="102"/>
      <x:c r="I71" s="102"/>
      <x:c r="J71" s="100"/>
      <x:c r="K71" s="7" t="str">
        <x:f>IF($B71="","",IF($C71="Initiative",IF(COUNTIFS($B$72:$B$204,$B71,$C$72:$C$204,"Activity")+COUNTIFS($B$72:$B$204,$B71,$C$72:$C$204,"Variation")=0,"",IF(COUNTIFS($B$72:$B$204,$B71,$C$72:$C$204,"Activity")+COUNTIFS($B$72:$B$204,$B71,$C$72:$C$204,"Variation")&lt;&gt;COUNTIFS($B$72:$B$204,$B71,$C$72:$C$204,"Activity",$G$72:$G$204,"&lt;&gt;",$H$72:$H$204,"&lt;&gt;")+COUNTIFS($B$72:$B$204,$B71,$C$72:$C$204,"Variation",$G$72:$G$204,"&lt;&gt;",$H$72:$H$204,"&lt;&gt;"),"",(SUMIFS($K$72:$K$204,$B$72:$B$204,$B71,$C$72:$C$204,"Activity")+SUMIFS($K$72:$K$204,$B$72:$B$204,$B71,$C$72:$C$204,"Variation"))/(COUNTIFS($B$72:$B$204,$B71,$C$72:$C$204,"Activity")+COUNTIFS($B$72:$B$204,$B71,$C$72:$C$204,"Variation")))),IF($C71="Milestone",IF(COUNTIFS($D$72:$D$204,$A71,$C$72:$C$204,"Activity")+COUNTIFS($D$72:$D$204,$A71,$C$72:$C$204,"Variation")=0,"",IF(COUNTIFS($D$72:$D$204,$A71,$C$72:$C$204,"Activity")+COUNTIFS($D$72:$D$204,$A71,$C$72:$C$204,"Variation")&lt;&gt;COUNTIFS($D$72:$D$204,$A71,$C$72:$C$204,"Activity",$G$72:$G$204,"&lt;&gt;",$H$72:$H$204,"&lt;&gt;")+COUNTIFS($D$72:$D$204,$A71,$C$72:$C$204,"Variation",$G$72:$G$204,"&lt;&gt;",$H$72:$H$204,"&lt;&gt;"),"",(SUMIFS($K$72:$K$204,$D$72:$D$204,$A71,$C$72:$C$204,"Activity")+SUMIFS($K$72:$K$204,$D$72:$D$204,$A71,$C$72:$C$204,"Variation"))/(COUNTIFS($D$72:$D$204,$A71,$C$72:$C$204,"Activity")+COUNTIFS($D$72:$D$204,$A71,$C$72:$C$204,"Variation")))),IF(OR($C71="Activity",$C71="Variation"),IF(OR($G71="",$H71=""),"",IF($H71&lt;$G71,"",IF($H71=$G71,--(TODAY()&gt;=$H71),MAX(0,MIN(1,(TODAY()-$G71)/($H71-$G71)))))),""))))</x:f>
      </x:c>
      <x:c r="L71" s="7" t="str">
        <x:f t="shared" si="3">IF($B71="","",IF($C71="Initiative",IF(COUNTIFS($B$5:$B$204,$B71,$C$5:$C$204,"Activity")+COUNTIFS($B$5:$B$204,$B71,$C$5:$C$204,"Variation")=0,"",IF(COUNTIFS($B$5:$B$204,$B71,$C$5:$C$204,"Activity")+COUNTIFS($B$5:$B$204,$B71,$C$5:$C$204,"Variation")&lt;&gt;COUNTIFS($B$5:$B$204,$B71,$C$5:$C$204,"Activity",$J$5:$J$204,"&lt;&gt;",$J$5:$J$204,"&gt;=0",$J$5:$J$204,"&lt;=1")+COUNTIFS($B$5:$B$204,$B71,$C$5:$C$204,"Variation",$J$5:$J$204,"&lt;&gt;",$J$5:$J$204,"&gt;=0",$J$5:$J$204,"&lt;=1"),"",(SUMIFS($J$5:$J$204,$B$5:$B$204,$B71,$C$5:$C$204,"Activity")+SUMIFS($J$5:$J$204,$B$5:$B$204,$B71,$C$5:$C$204,"Variation"))/(COUNTIFS($B$5:$B$204,$B71,$C$5:$C$204,"Activity")+COUNTIFS($B$5:$B$204,$B71,$C$5:$C$204,"Variation")))),IF($C71="Milestone",IF(COUNTIFS($D$5:$D$204,$A71,$C$5:$C$204,"Activity")+COUNTIFS($D$5:$D$204,$A71,$C$5:$C$204,"Variation")=0,"",IF(COUNTIFS($D$5:$D$204,$A71,$C$5:$C$204,"Activity")+COUNTIFS($D$5:$D$204,$A71,$C$5:$C$204,"Variation")&lt;&gt;COUNTIFS($D$5:$D$204,$A71,$C$5:$C$204,"Activity",$J$5:$J$204,"&lt;&gt;",$J$5:$J$204,"&gt;=0",$J$5:$J$204,"&lt;=1")+COUNTIFS($D$5:$D$204,$A71,$C$5:$C$204,"Variation",$J$5:$J$204,"&lt;&gt;",$J$5:$J$204,"&gt;=0",$J$5:$J$204,"&lt;=1"),"",(SUMIFS($J$5:$J$204,$D$5:$D$204,$A71,$C$5:$C$204,"Activity")+SUMIFS($J$5:$J$204,$D$5:$D$204,$A71,$C$5:$C$204,"Variation"))/(COUNTIFS($D$5:$D$204,$A71,$C$5:$C$204,"Activity")+COUNTIFS($D$5:$D$204,$A71,$C$5:$C$204,"Variation")))),IF(OR($C71="Activity",$C71="Variation"),IF(AND(ISNUMBER($J71),$J71&gt;=0,$J71&lt;=1),$J71,""),""))))</x:f>
      </x:c>
      <x:c r="M71" s="7" t="str">
        <x:f t="shared" si="4">IF(OR($K71="",$L71=""),"",$L71-$K71)</x:f>
      </x:c>
      <x:c r="N71" s="6" t="str">
        <x:f>IF(OR($B71="",$I71="",$L71=""),"",IF(AND($L71&lt;1,$I71&lt;TODAY()),"Late",IF(AND($H71&lt;&gt;"",$I71&gt;$H71),"Forecast Slip","On Plan")))</x:f>
      </x:c>
      <x:c r="O71" s="19"/>
      <x:c r="P71" s="6" t="str">
        <x:f t="shared" si="5">IF($B71="","",IF($A71="","Enter item ID",IF(COUNTIF($A$5:$A$204,$A71)&gt;1,"Duplicate item ID",IF($C71="Initiative",IF($D71&lt;&gt;"","Parent must be blank",IF(COUNTIFS($B$5:$B$204,$B71,$C$5:$C$204,"Initiative")&lt;&gt;1,"One Initiative row required",IF(COUNTIFS($D$5:$D$204,$A71,$C$5:$C$204,"Milestone")=0,"Add milestone","OK"))),IF($C71="Milestone",IF(COUNTIFS($A$5:$A$204,$D71,$B$5:$B$204,$B71,$C$5:$C$204,"Initiative")&lt;&gt;1,"Parent must be Initiative",IF(COUNTIFS($D$5:$D$204,$A71,$C$5:$C$204,"Activity")+COUNTIFS($D$5:$D$204,$A71,$C$5:$C$204,"Variation")=0,"Add activity or variation","OK")),IF(OR($C71="Activity",$C71="Variation"),IF(COUNTIFS($A$5:$A$204,$D71,$B$5:$B$204,$B71,$C$5:$C$204,"Milestone")&lt;&gt;1,"Parent must be Milestone",IF(OR($G71="",$H71=""),"Enter baseline dates",IF($H71&lt;$G71,"Baseline finish before start",IF($I71="","Enter forecast finish",IF(COUNT($J71)=0,"Enter actual %",IF(OR(NOT(ISNUMBER($J71)),$J71&lt;0,$J71&gt;1),"Actual % must be 0–100%","OK")))))),"Select level"))))))</x:f>
      </x:c>
    </x:row>
    <x:row r="72">
      <x:c r="A72" s="66" t="str" cm="1">
        <x:f t="array" ref="A72">IF(OR(B72="",C72=""),"",IF(C72="Initiative",COUNTIF($C$5:C72,"Initiative"),IF(C72="Milestone",IF(D72="","",D72&amp;"."&amp;COUNTIFS($D$5:D72,D72,$C$5:C72,"Milestone")),IF(OR(C72="Activity",C72="Variation"),IF(D72="","",D72&amp;"."&amp;(COUNTIFS($D$5:D72,D72,$C$5:C72,"Activity")+COUNTIFS($D$5:D72,D72,$C$5:C72,"Variation"))),""))))</x:f>
      </x:c>
      <x:c r="B72" s="19"/>
      <x:c r="C72" s="19"/>
      <x:c r="D72" s="20"/>
      <x:c r="E72" s="21"/>
      <x:c r="F72" s="21"/>
      <x:c r="G72" s="102"/>
      <x:c r="H72" s="102"/>
      <x:c r="I72" s="102"/>
      <x:c r="J72" s="100"/>
      <x:c r="K72" s="7" t="str">
        <x:f>IF($B72="","",IF($C72="Initiative",IF(COUNTIFS($B$73:$B$204,$B72,$C$73:$C$204,"Activity")+COUNTIFS($B$73:$B$204,$B72,$C$73:$C$204,"Variation")=0,"",IF(COUNTIFS($B$73:$B$204,$B72,$C$73:$C$204,"Activity")+COUNTIFS($B$73:$B$204,$B72,$C$73:$C$204,"Variation")&lt;&gt;COUNTIFS($B$73:$B$204,$B72,$C$73:$C$204,"Activity",$G$73:$G$204,"&lt;&gt;",$H$73:$H$204,"&lt;&gt;")+COUNTIFS($B$73:$B$204,$B72,$C$73:$C$204,"Variation",$G$73:$G$204,"&lt;&gt;",$H$73:$H$204,"&lt;&gt;"),"",(SUMIFS($K$73:$K$204,$B$73:$B$204,$B72,$C$73:$C$204,"Activity")+SUMIFS($K$73:$K$204,$B$73:$B$204,$B72,$C$73:$C$204,"Variation"))/(COUNTIFS($B$73:$B$204,$B72,$C$73:$C$204,"Activity")+COUNTIFS($B$73:$B$204,$B72,$C$73:$C$204,"Variation")))),IF($C72="Milestone",IF(COUNTIFS($D$73:$D$204,$A72,$C$73:$C$204,"Activity")+COUNTIFS($D$73:$D$204,$A72,$C$73:$C$204,"Variation")=0,"",IF(COUNTIFS($D$73:$D$204,$A72,$C$73:$C$204,"Activity")+COUNTIFS($D$73:$D$204,$A72,$C$73:$C$204,"Variation")&lt;&gt;COUNTIFS($D$73:$D$204,$A72,$C$73:$C$204,"Activity",$G$73:$G$204,"&lt;&gt;",$H$73:$H$204,"&lt;&gt;")+COUNTIFS($D$73:$D$204,$A72,$C$73:$C$204,"Variation",$G$73:$G$204,"&lt;&gt;",$H$73:$H$204,"&lt;&gt;"),"",(SUMIFS($K$73:$K$204,$D$73:$D$204,$A72,$C$73:$C$204,"Activity")+SUMIFS($K$73:$K$204,$D$73:$D$204,$A72,$C$73:$C$204,"Variation"))/(COUNTIFS($D$73:$D$204,$A72,$C$73:$C$204,"Activity")+COUNTIFS($D$73:$D$204,$A72,$C$73:$C$204,"Variation")))),IF(OR($C72="Activity",$C72="Variation"),IF(OR($G72="",$H72=""),"",IF($H72&lt;$G72,"",IF($H72=$G72,--(TODAY()&gt;=$H72),MAX(0,MIN(1,(TODAY()-$G72)/($H72-$G72)))))),""))))</x:f>
      </x:c>
      <x:c r="L72" s="7" t="str">
        <x:f t="shared" si="3">IF($B72="","",IF($C72="Initiative",IF(COUNTIFS($B$5:$B$204,$B72,$C$5:$C$204,"Activity")+COUNTIFS($B$5:$B$204,$B72,$C$5:$C$204,"Variation")=0,"",IF(COUNTIFS($B$5:$B$204,$B72,$C$5:$C$204,"Activity")+COUNTIFS($B$5:$B$204,$B72,$C$5:$C$204,"Variation")&lt;&gt;COUNTIFS($B$5:$B$204,$B72,$C$5:$C$204,"Activity",$J$5:$J$204,"&lt;&gt;",$J$5:$J$204,"&gt;=0",$J$5:$J$204,"&lt;=1")+COUNTIFS($B$5:$B$204,$B72,$C$5:$C$204,"Variation",$J$5:$J$204,"&lt;&gt;",$J$5:$J$204,"&gt;=0",$J$5:$J$204,"&lt;=1"),"",(SUMIFS($J$5:$J$204,$B$5:$B$204,$B72,$C$5:$C$204,"Activity")+SUMIFS($J$5:$J$204,$B$5:$B$204,$B72,$C$5:$C$204,"Variation"))/(COUNTIFS($B$5:$B$204,$B72,$C$5:$C$204,"Activity")+COUNTIFS($B$5:$B$204,$B72,$C$5:$C$204,"Variation")))),IF($C72="Milestone",IF(COUNTIFS($D$5:$D$204,$A72,$C$5:$C$204,"Activity")+COUNTIFS($D$5:$D$204,$A72,$C$5:$C$204,"Variation")=0,"",IF(COUNTIFS($D$5:$D$204,$A72,$C$5:$C$204,"Activity")+COUNTIFS($D$5:$D$204,$A72,$C$5:$C$204,"Variation")&lt;&gt;COUNTIFS($D$5:$D$204,$A72,$C$5:$C$204,"Activity",$J$5:$J$204,"&lt;&gt;",$J$5:$J$204,"&gt;=0",$J$5:$J$204,"&lt;=1")+COUNTIFS($D$5:$D$204,$A72,$C$5:$C$204,"Variation",$J$5:$J$204,"&lt;&gt;",$J$5:$J$204,"&gt;=0",$J$5:$J$204,"&lt;=1"),"",(SUMIFS($J$5:$J$204,$D$5:$D$204,$A72,$C$5:$C$204,"Activity")+SUMIFS($J$5:$J$204,$D$5:$D$204,$A72,$C$5:$C$204,"Variation"))/(COUNTIFS($D$5:$D$204,$A72,$C$5:$C$204,"Activity")+COUNTIFS($D$5:$D$204,$A72,$C$5:$C$204,"Variation")))),IF(OR($C72="Activity",$C72="Variation"),IF(AND(ISNUMBER($J72),$J72&gt;=0,$J72&lt;=1),$J72,""),""))))</x:f>
      </x:c>
      <x:c r="M72" s="7" t="str">
        <x:f t="shared" si="4">IF(OR($K72="",$L72=""),"",$L72-$K72)</x:f>
      </x:c>
      <x:c r="N72" s="6" t="str">
        <x:f>IF(OR($B72="",$I72="",$L72=""),"",IF(AND($L72&lt;1,$I72&lt;TODAY()),"Late",IF(AND($H72&lt;&gt;"",$I72&gt;$H72),"Forecast Slip","On Plan")))</x:f>
      </x:c>
      <x:c r="O72" s="19"/>
      <x:c r="P72" s="6" t="str">
        <x:f t="shared" si="5">IF($B72="","",IF($A72="","Enter item ID",IF(COUNTIF($A$5:$A$204,$A72)&gt;1,"Duplicate item ID",IF($C72="Initiative",IF($D72&lt;&gt;"","Parent must be blank",IF(COUNTIFS($B$5:$B$204,$B72,$C$5:$C$204,"Initiative")&lt;&gt;1,"One Initiative row required",IF(COUNTIFS($D$5:$D$204,$A72,$C$5:$C$204,"Milestone")=0,"Add milestone","OK"))),IF($C72="Milestone",IF(COUNTIFS($A$5:$A$204,$D72,$B$5:$B$204,$B72,$C$5:$C$204,"Initiative")&lt;&gt;1,"Parent must be Initiative",IF(COUNTIFS($D$5:$D$204,$A72,$C$5:$C$204,"Activity")+COUNTIFS($D$5:$D$204,$A72,$C$5:$C$204,"Variation")=0,"Add activity or variation","OK")),IF(OR($C72="Activity",$C72="Variation"),IF(COUNTIFS($A$5:$A$204,$D72,$B$5:$B$204,$B72,$C$5:$C$204,"Milestone")&lt;&gt;1,"Parent must be Milestone",IF(OR($G72="",$H72=""),"Enter baseline dates",IF($H72&lt;$G72,"Baseline finish before start",IF($I72="","Enter forecast finish",IF(COUNT($J72)=0,"Enter actual %",IF(OR(NOT(ISNUMBER($J72)),$J72&lt;0,$J72&gt;1),"Actual % must be 0–100%","OK")))))),"Select level"))))))</x:f>
      </x:c>
    </x:row>
    <x:row r="73">
      <x:c r="A73" s="66" t="str" cm="1">
        <x:f t="array" ref="A73">IF(OR(B73="",C73=""),"",IF(C73="Initiative",COUNTIF($C$5:C73,"Initiative"),IF(C73="Milestone",IF(D73="","",D73&amp;"."&amp;COUNTIFS($D$5:D73,D73,$C$5:C73,"Milestone")),IF(OR(C73="Activity",C73="Variation"),IF(D73="","",D73&amp;"."&amp;(COUNTIFS($D$5:D73,D73,$C$5:C73,"Activity")+COUNTIFS($D$5:D73,D73,$C$5:C73,"Variation"))),""))))</x:f>
      </x:c>
      <x:c r="B73" s="19"/>
      <x:c r="C73" s="19"/>
      <x:c r="D73" s="20"/>
      <x:c r="E73" s="21"/>
      <x:c r="F73" s="21"/>
      <x:c r="G73" s="102"/>
      <x:c r="H73" s="102"/>
      <x:c r="I73" s="102"/>
      <x:c r="J73" s="100"/>
      <x:c r="K73" s="7" t="str">
        <x:f>IF($B73="","",IF($C73="Initiative",IF(COUNTIFS($B$74:$B$204,$B73,$C$74:$C$204,"Activity")+COUNTIFS($B$74:$B$204,$B73,$C$74:$C$204,"Variation")=0,"",IF(COUNTIFS($B$74:$B$204,$B73,$C$74:$C$204,"Activity")+COUNTIFS($B$74:$B$204,$B73,$C$74:$C$204,"Variation")&lt;&gt;COUNTIFS($B$74:$B$204,$B73,$C$74:$C$204,"Activity",$G$74:$G$204,"&lt;&gt;",$H$74:$H$204,"&lt;&gt;")+COUNTIFS($B$74:$B$204,$B73,$C$74:$C$204,"Variation",$G$74:$G$204,"&lt;&gt;",$H$74:$H$204,"&lt;&gt;"),"",(SUMIFS($K$74:$K$204,$B$74:$B$204,$B73,$C$74:$C$204,"Activity")+SUMIFS($K$74:$K$204,$B$74:$B$204,$B73,$C$74:$C$204,"Variation"))/(COUNTIFS($B$74:$B$204,$B73,$C$74:$C$204,"Activity")+COUNTIFS($B$74:$B$204,$B73,$C$74:$C$204,"Variation")))),IF($C73="Milestone",IF(COUNTIFS($D$74:$D$204,$A73,$C$74:$C$204,"Activity")+COUNTIFS($D$74:$D$204,$A73,$C$74:$C$204,"Variation")=0,"",IF(COUNTIFS($D$74:$D$204,$A73,$C$74:$C$204,"Activity")+COUNTIFS($D$74:$D$204,$A73,$C$74:$C$204,"Variation")&lt;&gt;COUNTIFS($D$74:$D$204,$A73,$C$74:$C$204,"Activity",$G$74:$G$204,"&lt;&gt;",$H$74:$H$204,"&lt;&gt;")+COUNTIFS($D$74:$D$204,$A73,$C$74:$C$204,"Variation",$G$74:$G$204,"&lt;&gt;",$H$74:$H$204,"&lt;&gt;"),"",(SUMIFS($K$74:$K$204,$D$74:$D$204,$A73,$C$74:$C$204,"Activity")+SUMIFS($K$74:$K$204,$D$74:$D$204,$A73,$C$74:$C$204,"Variation"))/(COUNTIFS($D$74:$D$204,$A73,$C$74:$C$204,"Activity")+COUNTIFS($D$74:$D$204,$A73,$C$74:$C$204,"Variation")))),IF(OR($C73="Activity",$C73="Variation"),IF(OR($G73="",$H73=""),"",IF($H73&lt;$G73,"",IF($H73=$G73,--(TODAY()&gt;=$H73),MAX(0,MIN(1,(TODAY()-$G73)/($H73-$G73)))))),""))))</x:f>
      </x:c>
      <x:c r="L73" s="7" t="str">
        <x:f t="shared" si="3">IF($B73="","",IF($C73="Initiative",IF(COUNTIFS($B$5:$B$204,$B73,$C$5:$C$204,"Activity")+COUNTIFS($B$5:$B$204,$B73,$C$5:$C$204,"Variation")=0,"",IF(COUNTIFS($B$5:$B$204,$B73,$C$5:$C$204,"Activity")+COUNTIFS($B$5:$B$204,$B73,$C$5:$C$204,"Variation")&lt;&gt;COUNTIFS($B$5:$B$204,$B73,$C$5:$C$204,"Activity",$J$5:$J$204,"&lt;&gt;",$J$5:$J$204,"&gt;=0",$J$5:$J$204,"&lt;=1")+COUNTIFS($B$5:$B$204,$B73,$C$5:$C$204,"Variation",$J$5:$J$204,"&lt;&gt;",$J$5:$J$204,"&gt;=0",$J$5:$J$204,"&lt;=1"),"",(SUMIFS($J$5:$J$204,$B$5:$B$204,$B73,$C$5:$C$204,"Activity")+SUMIFS($J$5:$J$204,$B$5:$B$204,$B73,$C$5:$C$204,"Variation"))/(COUNTIFS($B$5:$B$204,$B73,$C$5:$C$204,"Activity")+COUNTIFS($B$5:$B$204,$B73,$C$5:$C$204,"Variation")))),IF($C73="Milestone",IF(COUNTIFS($D$5:$D$204,$A73,$C$5:$C$204,"Activity")+COUNTIFS($D$5:$D$204,$A73,$C$5:$C$204,"Variation")=0,"",IF(COUNTIFS($D$5:$D$204,$A73,$C$5:$C$204,"Activity")+COUNTIFS($D$5:$D$204,$A73,$C$5:$C$204,"Variation")&lt;&gt;COUNTIFS($D$5:$D$204,$A73,$C$5:$C$204,"Activity",$J$5:$J$204,"&lt;&gt;",$J$5:$J$204,"&gt;=0",$J$5:$J$204,"&lt;=1")+COUNTIFS($D$5:$D$204,$A73,$C$5:$C$204,"Variation",$J$5:$J$204,"&lt;&gt;",$J$5:$J$204,"&gt;=0",$J$5:$J$204,"&lt;=1"),"",(SUMIFS($J$5:$J$204,$D$5:$D$204,$A73,$C$5:$C$204,"Activity")+SUMIFS($J$5:$J$204,$D$5:$D$204,$A73,$C$5:$C$204,"Variation"))/(COUNTIFS($D$5:$D$204,$A73,$C$5:$C$204,"Activity")+COUNTIFS($D$5:$D$204,$A73,$C$5:$C$204,"Variation")))),IF(OR($C73="Activity",$C73="Variation"),IF(AND(ISNUMBER($J73),$J73&gt;=0,$J73&lt;=1),$J73,""),""))))</x:f>
      </x:c>
      <x:c r="M73" s="7" t="str">
        <x:f t="shared" si="4">IF(OR($K73="",$L73=""),"",$L73-$K73)</x:f>
      </x:c>
      <x:c r="N73" s="6" t="str">
        <x:f>IF(OR($B73="",$I73="",$L73=""),"",IF(AND($L73&lt;1,$I73&lt;TODAY()),"Late",IF(AND($H73&lt;&gt;"",$I73&gt;$H73),"Forecast Slip","On Plan")))</x:f>
      </x:c>
      <x:c r="O73" s="19"/>
      <x:c r="P73" s="6" t="str">
        <x:f t="shared" si="5">IF($B73="","",IF($A73="","Enter item ID",IF(COUNTIF($A$5:$A$204,$A73)&gt;1,"Duplicate item ID",IF($C73="Initiative",IF($D73&lt;&gt;"","Parent must be blank",IF(COUNTIFS($B$5:$B$204,$B73,$C$5:$C$204,"Initiative")&lt;&gt;1,"One Initiative row required",IF(COUNTIFS($D$5:$D$204,$A73,$C$5:$C$204,"Milestone")=0,"Add milestone","OK"))),IF($C73="Milestone",IF(COUNTIFS($A$5:$A$204,$D73,$B$5:$B$204,$B73,$C$5:$C$204,"Initiative")&lt;&gt;1,"Parent must be Initiative",IF(COUNTIFS($D$5:$D$204,$A73,$C$5:$C$204,"Activity")+COUNTIFS($D$5:$D$204,$A73,$C$5:$C$204,"Variation")=0,"Add activity or variation","OK")),IF(OR($C73="Activity",$C73="Variation"),IF(COUNTIFS($A$5:$A$204,$D73,$B$5:$B$204,$B73,$C$5:$C$204,"Milestone")&lt;&gt;1,"Parent must be Milestone",IF(OR($G73="",$H73=""),"Enter baseline dates",IF($H73&lt;$G73,"Baseline finish before start",IF($I73="","Enter forecast finish",IF(COUNT($J73)=0,"Enter actual %",IF(OR(NOT(ISNUMBER($J73)),$J73&lt;0,$J73&gt;1),"Actual % must be 0–100%","OK")))))),"Select level"))))))</x:f>
      </x:c>
    </x:row>
    <x:row r="74">
      <x:c r="A74" s="66" t="str" cm="1">
        <x:f t="array" ref="A74">IF(OR(B74="",C74=""),"",IF(C74="Initiative",COUNTIF($C$5:C74,"Initiative"),IF(C74="Milestone",IF(D74="","",D74&amp;"."&amp;COUNTIFS($D$5:D74,D74,$C$5:C74,"Milestone")),IF(OR(C74="Activity",C74="Variation"),IF(D74="","",D74&amp;"."&amp;(COUNTIFS($D$5:D74,D74,$C$5:C74,"Activity")+COUNTIFS($D$5:D74,D74,$C$5:C74,"Variation"))),""))))</x:f>
      </x:c>
      <x:c r="B74" s="19"/>
      <x:c r="C74" s="19"/>
      <x:c r="D74" s="20"/>
      <x:c r="E74" s="21"/>
      <x:c r="F74" s="21"/>
      <x:c r="G74" s="102"/>
      <x:c r="H74" s="102"/>
      <x:c r="I74" s="102"/>
      <x:c r="J74" s="100"/>
      <x:c r="K74" s="7" t="str">
        <x:f>IF($B74="","",IF($C74="Initiative",IF(COUNTIFS($B$75:$B$204,$B74,$C$75:$C$204,"Activity")+COUNTIFS($B$75:$B$204,$B74,$C$75:$C$204,"Variation")=0,"",IF(COUNTIFS($B$75:$B$204,$B74,$C$75:$C$204,"Activity")+COUNTIFS($B$75:$B$204,$B74,$C$75:$C$204,"Variation")&lt;&gt;COUNTIFS($B$75:$B$204,$B74,$C$75:$C$204,"Activity",$G$75:$G$204,"&lt;&gt;",$H$75:$H$204,"&lt;&gt;")+COUNTIFS($B$75:$B$204,$B74,$C$75:$C$204,"Variation",$G$75:$G$204,"&lt;&gt;",$H$75:$H$204,"&lt;&gt;"),"",(SUMIFS($K$75:$K$204,$B$75:$B$204,$B74,$C$75:$C$204,"Activity")+SUMIFS($K$75:$K$204,$B$75:$B$204,$B74,$C$75:$C$204,"Variation"))/(COUNTIFS($B$75:$B$204,$B74,$C$75:$C$204,"Activity")+COUNTIFS($B$75:$B$204,$B74,$C$75:$C$204,"Variation")))),IF($C74="Milestone",IF(COUNTIFS($D$75:$D$204,$A74,$C$75:$C$204,"Activity")+COUNTIFS($D$75:$D$204,$A74,$C$75:$C$204,"Variation")=0,"",IF(COUNTIFS($D$75:$D$204,$A74,$C$75:$C$204,"Activity")+COUNTIFS($D$75:$D$204,$A74,$C$75:$C$204,"Variation")&lt;&gt;COUNTIFS($D$75:$D$204,$A74,$C$75:$C$204,"Activity",$G$75:$G$204,"&lt;&gt;",$H$75:$H$204,"&lt;&gt;")+COUNTIFS($D$75:$D$204,$A74,$C$75:$C$204,"Variation",$G$75:$G$204,"&lt;&gt;",$H$75:$H$204,"&lt;&gt;"),"",(SUMIFS($K$75:$K$204,$D$75:$D$204,$A74,$C$75:$C$204,"Activity")+SUMIFS($K$75:$K$204,$D$75:$D$204,$A74,$C$75:$C$204,"Variation"))/(COUNTIFS($D$75:$D$204,$A74,$C$75:$C$204,"Activity")+COUNTIFS($D$75:$D$204,$A74,$C$75:$C$204,"Variation")))),IF(OR($C74="Activity",$C74="Variation"),IF(OR($G74="",$H74=""),"",IF($H74&lt;$G74,"",IF($H74=$G74,--(TODAY()&gt;=$H74),MAX(0,MIN(1,(TODAY()-$G74)/($H74-$G74)))))),""))))</x:f>
      </x:c>
      <x:c r="L74" s="7" t="str">
        <x:f t="shared" si="3">IF($B74="","",IF($C74="Initiative",IF(COUNTIFS($B$5:$B$204,$B74,$C$5:$C$204,"Activity")+COUNTIFS($B$5:$B$204,$B74,$C$5:$C$204,"Variation")=0,"",IF(COUNTIFS($B$5:$B$204,$B74,$C$5:$C$204,"Activity")+COUNTIFS($B$5:$B$204,$B74,$C$5:$C$204,"Variation")&lt;&gt;COUNTIFS($B$5:$B$204,$B74,$C$5:$C$204,"Activity",$J$5:$J$204,"&lt;&gt;",$J$5:$J$204,"&gt;=0",$J$5:$J$204,"&lt;=1")+COUNTIFS($B$5:$B$204,$B74,$C$5:$C$204,"Variation",$J$5:$J$204,"&lt;&gt;",$J$5:$J$204,"&gt;=0",$J$5:$J$204,"&lt;=1"),"",(SUMIFS($J$5:$J$204,$B$5:$B$204,$B74,$C$5:$C$204,"Activity")+SUMIFS($J$5:$J$204,$B$5:$B$204,$B74,$C$5:$C$204,"Variation"))/(COUNTIFS($B$5:$B$204,$B74,$C$5:$C$204,"Activity")+COUNTIFS($B$5:$B$204,$B74,$C$5:$C$204,"Variation")))),IF($C74="Milestone",IF(COUNTIFS($D$5:$D$204,$A74,$C$5:$C$204,"Activity")+COUNTIFS($D$5:$D$204,$A74,$C$5:$C$204,"Variation")=0,"",IF(COUNTIFS($D$5:$D$204,$A74,$C$5:$C$204,"Activity")+COUNTIFS($D$5:$D$204,$A74,$C$5:$C$204,"Variation")&lt;&gt;COUNTIFS($D$5:$D$204,$A74,$C$5:$C$204,"Activity",$J$5:$J$204,"&lt;&gt;",$J$5:$J$204,"&gt;=0",$J$5:$J$204,"&lt;=1")+COUNTIFS($D$5:$D$204,$A74,$C$5:$C$204,"Variation",$J$5:$J$204,"&lt;&gt;",$J$5:$J$204,"&gt;=0",$J$5:$J$204,"&lt;=1"),"",(SUMIFS($J$5:$J$204,$D$5:$D$204,$A74,$C$5:$C$204,"Activity")+SUMIFS($J$5:$J$204,$D$5:$D$204,$A74,$C$5:$C$204,"Variation"))/(COUNTIFS($D$5:$D$204,$A74,$C$5:$C$204,"Activity")+COUNTIFS($D$5:$D$204,$A74,$C$5:$C$204,"Variation")))),IF(OR($C74="Activity",$C74="Variation"),IF(AND(ISNUMBER($J74),$J74&gt;=0,$J74&lt;=1),$J74,""),""))))</x:f>
      </x:c>
      <x:c r="M74" s="7" t="str">
        <x:f t="shared" si="4">IF(OR($K74="",$L74=""),"",$L74-$K74)</x:f>
      </x:c>
      <x:c r="N74" s="6" t="str">
        <x:f>IF(OR($B74="",$I74="",$L74=""),"",IF(AND($L74&lt;1,$I74&lt;TODAY()),"Late",IF(AND($H74&lt;&gt;"",$I74&gt;$H74),"Forecast Slip","On Plan")))</x:f>
      </x:c>
      <x:c r="O74" s="19"/>
      <x:c r="P74" s="6" t="str">
        <x:f t="shared" si="5">IF($B74="","",IF($A74="","Enter item ID",IF(COUNTIF($A$5:$A$204,$A74)&gt;1,"Duplicate item ID",IF($C74="Initiative",IF($D74&lt;&gt;"","Parent must be blank",IF(COUNTIFS($B$5:$B$204,$B74,$C$5:$C$204,"Initiative")&lt;&gt;1,"One Initiative row required",IF(COUNTIFS($D$5:$D$204,$A74,$C$5:$C$204,"Milestone")=0,"Add milestone","OK"))),IF($C74="Milestone",IF(COUNTIFS($A$5:$A$204,$D74,$B$5:$B$204,$B74,$C$5:$C$204,"Initiative")&lt;&gt;1,"Parent must be Initiative",IF(COUNTIFS($D$5:$D$204,$A74,$C$5:$C$204,"Activity")+COUNTIFS($D$5:$D$204,$A74,$C$5:$C$204,"Variation")=0,"Add activity or variation","OK")),IF(OR($C74="Activity",$C74="Variation"),IF(COUNTIFS($A$5:$A$204,$D74,$B$5:$B$204,$B74,$C$5:$C$204,"Milestone")&lt;&gt;1,"Parent must be Milestone",IF(OR($G74="",$H74=""),"Enter baseline dates",IF($H74&lt;$G74,"Baseline finish before start",IF($I74="","Enter forecast finish",IF(COUNT($J74)=0,"Enter actual %",IF(OR(NOT(ISNUMBER($J74)),$J74&lt;0,$J74&gt;1),"Actual % must be 0–100%","OK")))))),"Select level"))))))</x:f>
      </x:c>
    </x:row>
    <x:row r="75">
      <x:c r="A75" s="66" t="str" cm="1">
        <x:f t="array" ref="A75">IF(OR(B75="",C75=""),"",IF(C75="Initiative",COUNTIF($C$5:C75,"Initiative"),IF(C75="Milestone",IF(D75="","",D75&amp;"."&amp;COUNTIFS($D$5:D75,D75,$C$5:C75,"Milestone")),IF(OR(C75="Activity",C75="Variation"),IF(D75="","",D75&amp;"."&amp;(COUNTIFS($D$5:D75,D75,$C$5:C75,"Activity")+COUNTIFS($D$5:D75,D75,$C$5:C75,"Variation"))),""))))</x:f>
      </x:c>
      <x:c r="B75" s="19"/>
      <x:c r="C75" s="19"/>
      <x:c r="D75" s="20"/>
      <x:c r="E75" s="21"/>
      <x:c r="F75" s="21"/>
      <x:c r="G75" s="102"/>
      <x:c r="H75" s="102"/>
      <x:c r="I75" s="102"/>
      <x:c r="J75" s="100"/>
      <x:c r="K75" s="7" t="str">
        <x:f>IF($B75="","",IF($C75="Initiative",IF(COUNTIFS($B$76:$B$204,$B75,$C$76:$C$204,"Activity")+COUNTIFS($B$76:$B$204,$B75,$C$76:$C$204,"Variation")=0,"",IF(COUNTIFS($B$76:$B$204,$B75,$C$76:$C$204,"Activity")+COUNTIFS($B$76:$B$204,$B75,$C$76:$C$204,"Variation")&lt;&gt;COUNTIFS($B$76:$B$204,$B75,$C$76:$C$204,"Activity",$G$76:$G$204,"&lt;&gt;",$H$76:$H$204,"&lt;&gt;")+COUNTIFS($B$76:$B$204,$B75,$C$76:$C$204,"Variation",$G$76:$G$204,"&lt;&gt;",$H$76:$H$204,"&lt;&gt;"),"",(SUMIFS($K$76:$K$204,$B$76:$B$204,$B75,$C$76:$C$204,"Activity")+SUMIFS($K$76:$K$204,$B$76:$B$204,$B75,$C$76:$C$204,"Variation"))/(COUNTIFS($B$76:$B$204,$B75,$C$76:$C$204,"Activity")+COUNTIFS($B$76:$B$204,$B75,$C$76:$C$204,"Variation")))),IF($C75="Milestone",IF(COUNTIFS($D$76:$D$204,$A75,$C$76:$C$204,"Activity")+COUNTIFS($D$76:$D$204,$A75,$C$76:$C$204,"Variation")=0,"",IF(COUNTIFS($D$76:$D$204,$A75,$C$76:$C$204,"Activity")+COUNTIFS($D$76:$D$204,$A75,$C$76:$C$204,"Variation")&lt;&gt;COUNTIFS($D$76:$D$204,$A75,$C$76:$C$204,"Activity",$G$76:$G$204,"&lt;&gt;",$H$76:$H$204,"&lt;&gt;")+COUNTIFS($D$76:$D$204,$A75,$C$76:$C$204,"Variation",$G$76:$G$204,"&lt;&gt;",$H$76:$H$204,"&lt;&gt;"),"",(SUMIFS($K$76:$K$204,$D$76:$D$204,$A75,$C$76:$C$204,"Activity")+SUMIFS($K$76:$K$204,$D$76:$D$204,$A75,$C$76:$C$204,"Variation"))/(COUNTIFS($D$76:$D$204,$A75,$C$76:$C$204,"Activity")+COUNTIFS($D$76:$D$204,$A75,$C$76:$C$204,"Variation")))),IF(OR($C75="Activity",$C75="Variation"),IF(OR($G75="",$H75=""),"",IF($H75&lt;$G75,"",IF($H75=$G75,--(TODAY()&gt;=$H75),MAX(0,MIN(1,(TODAY()-$G75)/($H75-$G75)))))),""))))</x:f>
      </x:c>
      <x:c r="L75" s="7" t="str">
        <x:f t="shared" si="3">IF($B75="","",IF($C75="Initiative",IF(COUNTIFS($B$5:$B$204,$B75,$C$5:$C$204,"Activity")+COUNTIFS($B$5:$B$204,$B75,$C$5:$C$204,"Variation")=0,"",IF(COUNTIFS($B$5:$B$204,$B75,$C$5:$C$204,"Activity")+COUNTIFS($B$5:$B$204,$B75,$C$5:$C$204,"Variation")&lt;&gt;COUNTIFS($B$5:$B$204,$B75,$C$5:$C$204,"Activity",$J$5:$J$204,"&lt;&gt;",$J$5:$J$204,"&gt;=0",$J$5:$J$204,"&lt;=1")+COUNTIFS($B$5:$B$204,$B75,$C$5:$C$204,"Variation",$J$5:$J$204,"&lt;&gt;",$J$5:$J$204,"&gt;=0",$J$5:$J$204,"&lt;=1"),"",(SUMIFS($J$5:$J$204,$B$5:$B$204,$B75,$C$5:$C$204,"Activity")+SUMIFS($J$5:$J$204,$B$5:$B$204,$B75,$C$5:$C$204,"Variation"))/(COUNTIFS($B$5:$B$204,$B75,$C$5:$C$204,"Activity")+COUNTIFS($B$5:$B$204,$B75,$C$5:$C$204,"Variation")))),IF($C75="Milestone",IF(COUNTIFS($D$5:$D$204,$A75,$C$5:$C$204,"Activity")+COUNTIFS($D$5:$D$204,$A75,$C$5:$C$204,"Variation")=0,"",IF(COUNTIFS($D$5:$D$204,$A75,$C$5:$C$204,"Activity")+COUNTIFS($D$5:$D$204,$A75,$C$5:$C$204,"Variation")&lt;&gt;COUNTIFS($D$5:$D$204,$A75,$C$5:$C$204,"Activity",$J$5:$J$204,"&lt;&gt;",$J$5:$J$204,"&gt;=0",$J$5:$J$204,"&lt;=1")+COUNTIFS($D$5:$D$204,$A75,$C$5:$C$204,"Variation",$J$5:$J$204,"&lt;&gt;",$J$5:$J$204,"&gt;=0",$J$5:$J$204,"&lt;=1"),"",(SUMIFS($J$5:$J$204,$D$5:$D$204,$A75,$C$5:$C$204,"Activity")+SUMIFS($J$5:$J$204,$D$5:$D$204,$A75,$C$5:$C$204,"Variation"))/(COUNTIFS($D$5:$D$204,$A75,$C$5:$C$204,"Activity")+COUNTIFS($D$5:$D$204,$A75,$C$5:$C$204,"Variation")))),IF(OR($C75="Activity",$C75="Variation"),IF(AND(ISNUMBER($J75),$J75&gt;=0,$J75&lt;=1),$J75,""),""))))</x:f>
      </x:c>
      <x:c r="M75" s="7" t="str">
        <x:f t="shared" si="4">IF(OR($K75="",$L75=""),"",$L75-$K75)</x:f>
      </x:c>
      <x:c r="N75" s="6" t="str">
        <x:f>IF(OR($B75="",$I75="",$L75=""),"",IF(AND($L75&lt;1,$I75&lt;TODAY()),"Late",IF(AND($H75&lt;&gt;"",$I75&gt;$H75),"Forecast Slip","On Plan")))</x:f>
      </x:c>
      <x:c r="O75" s="19"/>
      <x:c r="P75" s="6" t="str">
        <x:f t="shared" si="5">IF($B75="","",IF($A75="","Enter item ID",IF(COUNTIF($A$5:$A$204,$A75)&gt;1,"Duplicate item ID",IF($C75="Initiative",IF($D75&lt;&gt;"","Parent must be blank",IF(COUNTIFS($B$5:$B$204,$B75,$C$5:$C$204,"Initiative")&lt;&gt;1,"One Initiative row required",IF(COUNTIFS($D$5:$D$204,$A75,$C$5:$C$204,"Milestone")=0,"Add milestone","OK"))),IF($C75="Milestone",IF(COUNTIFS($A$5:$A$204,$D75,$B$5:$B$204,$B75,$C$5:$C$204,"Initiative")&lt;&gt;1,"Parent must be Initiative",IF(COUNTIFS($D$5:$D$204,$A75,$C$5:$C$204,"Activity")+COUNTIFS($D$5:$D$204,$A75,$C$5:$C$204,"Variation")=0,"Add activity or variation","OK")),IF(OR($C75="Activity",$C75="Variation"),IF(COUNTIFS($A$5:$A$204,$D75,$B$5:$B$204,$B75,$C$5:$C$204,"Milestone")&lt;&gt;1,"Parent must be Milestone",IF(OR($G75="",$H75=""),"Enter baseline dates",IF($H75&lt;$G75,"Baseline finish before start",IF($I75="","Enter forecast finish",IF(COUNT($J75)=0,"Enter actual %",IF(OR(NOT(ISNUMBER($J75)),$J75&lt;0,$J75&gt;1),"Actual % must be 0–100%","OK")))))),"Select level"))))))</x:f>
      </x:c>
    </x:row>
    <x:row r="76">
      <x:c r="A76" s="66" t="str" cm="1">
        <x:f t="array" ref="A76">IF(OR(B76="",C76=""),"",IF(C76="Initiative",COUNTIF($C$5:C76,"Initiative"),IF(C76="Milestone",IF(D76="","",D76&amp;"."&amp;COUNTIFS($D$5:D76,D76,$C$5:C76,"Milestone")),IF(OR(C76="Activity",C76="Variation"),IF(D76="","",D76&amp;"."&amp;(COUNTIFS($D$5:D76,D76,$C$5:C76,"Activity")+COUNTIFS($D$5:D76,D76,$C$5:C76,"Variation"))),""))))</x:f>
      </x:c>
      <x:c r="B76" s="19"/>
      <x:c r="C76" s="19"/>
      <x:c r="D76" s="20"/>
      <x:c r="E76" s="21"/>
      <x:c r="F76" s="21"/>
      <x:c r="G76" s="102"/>
      <x:c r="H76" s="102"/>
      <x:c r="I76" s="102"/>
      <x:c r="J76" s="100"/>
      <x:c r="K76" s="7" t="str">
        <x:f>IF($B76="","",IF($C76="Initiative",IF(COUNTIFS($B$77:$B$204,$B76,$C$77:$C$204,"Activity")+COUNTIFS($B$77:$B$204,$B76,$C$77:$C$204,"Variation")=0,"",IF(COUNTIFS($B$77:$B$204,$B76,$C$77:$C$204,"Activity")+COUNTIFS($B$77:$B$204,$B76,$C$77:$C$204,"Variation")&lt;&gt;COUNTIFS($B$77:$B$204,$B76,$C$77:$C$204,"Activity",$G$77:$G$204,"&lt;&gt;",$H$77:$H$204,"&lt;&gt;")+COUNTIFS($B$77:$B$204,$B76,$C$77:$C$204,"Variation",$G$77:$G$204,"&lt;&gt;",$H$77:$H$204,"&lt;&gt;"),"",(SUMIFS($K$77:$K$204,$B$77:$B$204,$B76,$C$77:$C$204,"Activity")+SUMIFS($K$77:$K$204,$B$77:$B$204,$B76,$C$77:$C$204,"Variation"))/(COUNTIFS($B$77:$B$204,$B76,$C$77:$C$204,"Activity")+COUNTIFS($B$77:$B$204,$B76,$C$77:$C$204,"Variation")))),IF($C76="Milestone",IF(COUNTIFS($D$77:$D$204,$A76,$C$77:$C$204,"Activity")+COUNTIFS($D$77:$D$204,$A76,$C$77:$C$204,"Variation")=0,"",IF(COUNTIFS($D$77:$D$204,$A76,$C$77:$C$204,"Activity")+COUNTIFS($D$77:$D$204,$A76,$C$77:$C$204,"Variation")&lt;&gt;COUNTIFS($D$77:$D$204,$A76,$C$77:$C$204,"Activity",$G$77:$G$204,"&lt;&gt;",$H$77:$H$204,"&lt;&gt;")+COUNTIFS($D$77:$D$204,$A76,$C$77:$C$204,"Variation",$G$77:$G$204,"&lt;&gt;",$H$77:$H$204,"&lt;&gt;"),"",(SUMIFS($K$77:$K$204,$D$77:$D$204,$A76,$C$77:$C$204,"Activity")+SUMIFS($K$77:$K$204,$D$77:$D$204,$A76,$C$77:$C$204,"Variation"))/(COUNTIFS($D$77:$D$204,$A76,$C$77:$C$204,"Activity")+COUNTIFS($D$77:$D$204,$A76,$C$77:$C$204,"Variation")))),IF(OR($C76="Activity",$C76="Variation"),IF(OR($G76="",$H76=""),"",IF($H76&lt;$G76,"",IF($H76=$G76,--(TODAY()&gt;=$H76),MAX(0,MIN(1,(TODAY()-$G76)/($H76-$G76)))))),""))))</x:f>
      </x:c>
      <x:c r="L76" s="7" t="str">
        <x:f t="shared" si="3">IF($B76="","",IF($C76="Initiative",IF(COUNTIFS($B$5:$B$204,$B76,$C$5:$C$204,"Activity")+COUNTIFS($B$5:$B$204,$B76,$C$5:$C$204,"Variation")=0,"",IF(COUNTIFS($B$5:$B$204,$B76,$C$5:$C$204,"Activity")+COUNTIFS($B$5:$B$204,$B76,$C$5:$C$204,"Variation")&lt;&gt;COUNTIFS($B$5:$B$204,$B76,$C$5:$C$204,"Activity",$J$5:$J$204,"&lt;&gt;",$J$5:$J$204,"&gt;=0",$J$5:$J$204,"&lt;=1")+COUNTIFS($B$5:$B$204,$B76,$C$5:$C$204,"Variation",$J$5:$J$204,"&lt;&gt;",$J$5:$J$204,"&gt;=0",$J$5:$J$204,"&lt;=1"),"",(SUMIFS($J$5:$J$204,$B$5:$B$204,$B76,$C$5:$C$204,"Activity")+SUMIFS($J$5:$J$204,$B$5:$B$204,$B76,$C$5:$C$204,"Variation"))/(COUNTIFS($B$5:$B$204,$B76,$C$5:$C$204,"Activity")+COUNTIFS($B$5:$B$204,$B76,$C$5:$C$204,"Variation")))),IF($C76="Milestone",IF(COUNTIFS($D$5:$D$204,$A76,$C$5:$C$204,"Activity")+COUNTIFS($D$5:$D$204,$A76,$C$5:$C$204,"Variation")=0,"",IF(COUNTIFS($D$5:$D$204,$A76,$C$5:$C$204,"Activity")+COUNTIFS($D$5:$D$204,$A76,$C$5:$C$204,"Variation")&lt;&gt;COUNTIFS($D$5:$D$204,$A76,$C$5:$C$204,"Activity",$J$5:$J$204,"&lt;&gt;",$J$5:$J$204,"&gt;=0",$J$5:$J$204,"&lt;=1")+COUNTIFS($D$5:$D$204,$A76,$C$5:$C$204,"Variation",$J$5:$J$204,"&lt;&gt;",$J$5:$J$204,"&gt;=0",$J$5:$J$204,"&lt;=1"),"",(SUMIFS($J$5:$J$204,$D$5:$D$204,$A76,$C$5:$C$204,"Activity")+SUMIFS($J$5:$J$204,$D$5:$D$204,$A76,$C$5:$C$204,"Variation"))/(COUNTIFS($D$5:$D$204,$A76,$C$5:$C$204,"Activity")+COUNTIFS($D$5:$D$204,$A76,$C$5:$C$204,"Variation")))),IF(OR($C76="Activity",$C76="Variation"),IF(AND(ISNUMBER($J76),$J76&gt;=0,$J76&lt;=1),$J76,""),""))))</x:f>
      </x:c>
      <x:c r="M76" s="7" t="str">
        <x:f t="shared" si="4">IF(OR($K76="",$L76=""),"",$L76-$K76)</x:f>
      </x:c>
      <x:c r="N76" s="6" t="str">
        <x:f>IF(OR($B76="",$I76="",$L76=""),"",IF(AND($L76&lt;1,$I76&lt;TODAY()),"Late",IF(AND($H76&lt;&gt;"",$I76&gt;$H76),"Forecast Slip","On Plan")))</x:f>
      </x:c>
      <x:c r="O76" s="19"/>
      <x:c r="P76" s="6" t="str">
        <x:f t="shared" si="5">IF($B76="","",IF($A76="","Enter item ID",IF(COUNTIF($A$5:$A$204,$A76)&gt;1,"Duplicate item ID",IF($C76="Initiative",IF($D76&lt;&gt;"","Parent must be blank",IF(COUNTIFS($B$5:$B$204,$B76,$C$5:$C$204,"Initiative")&lt;&gt;1,"One Initiative row required",IF(COUNTIFS($D$5:$D$204,$A76,$C$5:$C$204,"Milestone")=0,"Add milestone","OK"))),IF($C76="Milestone",IF(COUNTIFS($A$5:$A$204,$D76,$B$5:$B$204,$B76,$C$5:$C$204,"Initiative")&lt;&gt;1,"Parent must be Initiative",IF(COUNTIFS($D$5:$D$204,$A76,$C$5:$C$204,"Activity")+COUNTIFS($D$5:$D$204,$A76,$C$5:$C$204,"Variation")=0,"Add activity or variation","OK")),IF(OR($C76="Activity",$C76="Variation"),IF(COUNTIFS($A$5:$A$204,$D76,$B$5:$B$204,$B76,$C$5:$C$204,"Milestone")&lt;&gt;1,"Parent must be Milestone",IF(OR($G76="",$H76=""),"Enter baseline dates",IF($H76&lt;$G76,"Baseline finish before start",IF($I76="","Enter forecast finish",IF(COUNT($J76)=0,"Enter actual %",IF(OR(NOT(ISNUMBER($J76)),$J76&lt;0,$J76&gt;1),"Actual % must be 0–100%","OK")))))),"Select level"))))))</x:f>
      </x:c>
    </x:row>
    <x:row r="77">
      <x:c r="A77" s="66" t="str" cm="1">
        <x:f t="array" ref="A77">IF(OR(B77="",C77=""),"",IF(C77="Initiative",COUNTIF($C$5:C77,"Initiative"),IF(C77="Milestone",IF(D77="","",D77&amp;"."&amp;COUNTIFS($D$5:D77,D77,$C$5:C77,"Milestone")),IF(OR(C77="Activity",C77="Variation"),IF(D77="","",D77&amp;"."&amp;(COUNTIFS($D$5:D77,D77,$C$5:C77,"Activity")+COUNTIFS($D$5:D77,D77,$C$5:C77,"Variation"))),""))))</x:f>
      </x:c>
      <x:c r="B77" s="19"/>
      <x:c r="C77" s="19"/>
      <x:c r="D77" s="20"/>
      <x:c r="E77" s="21"/>
      <x:c r="F77" s="21"/>
      <x:c r="G77" s="102"/>
      <x:c r="H77" s="102"/>
      <x:c r="I77" s="102"/>
      <x:c r="J77" s="100"/>
      <x:c r="K77" s="7" t="str">
        <x:f>IF($B77="","",IF($C77="Initiative",IF(COUNTIFS($B$78:$B$204,$B77,$C$78:$C$204,"Activity")+COUNTIFS($B$78:$B$204,$B77,$C$78:$C$204,"Variation")=0,"",IF(COUNTIFS($B$78:$B$204,$B77,$C$78:$C$204,"Activity")+COUNTIFS($B$78:$B$204,$B77,$C$78:$C$204,"Variation")&lt;&gt;COUNTIFS($B$78:$B$204,$B77,$C$78:$C$204,"Activity",$G$78:$G$204,"&lt;&gt;",$H$78:$H$204,"&lt;&gt;")+COUNTIFS($B$78:$B$204,$B77,$C$78:$C$204,"Variation",$G$78:$G$204,"&lt;&gt;",$H$78:$H$204,"&lt;&gt;"),"",(SUMIFS($K$78:$K$204,$B$78:$B$204,$B77,$C$78:$C$204,"Activity")+SUMIFS($K$78:$K$204,$B$78:$B$204,$B77,$C$78:$C$204,"Variation"))/(COUNTIFS($B$78:$B$204,$B77,$C$78:$C$204,"Activity")+COUNTIFS($B$78:$B$204,$B77,$C$78:$C$204,"Variation")))),IF($C77="Milestone",IF(COUNTIFS($D$78:$D$204,$A77,$C$78:$C$204,"Activity")+COUNTIFS($D$78:$D$204,$A77,$C$78:$C$204,"Variation")=0,"",IF(COUNTIFS($D$78:$D$204,$A77,$C$78:$C$204,"Activity")+COUNTIFS($D$78:$D$204,$A77,$C$78:$C$204,"Variation")&lt;&gt;COUNTIFS($D$78:$D$204,$A77,$C$78:$C$204,"Activity",$G$78:$G$204,"&lt;&gt;",$H$78:$H$204,"&lt;&gt;")+COUNTIFS($D$78:$D$204,$A77,$C$78:$C$204,"Variation",$G$78:$G$204,"&lt;&gt;",$H$78:$H$204,"&lt;&gt;"),"",(SUMIFS($K$78:$K$204,$D$78:$D$204,$A77,$C$78:$C$204,"Activity")+SUMIFS($K$78:$K$204,$D$78:$D$204,$A77,$C$78:$C$204,"Variation"))/(COUNTIFS($D$78:$D$204,$A77,$C$78:$C$204,"Activity")+COUNTIFS($D$78:$D$204,$A77,$C$78:$C$204,"Variation")))),IF(OR($C77="Activity",$C77="Variation"),IF(OR($G77="",$H77=""),"",IF($H77&lt;$G77,"",IF($H77=$G77,--(TODAY()&gt;=$H77),MAX(0,MIN(1,(TODAY()-$G77)/($H77-$G77)))))),""))))</x:f>
      </x:c>
      <x:c r="L77" s="7" t="str">
        <x:f t="shared" si="3">IF($B77="","",IF($C77="Initiative",IF(COUNTIFS($B$5:$B$204,$B77,$C$5:$C$204,"Activity")+COUNTIFS($B$5:$B$204,$B77,$C$5:$C$204,"Variation")=0,"",IF(COUNTIFS($B$5:$B$204,$B77,$C$5:$C$204,"Activity")+COUNTIFS($B$5:$B$204,$B77,$C$5:$C$204,"Variation")&lt;&gt;COUNTIFS($B$5:$B$204,$B77,$C$5:$C$204,"Activity",$J$5:$J$204,"&lt;&gt;",$J$5:$J$204,"&gt;=0",$J$5:$J$204,"&lt;=1")+COUNTIFS($B$5:$B$204,$B77,$C$5:$C$204,"Variation",$J$5:$J$204,"&lt;&gt;",$J$5:$J$204,"&gt;=0",$J$5:$J$204,"&lt;=1"),"",(SUMIFS($J$5:$J$204,$B$5:$B$204,$B77,$C$5:$C$204,"Activity")+SUMIFS($J$5:$J$204,$B$5:$B$204,$B77,$C$5:$C$204,"Variation"))/(COUNTIFS($B$5:$B$204,$B77,$C$5:$C$204,"Activity")+COUNTIFS($B$5:$B$204,$B77,$C$5:$C$204,"Variation")))),IF($C77="Milestone",IF(COUNTIFS($D$5:$D$204,$A77,$C$5:$C$204,"Activity")+COUNTIFS($D$5:$D$204,$A77,$C$5:$C$204,"Variation")=0,"",IF(COUNTIFS($D$5:$D$204,$A77,$C$5:$C$204,"Activity")+COUNTIFS($D$5:$D$204,$A77,$C$5:$C$204,"Variation")&lt;&gt;COUNTIFS($D$5:$D$204,$A77,$C$5:$C$204,"Activity",$J$5:$J$204,"&lt;&gt;",$J$5:$J$204,"&gt;=0",$J$5:$J$204,"&lt;=1")+COUNTIFS($D$5:$D$204,$A77,$C$5:$C$204,"Variation",$J$5:$J$204,"&lt;&gt;",$J$5:$J$204,"&gt;=0",$J$5:$J$204,"&lt;=1"),"",(SUMIFS($J$5:$J$204,$D$5:$D$204,$A77,$C$5:$C$204,"Activity")+SUMIFS($J$5:$J$204,$D$5:$D$204,$A77,$C$5:$C$204,"Variation"))/(COUNTIFS($D$5:$D$204,$A77,$C$5:$C$204,"Activity")+COUNTIFS($D$5:$D$204,$A77,$C$5:$C$204,"Variation")))),IF(OR($C77="Activity",$C77="Variation"),IF(AND(ISNUMBER($J77),$J77&gt;=0,$J77&lt;=1),$J77,""),""))))</x:f>
      </x:c>
      <x:c r="M77" s="7" t="str">
        <x:f t="shared" si="4">IF(OR($K77="",$L77=""),"",$L77-$K77)</x:f>
      </x:c>
      <x:c r="N77" s="6" t="str">
        <x:f>IF(OR($B77="",$I77="",$L77=""),"",IF(AND($L77&lt;1,$I77&lt;TODAY()),"Late",IF(AND($H77&lt;&gt;"",$I77&gt;$H77),"Forecast Slip","On Plan")))</x:f>
      </x:c>
      <x:c r="O77" s="19"/>
      <x:c r="P77" s="6" t="str">
        <x:f t="shared" si="5">IF($B77="","",IF($A77="","Enter item ID",IF(COUNTIF($A$5:$A$204,$A77)&gt;1,"Duplicate item ID",IF($C77="Initiative",IF($D77&lt;&gt;"","Parent must be blank",IF(COUNTIFS($B$5:$B$204,$B77,$C$5:$C$204,"Initiative")&lt;&gt;1,"One Initiative row required",IF(COUNTIFS($D$5:$D$204,$A77,$C$5:$C$204,"Milestone")=0,"Add milestone","OK"))),IF($C77="Milestone",IF(COUNTIFS($A$5:$A$204,$D77,$B$5:$B$204,$B77,$C$5:$C$204,"Initiative")&lt;&gt;1,"Parent must be Initiative",IF(COUNTIFS($D$5:$D$204,$A77,$C$5:$C$204,"Activity")+COUNTIFS($D$5:$D$204,$A77,$C$5:$C$204,"Variation")=0,"Add activity or variation","OK")),IF(OR($C77="Activity",$C77="Variation"),IF(COUNTIFS($A$5:$A$204,$D77,$B$5:$B$204,$B77,$C$5:$C$204,"Milestone")&lt;&gt;1,"Parent must be Milestone",IF(OR($G77="",$H77=""),"Enter baseline dates",IF($H77&lt;$G77,"Baseline finish before start",IF($I77="","Enter forecast finish",IF(COUNT($J77)=0,"Enter actual %",IF(OR(NOT(ISNUMBER($J77)),$J77&lt;0,$J77&gt;1),"Actual % must be 0–100%","OK")))))),"Select level"))))))</x:f>
      </x:c>
    </x:row>
    <x:row r="78">
      <x:c r="A78" s="66" t="str" cm="1">
        <x:f t="array" ref="A78">IF(OR(B78="",C78=""),"",IF(C78="Initiative",COUNTIF($C$5:C78,"Initiative"),IF(C78="Milestone",IF(D78="","",D78&amp;"."&amp;COUNTIFS($D$5:D78,D78,$C$5:C78,"Milestone")),IF(OR(C78="Activity",C78="Variation"),IF(D78="","",D78&amp;"."&amp;(COUNTIFS($D$5:D78,D78,$C$5:C78,"Activity")+COUNTIFS($D$5:D78,D78,$C$5:C78,"Variation"))),""))))</x:f>
      </x:c>
      <x:c r="B78" s="19"/>
      <x:c r="C78" s="19"/>
      <x:c r="D78" s="20"/>
      <x:c r="E78" s="21"/>
      <x:c r="F78" s="21"/>
      <x:c r="G78" s="102"/>
      <x:c r="H78" s="102"/>
      <x:c r="I78" s="102"/>
      <x:c r="J78" s="100"/>
      <x:c r="K78" s="7" t="str">
        <x:f>IF($B78="","",IF($C78="Initiative",IF(COUNTIFS($B$79:$B$204,$B78,$C$79:$C$204,"Activity")+COUNTIFS($B$79:$B$204,$B78,$C$79:$C$204,"Variation")=0,"",IF(COUNTIFS($B$79:$B$204,$B78,$C$79:$C$204,"Activity")+COUNTIFS($B$79:$B$204,$B78,$C$79:$C$204,"Variation")&lt;&gt;COUNTIFS($B$79:$B$204,$B78,$C$79:$C$204,"Activity",$G$79:$G$204,"&lt;&gt;",$H$79:$H$204,"&lt;&gt;")+COUNTIFS($B$79:$B$204,$B78,$C$79:$C$204,"Variation",$G$79:$G$204,"&lt;&gt;",$H$79:$H$204,"&lt;&gt;"),"",(SUMIFS($K$79:$K$204,$B$79:$B$204,$B78,$C$79:$C$204,"Activity")+SUMIFS($K$79:$K$204,$B$79:$B$204,$B78,$C$79:$C$204,"Variation"))/(COUNTIFS($B$79:$B$204,$B78,$C$79:$C$204,"Activity")+COUNTIFS($B$79:$B$204,$B78,$C$79:$C$204,"Variation")))),IF($C78="Milestone",IF(COUNTIFS($D$79:$D$204,$A78,$C$79:$C$204,"Activity")+COUNTIFS($D$79:$D$204,$A78,$C$79:$C$204,"Variation")=0,"",IF(COUNTIFS($D$79:$D$204,$A78,$C$79:$C$204,"Activity")+COUNTIFS($D$79:$D$204,$A78,$C$79:$C$204,"Variation")&lt;&gt;COUNTIFS($D$79:$D$204,$A78,$C$79:$C$204,"Activity",$G$79:$G$204,"&lt;&gt;",$H$79:$H$204,"&lt;&gt;")+COUNTIFS($D$79:$D$204,$A78,$C$79:$C$204,"Variation",$G$79:$G$204,"&lt;&gt;",$H$79:$H$204,"&lt;&gt;"),"",(SUMIFS($K$79:$K$204,$D$79:$D$204,$A78,$C$79:$C$204,"Activity")+SUMIFS($K$79:$K$204,$D$79:$D$204,$A78,$C$79:$C$204,"Variation"))/(COUNTIFS($D$79:$D$204,$A78,$C$79:$C$204,"Activity")+COUNTIFS($D$79:$D$204,$A78,$C$79:$C$204,"Variation")))),IF(OR($C78="Activity",$C78="Variation"),IF(OR($G78="",$H78=""),"",IF($H78&lt;$G78,"",IF($H78=$G78,--(TODAY()&gt;=$H78),MAX(0,MIN(1,(TODAY()-$G78)/($H78-$G78)))))),""))))</x:f>
      </x:c>
      <x:c r="L78" s="7" t="str">
        <x:f t="shared" si="3">IF($B78="","",IF($C78="Initiative",IF(COUNTIFS($B$5:$B$204,$B78,$C$5:$C$204,"Activity")+COUNTIFS($B$5:$B$204,$B78,$C$5:$C$204,"Variation")=0,"",IF(COUNTIFS($B$5:$B$204,$B78,$C$5:$C$204,"Activity")+COUNTIFS($B$5:$B$204,$B78,$C$5:$C$204,"Variation")&lt;&gt;COUNTIFS($B$5:$B$204,$B78,$C$5:$C$204,"Activity",$J$5:$J$204,"&lt;&gt;",$J$5:$J$204,"&gt;=0",$J$5:$J$204,"&lt;=1")+COUNTIFS($B$5:$B$204,$B78,$C$5:$C$204,"Variation",$J$5:$J$204,"&lt;&gt;",$J$5:$J$204,"&gt;=0",$J$5:$J$204,"&lt;=1"),"",(SUMIFS($J$5:$J$204,$B$5:$B$204,$B78,$C$5:$C$204,"Activity")+SUMIFS($J$5:$J$204,$B$5:$B$204,$B78,$C$5:$C$204,"Variation"))/(COUNTIFS($B$5:$B$204,$B78,$C$5:$C$204,"Activity")+COUNTIFS($B$5:$B$204,$B78,$C$5:$C$204,"Variation")))),IF($C78="Milestone",IF(COUNTIFS($D$5:$D$204,$A78,$C$5:$C$204,"Activity")+COUNTIFS($D$5:$D$204,$A78,$C$5:$C$204,"Variation")=0,"",IF(COUNTIFS($D$5:$D$204,$A78,$C$5:$C$204,"Activity")+COUNTIFS($D$5:$D$204,$A78,$C$5:$C$204,"Variation")&lt;&gt;COUNTIFS($D$5:$D$204,$A78,$C$5:$C$204,"Activity",$J$5:$J$204,"&lt;&gt;",$J$5:$J$204,"&gt;=0",$J$5:$J$204,"&lt;=1")+COUNTIFS($D$5:$D$204,$A78,$C$5:$C$204,"Variation",$J$5:$J$204,"&lt;&gt;",$J$5:$J$204,"&gt;=0",$J$5:$J$204,"&lt;=1"),"",(SUMIFS($J$5:$J$204,$D$5:$D$204,$A78,$C$5:$C$204,"Activity")+SUMIFS($J$5:$J$204,$D$5:$D$204,$A78,$C$5:$C$204,"Variation"))/(COUNTIFS($D$5:$D$204,$A78,$C$5:$C$204,"Activity")+COUNTIFS($D$5:$D$204,$A78,$C$5:$C$204,"Variation")))),IF(OR($C78="Activity",$C78="Variation"),IF(AND(ISNUMBER($J78),$J78&gt;=0,$J78&lt;=1),$J78,""),""))))</x:f>
      </x:c>
      <x:c r="M78" s="7" t="str">
        <x:f t="shared" si="4">IF(OR($K78="",$L78=""),"",$L78-$K78)</x:f>
      </x:c>
      <x:c r="N78" s="6" t="str">
        <x:f>IF(OR($B78="",$I78="",$L78=""),"",IF(AND($L78&lt;1,$I78&lt;TODAY()),"Late",IF(AND($H78&lt;&gt;"",$I78&gt;$H78),"Forecast Slip","On Plan")))</x:f>
      </x:c>
      <x:c r="O78" s="19"/>
      <x:c r="P78" s="6" t="str">
        <x:f t="shared" si="5">IF($B78="","",IF($A78="","Enter item ID",IF(COUNTIF($A$5:$A$204,$A78)&gt;1,"Duplicate item ID",IF($C78="Initiative",IF($D78&lt;&gt;"","Parent must be blank",IF(COUNTIFS($B$5:$B$204,$B78,$C$5:$C$204,"Initiative")&lt;&gt;1,"One Initiative row required",IF(COUNTIFS($D$5:$D$204,$A78,$C$5:$C$204,"Milestone")=0,"Add milestone","OK"))),IF($C78="Milestone",IF(COUNTIFS($A$5:$A$204,$D78,$B$5:$B$204,$B78,$C$5:$C$204,"Initiative")&lt;&gt;1,"Parent must be Initiative",IF(COUNTIFS($D$5:$D$204,$A78,$C$5:$C$204,"Activity")+COUNTIFS($D$5:$D$204,$A78,$C$5:$C$204,"Variation")=0,"Add activity or variation","OK")),IF(OR($C78="Activity",$C78="Variation"),IF(COUNTIFS($A$5:$A$204,$D78,$B$5:$B$204,$B78,$C$5:$C$204,"Milestone")&lt;&gt;1,"Parent must be Milestone",IF(OR($G78="",$H78=""),"Enter baseline dates",IF($H78&lt;$G78,"Baseline finish before start",IF($I78="","Enter forecast finish",IF(COUNT($J78)=0,"Enter actual %",IF(OR(NOT(ISNUMBER($J78)),$J78&lt;0,$J78&gt;1),"Actual % must be 0–100%","OK")))))),"Select level"))))))</x:f>
      </x:c>
    </x:row>
    <x:row r="79">
      <x:c r="A79" s="66" t="str" cm="1">
        <x:f t="array" ref="A79">IF(OR(B79="",C79=""),"",IF(C79="Initiative",COUNTIF($C$5:C79,"Initiative"),IF(C79="Milestone",IF(D79="","",D79&amp;"."&amp;COUNTIFS($D$5:D79,D79,$C$5:C79,"Milestone")),IF(OR(C79="Activity",C79="Variation"),IF(D79="","",D79&amp;"."&amp;(COUNTIFS($D$5:D79,D79,$C$5:C79,"Activity")+COUNTIFS($D$5:D79,D79,$C$5:C79,"Variation"))),""))))</x:f>
      </x:c>
      <x:c r="B79" s="19"/>
      <x:c r="C79" s="19"/>
      <x:c r="D79" s="20"/>
      <x:c r="E79" s="21"/>
      <x:c r="F79" s="21"/>
      <x:c r="G79" s="102"/>
      <x:c r="H79" s="102"/>
      <x:c r="I79" s="102"/>
      <x:c r="J79" s="100"/>
      <x:c r="K79" s="7" t="str">
        <x:f>IF($B79="","",IF($C79="Initiative",IF(COUNTIFS($B$80:$B$204,$B79,$C$80:$C$204,"Activity")+COUNTIFS($B$80:$B$204,$B79,$C$80:$C$204,"Variation")=0,"",IF(COUNTIFS($B$80:$B$204,$B79,$C$80:$C$204,"Activity")+COUNTIFS($B$80:$B$204,$B79,$C$80:$C$204,"Variation")&lt;&gt;COUNTIFS($B$80:$B$204,$B79,$C$80:$C$204,"Activity",$G$80:$G$204,"&lt;&gt;",$H$80:$H$204,"&lt;&gt;")+COUNTIFS($B$80:$B$204,$B79,$C$80:$C$204,"Variation",$G$80:$G$204,"&lt;&gt;",$H$80:$H$204,"&lt;&gt;"),"",(SUMIFS($K$80:$K$204,$B$80:$B$204,$B79,$C$80:$C$204,"Activity")+SUMIFS($K$80:$K$204,$B$80:$B$204,$B79,$C$80:$C$204,"Variation"))/(COUNTIFS($B$80:$B$204,$B79,$C$80:$C$204,"Activity")+COUNTIFS($B$80:$B$204,$B79,$C$80:$C$204,"Variation")))),IF($C79="Milestone",IF(COUNTIFS($D$80:$D$204,$A79,$C$80:$C$204,"Activity")+COUNTIFS($D$80:$D$204,$A79,$C$80:$C$204,"Variation")=0,"",IF(COUNTIFS($D$80:$D$204,$A79,$C$80:$C$204,"Activity")+COUNTIFS($D$80:$D$204,$A79,$C$80:$C$204,"Variation")&lt;&gt;COUNTIFS($D$80:$D$204,$A79,$C$80:$C$204,"Activity",$G$80:$G$204,"&lt;&gt;",$H$80:$H$204,"&lt;&gt;")+COUNTIFS($D$80:$D$204,$A79,$C$80:$C$204,"Variation",$G$80:$G$204,"&lt;&gt;",$H$80:$H$204,"&lt;&gt;"),"",(SUMIFS($K$80:$K$204,$D$80:$D$204,$A79,$C$80:$C$204,"Activity")+SUMIFS($K$80:$K$204,$D$80:$D$204,$A79,$C$80:$C$204,"Variation"))/(COUNTIFS($D$80:$D$204,$A79,$C$80:$C$204,"Activity")+COUNTIFS($D$80:$D$204,$A79,$C$80:$C$204,"Variation")))),IF(OR($C79="Activity",$C79="Variation"),IF(OR($G79="",$H79=""),"",IF($H79&lt;$G79,"",IF($H79=$G79,--(TODAY()&gt;=$H79),MAX(0,MIN(1,(TODAY()-$G79)/($H79-$G79)))))),""))))</x:f>
      </x:c>
      <x:c r="L79" s="7" t="str">
        <x:f t="shared" si="3">IF($B79="","",IF($C79="Initiative",IF(COUNTIFS($B$5:$B$204,$B79,$C$5:$C$204,"Activity")+COUNTIFS($B$5:$B$204,$B79,$C$5:$C$204,"Variation")=0,"",IF(COUNTIFS($B$5:$B$204,$B79,$C$5:$C$204,"Activity")+COUNTIFS($B$5:$B$204,$B79,$C$5:$C$204,"Variation")&lt;&gt;COUNTIFS($B$5:$B$204,$B79,$C$5:$C$204,"Activity",$J$5:$J$204,"&lt;&gt;",$J$5:$J$204,"&gt;=0",$J$5:$J$204,"&lt;=1")+COUNTIFS($B$5:$B$204,$B79,$C$5:$C$204,"Variation",$J$5:$J$204,"&lt;&gt;",$J$5:$J$204,"&gt;=0",$J$5:$J$204,"&lt;=1"),"",(SUMIFS($J$5:$J$204,$B$5:$B$204,$B79,$C$5:$C$204,"Activity")+SUMIFS($J$5:$J$204,$B$5:$B$204,$B79,$C$5:$C$204,"Variation"))/(COUNTIFS($B$5:$B$204,$B79,$C$5:$C$204,"Activity")+COUNTIFS($B$5:$B$204,$B79,$C$5:$C$204,"Variation")))),IF($C79="Milestone",IF(COUNTIFS($D$5:$D$204,$A79,$C$5:$C$204,"Activity")+COUNTIFS($D$5:$D$204,$A79,$C$5:$C$204,"Variation")=0,"",IF(COUNTIFS($D$5:$D$204,$A79,$C$5:$C$204,"Activity")+COUNTIFS($D$5:$D$204,$A79,$C$5:$C$204,"Variation")&lt;&gt;COUNTIFS($D$5:$D$204,$A79,$C$5:$C$204,"Activity",$J$5:$J$204,"&lt;&gt;",$J$5:$J$204,"&gt;=0",$J$5:$J$204,"&lt;=1")+COUNTIFS($D$5:$D$204,$A79,$C$5:$C$204,"Variation",$J$5:$J$204,"&lt;&gt;",$J$5:$J$204,"&gt;=0",$J$5:$J$204,"&lt;=1"),"",(SUMIFS($J$5:$J$204,$D$5:$D$204,$A79,$C$5:$C$204,"Activity")+SUMIFS($J$5:$J$204,$D$5:$D$204,$A79,$C$5:$C$204,"Variation"))/(COUNTIFS($D$5:$D$204,$A79,$C$5:$C$204,"Activity")+COUNTIFS($D$5:$D$204,$A79,$C$5:$C$204,"Variation")))),IF(OR($C79="Activity",$C79="Variation"),IF(AND(ISNUMBER($J79),$J79&gt;=0,$J79&lt;=1),$J79,""),""))))</x:f>
      </x:c>
      <x:c r="M79" s="7" t="str">
        <x:f t="shared" si="4">IF(OR($K79="",$L79=""),"",$L79-$K79)</x:f>
      </x:c>
      <x:c r="N79" s="6" t="str">
        <x:f>IF(OR($B79="",$I79="",$L79=""),"",IF(AND($L79&lt;1,$I79&lt;TODAY()),"Late",IF(AND($H79&lt;&gt;"",$I79&gt;$H79),"Forecast Slip","On Plan")))</x:f>
      </x:c>
      <x:c r="O79" s="19"/>
      <x:c r="P79" s="6" t="str">
        <x:f t="shared" si="5">IF($B79="","",IF($A79="","Enter item ID",IF(COUNTIF($A$5:$A$204,$A79)&gt;1,"Duplicate item ID",IF($C79="Initiative",IF($D79&lt;&gt;"","Parent must be blank",IF(COUNTIFS($B$5:$B$204,$B79,$C$5:$C$204,"Initiative")&lt;&gt;1,"One Initiative row required",IF(COUNTIFS($D$5:$D$204,$A79,$C$5:$C$204,"Milestone")=0,"Add milestone","OK"))),IF($C79="Milestone",IF(COUNTIFS($A$5:$A$204,$D79,$B$5:$B$204,$B79,$C$5:$C$204,"Initiative")&lt;&gt;1,"Parent must be Initiative",IF(COUNTIFS($D$5:$D$204,$A79,$C$5:$C$204,"Activity")+COUNTIFS($D$5:$D$204,$A79,$C$5:$C$204,"Variation")=0,"Add activity or variation","OK")),IF(OR($C79="Activity",$C79="Variation"),IF(COUNTIFS($A$5:$A$204,$D79,$B$5:$B$204,$B79,$C$5:$C$204,"Milestone")&lt;&gt;1,"Parent must be Milestone",IF(OR($G79="",$H79=""),"Enter baseline dates",IF($H79&lt;$G79,"Baseline finish before start",IF($I79="","Enter forecast finish",IF(COUNT($J79)=0,"Enter actual %",IF(OR(NOT(ISNUMBER($J79)),$J79&lt;0,$J79&gt;1),"Actual % must be 0–100%","OK")))))),"Select level"))))))</x:f>
      </x:c>
    </x:row>
    <x:row r="80">
      <x:c r="A80" s="66" t="str" cm="1">
        <x:f t="array" ref="A80">IF(OR(B80="",C80=""),"",IF(C80="Initiative",COUNTIF($C$5:C80,"Initiative"),IF(C80="Milestone",IF(D80="","",D80&amp;"."&amp;COUNTIFS($D$5:D80,D80,$C$5:C80,"Milestone")),IF(OR(C80="Activity",C80="Variation"),IF(D80="","",D80&amp;"."&amp;(COUNTIFS($D$5:D80,D80,$C$5:C80,"Activity")+COUNTIFS($D$5:D80,D80,$C$5:C80,"Variation"))),""))))</x:f>
      </x:c>
      <x:c r="B80" s="19"/>
      <x:c r="C80" s="19"/>
      <x:c r="D80" s="20"/>
      <x:c r="E80" s="21"/>
      <x:c r="F80" s="21"/>
      <x:c r="G80" s="102"/>
      <x:c r="H80" s="102"/>
      <x:c r="I80" s="102"/>
      <x:c r="J80" s="100"/>
      <x:c r="K80" s="7" t="str">
        <x:f>IF($B80="","",IF($C80="Initiative",IF(COUNTIFS($B$81:$B$204,$B80,$C$81:$C$204,"Activity")+COUNTIFS($B$81:$B$204,$B80,$C$81:$C$204,"Variation")=0,"",IF(COUNTIFS($B$81:$B$204,$B80,$C$81:$C$204,"Activity")+COUNTIFS($B$81:$B$204,$B80,$C$81:$C$204,"Variation")&lt;&gt;COUNTIFS($B$81:$B$204,$B80,$C$81:$C$204,"Activity",$G$81:$G$204,"&lt;&gt;",$H$81:$H$204,"&lt;&gt;")+COUNTIFS($B$81:$B$204,$B80,$C$81:$C$204,"Variation",$G$81:$G$204,"&lt;&gt;",$H$81:$H$204,"&lt;&gt;"),"",(SUMIFS($K$81:$K$204,$B$81:$B$204,$B80,$C$81:$C$204,"Activity")+SUMIFS($K$81:$K$204,$B$81:$B$204,$B80,$C$81:$C$204,"Variation"))/(COUNTIFS($B$81:$B$204,$B80,$C$81:$C$204,"Activity")+COUNTIFS($B$81:$B$204,$B80,$C$81:$C$204,"Variation")))),IF($C80="Milestone",IF(COUNTIFS($D$81:$D$204,$A80,$C$81:$C$204,"Activity")+COUNTIFS($D$81:$D$204,$A80,$C$81:$C$204,"Variation")=0,"",IF(COUNTIFS($D$81:$D$204,$A80,$C$81:$C$204,"Activity")+COUNTIFS($D$81:$D$204,$A80,$C$81:$C$204,"Variation")&lt;&gt;COUNTIFS($D$81:$D$204,$A80,$C$81:$C$204,"Activity",$G$81:$G$204,"&lt;&gt;",$H$81:$H$204,"&lt;&gt;")+COUNTIFS($D$81:$D$204,$A80,$C$81:$C$204,"Variation",$G$81:$G$204,"&lt;&gt;",$H$81:$H$204,"&lt;&gt;"),"",(SUMIFS($K$81:$K$204,$D$81:$D$204,$A80,$C$81:$C$204,"Activity")+SUMIFS($K$81:$K$204,$D$81:$D$204,$A80,$C$81:$C$204,"Variation"))/(COUNTIFS($D$81:$D$204,$A80,$C$81:$C$204,"Activity")+COUNTIFS($D$81:$D$204,$A80,$C$81:$C$204,"Variation")))),IF(OR($C80="Activity",$C80="Variation"),IF(OR($G80="",$H80=""),"",IF($H80&lt;$G80,"",IF($H80=$G80,--(TODAY()&gt;=$H80),MAX(0,MIN(1,(TODAY()-$G80)/($H80-$G80)))))),""))))</x:f>
      </x:c>
      <x:c r="L80" s="7" t="str">
        <x:f t="shared" si="3">IF($B80="","",IF($C80="Initiative",IF(COUNTIFS($B$5:$B$204,$B80,$C$5:$C$204,"Activity")+COUNTIFS($B$5:$B$204,$B80,$C$5:$C$204,"Variation")=0,"",IF(COUNTIFS($B$5:$B$204,$B80,$C$5:$C$204,"Activity")+COUNTIFS($B$5:$B$204,$B80,$C$5:$C$204,"Variation")&lt;&gt;COUNTIFS($B$5:$B$204,$B80,$C$5:$C$204,"Activity",$J$5:$J$204,"&lt;&gt;",$J$5:$J$204,"&gt;=0",$J$5:$J$204,"&lt;=1")+COUNTIFS($B$5:$B$204,$B80,$C$5:$C$204,"Variation",$J$5:$J$204,"&lt;&gt;",$J$5:$J$204,"&gt;=0",$J$5:$J$204,"&lt;=1"),"",(SUMIFS($J$5:$J$204,$B$5:$B$204,$B80,$C$5:$C$204,"Activity")+SUMIFS($J$5:$J$204,$B$5:$B$204,$B80,$C$5:$C$204,"Variation"))/(COUNTIFS($B$5:$B$204,$B80,$C$5:$C$204,"Activity")+COUNTIFS($B$5:$B$204,$B80,$C$5:$C$204,"Variation")))),IF($C80="Milestone",IF(COUNTIFS($D$5:$D$204,$A80,$C$5:$C$204,"Activity")+COUNTIFS($D$5:$D$204,$A80,$C$5:$C$204,"Variation")=0,"",IF(COUNTIFS($D$5:$D$204,$A80,$C$5:$C$204,"Activity")+COUNTIFS($D$5:$D$204,$A80,$C$5:$C$204,"Variation")&lt;&gt;COUNTIFS($D$5:$D$204,$A80,$C$5:$C$204,"Activity",$J$5:$J$204,"&lt;&gt;",$J$5:$J$204,"&gt;=0",$J$5:$J$204,"&lt;=1")+COUNTIFS($D$5:$D$204,$A80,$C$5:$C$204,"Variation",$J$5:$J$204,"&lt;&gt;",$J$5:$J$204,"&gt;=0",$J$5:$J$204,"&lt;=1"),"",(SUMIFS($J$5:$J$204,$D$5:$D$204,$A80,$C$5:$C$204,"Activity")+SUMIFS($J$5:$J$204,$D$5:$D$204,$A80,$C$5:$C$204,"Variation"))/(COUNTIFS($D$5:$D$204,$A80,$C$5:$C$204,"Activity")+COUNTIFS($D$5:$D$204,$A80,$C$5:$C$204,"Variation")))),IF(OR($C80="Activity",$C80="Variation"),IF(AND(ISNUMBER($J80),$J80&gt;=0,$J80&lt;=1),$J80,""),""))))</x:f>
      </x:c>
      <x:c r="M80" s="7" t="str">
        <x:f t="shared" si="4">IF(OR($K80="",$L80=""),"",$L80-$K80)</x:f>
      </x:c>
      <x:c r="N80" s="6" t="str">
        <x:f>IF(OR($B80="",$I80="",$L80=""),"",IF(AND($L80&lt;1,$I80&lt;TODAY()),"Late",IF(AND($H80&lt;&gt;"",$I80&gt;$H80),"Forecast Slip","On Plan")))</x:f>
      </x:c>
      <x:c r="O80" s="19"/>
      <x:c r="P80" s="6" t="str">
        <x:f t="shared" si="5">IF($B80="","",IF($A80="","Enter item ID",IF(COUNTIF($A$5:$A$204,$A80)&gt;1,"Duplicate item ID",IF($C80="Initiative",IF($D80&lt;&gt;"","Parent must be blank",IF(COUNTIFS($B$5:$B$204,$B80,$C$5:$C$204,"Initiative")&lt;&gt;1,"One Initiative row required",IF(COUNTIFS($D$5:$D$204,$A80,$C$5:$C$204,"Milestone")=0,"Add milestone","OK"))),IF($C80="Milestone",IF(COUNTIFS($A$5:$A$204,$D80,$B$5:$B$204,$B80,$C$5:$C$204,"Initiative")&lt;&gt;1,"Parent must be Initiative",IF(COUNTIFS($D$5:$D$204,$A80,$C$5:$C$204,"Activity")+COUNTIFS($D$5:$D$204,$A80,$C$5:$C$204,"Variation")=0,"Add activity or variation","OK")),IF(OR($C80="Activity",$C80="Variation"),IF(COUNTIFS($A$5:$A$204,$D80,$B$5:$B$204,$B80,$C$5:$C$204,"Milestone")&lt;&gt;1,"Parent must be Milestone",IF(OR($G80="",$H80=""),"Enter baseline dates",IF($H80&lt;$G80,"Baseline finish before start",IF($I80="","Enter forecast finish",IF(COUNT($J80)=0,"Enter actual %",IF(OR(NOT(ISNUMBER($J80)),$J80&lt;0,$J80&gt;1),"Actual % must be 0–100%","OK")))))),"Select level"))))))</x:f>
      </x:c>
    </x:row>
    <x:row r="81">
      <x:c r="A81" s="66" t="str" cm="1">
        <x:f t="array" ref="A81">IF(OR(B81="",C81=""),"",IF(C81="Initiative",COUNTIF($C$5:C81,"Initiative"),IF(C81="Milestone",IF(D81="","",D81&amp;"."&amp;COUNTIFS($D$5:D81,D81,$C$5:C81,"Milestone")),IF(OR(C81="Activity",C81="Variation"),IF(D81="","",D81&amp;"."&amp;(COUNTIFS($D$5:D81,D81,$C$5:C81,"Activity")+COUNTIFS($D$5:D81,D81,$C$5:C81,"Variation"))),""))))</x:f>
      </x:c>
      <x:c r="B81" s="19"/>
      <x:c r="C81" s="19"/>
      <x:c r="D81" s="20"/>
      <x:c r="E81" s="21"/>
      <x:c r="F81" s="21"/>
      <x:c r="G81" s="102"/>
      <x:c r="H81" s="102"/>
      <x:c r="I81" s="102"/>
      <x:c r="J81" s="100"/>
      <x:c r="K81" s="7" t="str">
        <x:f>IF($B81="","",IF($C81="Initiative",IF(COUNTIFS($B$82:$B$204,$B81,$C$82:$C$204,"Activity")+COUNTIFS($B$82:$B$204,$B81,$C$82:$C$204,"Variation")=0,"",IF(COUNTIFS($B$82:$B$204,$B81,$C$82:$C$204,"Activity")+COUNTIFS($B$82:$B$204,$B81,$C$82:$C$204,"Variation")&lt;&gt;COUNTIFS($B$82:$B$204,$B81,$C$82:$C$204,"Activity",$G$82:$G$204,"&lt;&gt;",$H$82:$H$204,"&lt;&gt;")+COUNTIFS($B$82:$B$204,$B81,$C$82:$C$204,"Variation",$G$82:$G$204,"&lt;&gt;",$H$82:$H$204,"&lt;&gt;"),"",(SUMIFS($K$82:$K$204,$B$82:$B$204,$B81,$C$82:$C$204,"Activity")+SUMIFS($K$82:$K$204,$B$82:$B$204,$B81,$C$82:$C$204,"Variation"))/(COUNTIFS($B$82:$B$204,$B81,$C$82:$C$204,"Activity")+COUNTIFS($B$82:$B$204,$B81,$C$82:$C$204,"Variation")))),IF($C81="Milestone",IF(COUNTIFS($D$82:$D$204,$A81,$C$82:$C$204,"Activity")+COUNTIFS($D$82:$D$204,$A81,$C$82:$C$204,"Variation")=0,"",IF(COUNTIFS($D$82:$D$204,$A81,$C$82:$C$204,"Activity")+COUNTIFS($D$82:$D$204,$A81,$C$82:$C$204,"Variation")&lt;&gt;COUNTIFS($D$82:$D$204,$A81,$C$82:$C$204,"Activity",$G$82:$G$204,"&lt;&gt;",$H$82:$H$204,"&lt;&gt;")+COUNTIFS($D$82:$D$204,$A81,$C$82:$C$204,"Variation",$G$82:$G$204,"&lt;&gt;",$H$82:$H$204,"&lt;&gt;"),"",(SUMIFS($K$82:$K$204,$D$82:$D$204,$A81,$C$82:$C$204,"Activity")+SUMIFS($K$82:$K$204,$D$82:$D$204,$A81,$C$82:$C$204,"Variation"))/(COUNTIFS($D$82:$D$204,$A81,$C$82:$C$204,"Activity")+COUNTIFS($D$82:$D$204,$A81,$C$82:$C$204,"Variation")))),IF(OR($C81="Activity",$C81="Variation"),IF(OR($G81="",$H81=""),"",IF($H81&lt;$G81,"",IF($H81=$G81,--(TODAY()&gt;=$H81),MAX(0,MIN(1,(TODAY()-$G81)/($H81-$G81)))))),""))))</x:f>
      </x:c>
      <x:c r="L81" s="7" t="str">
        <x:f t="shared" si="3">IF($B81="","",IF($C81="Initiative",IF(COUNTIFS($B$5:$B$204,$B81,$C$5:$C$204,"Activity")+COUNTIFS($B$5:$B$204,$B81,$C$5:$C$204,"Variation")=0,"",IF(COUNTIFS($B$5:$B$204,$B81,$C$5:$C$204,"Activity")+COUNTIFS($B$5:$B$204,$B81,$C$5:$C$204,"Variation")&lt;&gt;COUNTIFS($B$5:$B$204,$B81,$C$5:$C$204,"Activity",$J$5:$J$204,"&lt;&gt;",$J$5:$J$204,"&gt;=0",$J$5:$J$204,"&lt;=1")+COUNTIFS($B$5:$B$204,$B81,$C$5:$C$204,"Variation",$J$5:$J$204,"&lt;&gt;",$J$5:$J$204,"&gt;=0",$J$5:$J$204,"&lt;=1"),"",(SUMIFS($J$5:$J$204,$B$5:$B$204,$B81,$C$5:$C$204,"Activity")+SUMIFS($J$5:$J$204,$B$5:$B$204,$B81,$C$5:$C$204,"Variation"))/(COUNTIFS($B$5:$B$204,$B81,$C$5:$C$204,"Activity")+COUNTIFS($B$5:$B$204,$B81,$C$5:$C$204,"Variation")))),IF($C81="Milestone",IF(COUNTIFS($D$5:$D$204,$A81,$C$5:$C$204,"Activity")+COUNTIFS($D$5:$D$204,$A81,$C$5:$C$204,"Variation")=0,"",IF(COUNTIFS($D$5:$D$204,$A81,$C$5:$C$204,"Activity")+COUNTIFS($D$5:$D$204,$A81,$C$5:$C$204,"Variation")&lt;&gt;COUNTIFS($D$5:$D$204,$A81,$C$5:$C$204,"Activity",$J$5:$J$204,"&lt;&gt;",$J$5:$J$204,"&gt;=0",$J$5:$J$204,"&lt;=1")+COUNTIFS($D$5:$D$204,$A81,$C$5:$C$204,"Variation",$J$5:$J$204,"&lt;&gt;",$J$5:$J$204,"&gt;=0",$J$5:$J$204,"&lt;=1"),"",(SUMIFS($J$5:$J$204,$D$5:$D$204,$A81,$C$5:$C$204,"Activity")+SUMIFS($J$5:$J$204,$D$5:$D$204,$A81,$C$5:$C$204,"Variation"))/(COUNTIFS($D$5:$D$204,$A81,$C$5:$C$204,"Activity")+COUNTIFS($D$5:$D$204,$A81,$C$5:$C$204,"Variation")))),IF(OR($C81="Activity",$C81="Variation"),IF(AND(ISNUMBER($J81),$J81&gt;=0,$J81&lt;=1),$J81,""),""))))</x:f>
      </x:c>
      <x:c r="M81" s="7" t="str">
        <x:f t="shared" si="4">IF(OR($K81="",$L81=""),"",$L81-$K81)</x:f>
      </x:c>
      <x:c r="N81" s="6" t="str">
        <x:f>IF(OR($B81="",$I81="",$L81=""),"",IF(AND($L81&lt;1,$I81&lt;TODAY()),"Late",IF(AND($H81&lt;&gt;"",$I81&gt;$H81),"Forecast Slip","On Plan")))</x:f>
      </x:c>
      <x:c r="O81" s="19"/>
      <x:c r="P81" s="6" t="str">
        <x:f t="shared" si="5">IF($B81="","",IF($A81="","Enter item ID",IF(COUNTIF($A$5:$A$204,$A81)&gt;1,"Duplicate item ID",IF($C81="Initiative",IF($D81&lt;&gt;"","Parent must be blank",IF(COUNTIFS($B$5:$B$204,$B81,$C$5:$C$204,"Initiative")&lt;&gt;1,"One Initiative row required",IF(COUNTIFS($D$5:$D$204,$A81,$C$5:$C$204,"Milestone")=0,"Add milestone","OK"))),IF($C81="Milestone",IF(COUNTIFS($A$5:$A$204,$D81,$B$5:$B$204,$B81,$C$5:$C$204,"Initiative")&lt;&gt;1,"Parent must be Initiative",IF(COUNTIFS($D$5:$D$204,$A81,$C$5:$C$204,"Activity")+COUNTIFS($D$5:$D$204,$A81,$C$5:$C$204,"Variation")=0,"Add activity or variation","OK")),IF(OR($C81="Activity",$C81="Variation"),IF(COUNTIFS($A$5:$A$204,$D81,$B$5:$B$204,$B81,$C$5:$C$204,"Milestone")&lt;&gt;1,"Parent must be Milestone",IF(OR($G81="",$H81=""),"Enter baseline dates",IF($H81&lt;$G81,"Baseline finish before start",IF($I81="","Enter forecast finish",IF(COUNT($J81)=0,"Enter actual %",IF(OR(NOT(ISNUMBER($J81)),$J81&lt;0,$J81&gt;1),"Actual % must be 0–100%","OK")))))),"Select level"))))))</x:f>
      </x:c>
    </x:row>
    <x:row r="82">
      <x:c r="A82" s="66" t="str" cm="1">
        <x:f t="array" ref="A82">IF(OR(B82="",C82=""),"",IF(C82="Initiative",COUNTIF($C$5:C82,"Initiative"),IF(C82="Milestone",IF(D82="","",D82&amp;"."&amp;COUNTIFS($D$5:D82,D82,$C$5:C82,"Milestone")),IF(OR(C82="Activity",C82="Variation"),IF(D82="","",D82&amp;"."&amp;(COUNTIFS($D$5:D82,D82,$C$5:C82,"Activity")+COUNTIFS($D$5:D82,D82,$C$5:C82,"Variation"))),""))))</x:f>
      </x:c>
      <x:c r="B82" s="19"/>
      <x:c r="C82" s="19"/>
      <x:c r="D82" s="20"/>
      <x:c r="E82" s="21"/>
      <x:c r="F82" s="21"/>
      <x:c r="G82" s="102"/>
      <x:c r="H82" s="102"/>
      <x:c r="I82" s="102"/>
      <x:c r="J82" s="100"/>
      <x:c r="K82" s="7" t="str">
        <x:f>IF($B82="","",IF($C82="Initiative",IF(COUNTIFS($B$83:$B$204,$B82,$C$83:$C$204,"Activity")+COUNTIFS($B$83:$B$204,$B82,$C$83:$C$204,"Variation")=0,"",IF(COUNTIFS($B$83:$B$204,$B82,$C$83:$C$204,"Activity")+COUNTIFS($B$83:$B$204,$B82,$C$83:$C$204,"Variation")&lt;&gt;COUNTIFS($B$83:$B$204,$B82,$C$83:$C$204,"Activity",$G$83:$G$204,"&lt;&gt;",$H$83:$H$204,"&lt;&gt;")+COUNTIFS($B$83:$B$204,$B82,$C$83:$C$204,"Variation",$G$83:$G$204,"&lt;&gt;",$H$83:$H$204,"&lt;&gt;"),"",(SUMIFS($K$83:$K$204,$B$83:$B$204,$B82,$C$83:$C$204,"Activity")+SUMIFS($K$83:$K$204,$B$83:$B$204,$B82,$C$83:$C$204,"Variation"))/(COUNTIFS($B$83:$B$204,$B82,$C$83:$C$204,"Activity")+COUNTIFS($B$83:$B$204,$B82,$C$83:$C$204,"Variation")))),IF($C82="Milestone",IF(COUNTIFS($D$83:$D$204,$A82,$C$83:$C$204,"Activity")+COUNTIFS($D$83:$D$204,$A82,$C$83:$C$204,"Variation")=0,"",IF(COUNTIFS($D$83:$D$204,$A82,$C$83:$C$204,"Activity")+COUNTIFS($D$83:$D$204,$A82,$C$83:$C$204,"Variation")&lt;&gt;COUNTIFS($D$83:$D$204,$A82,$C$83:$C$204,"Activity",$G$83:$G$204,"&lt;&gt;",$H$83:$H$204,"&lt;&gt;")+COUNTIFS($D$83:$D$204,$A82,$C$83:$C$204,"Variation",$G$83:$G$204,"&lt;&gt;",$H$83:$H$204,"&lt;&gt;"),"",(SUMIFS($K$83:$K$204,$D$83:$D$204,$A82,$C$83:$C$204,"Activity")+SUMIFS($K$83:$K$204,$D$83:$D$204,$A82,$C$83:$C$204,"Variation"))/(COUNTIFS($D$83:$D$204,$A82,$C$83:$C$204,"Activity")+COUNTIFS($D$83:$D$204,$A82,$C$83:$C$204,"Variation")))),IF(OR($C82="Activity",$C82="Variation"),IF(OR($G82="",$H82=""),"",IF($H82&lt;$G82,"",IF($H82=$G82,--(TODAY()&gt;=$H82),MAX(0,MIN(1,(TODAY()-$G82)/($H82-$G82)))))),""))))</x:f>
      </x:c>
      <x:c r="L82" s="7" t="str">
        <x:f t="shared" si="3">IF($B82="","",IF($C82="Initiative",IF(COUNTIFS($B$5:$B$204,$B82,$C$5:$C$204,"Activity")+COUNTIFS($B$5:$B$204,$B82,$C$5:$C$204,"Variation")=0,"",IF(COUNTIFS($B$5:$B$204,$B82,$C$5:$C$204,"Activity")+COUNTIFS($B$5:$B$204,$B82,$C$5:$C$204,"Variation")&lt;&gt;COUNTIFS($B$5:$B$204,$B82,$C$5:$C$204,"Activity",$J$5:$J$204,"&lt;&gt;",$J$5:$J$204,"&gt;=0",$J$5:$J$204,"&lt;=1")+COUNTIFS($B$5:$B$204,$B82,$C$5:$C$204,"Variation",$J$5:$J$204,"&lt;&gt;",$J$5:$J$204,"&gt;=0",$J$5:$J$204,"&lt;=1"),"",(SUMIFS($J$5:$J$204,$B$5:$B$204,$B82,$C$5:$C$204,"Activity")+SUMIFS($J$5:$J$204,$B$5:$B$204,$B82,$C$5:$C$204,"Variation"))/(COUNTIFS($B$5:$B$204,$B82,$C$5:$C$204,"Activity")+COUNTIFS($B$5:$B$204,$B82,$C$5:$C$204,"Variation")))),IF($C82="Milestone",IF(COUNTIFS($D$5:$D$204,$A82,$C$5:$C$204,"Activity")+COUNTIFS($D$5:$D$204,$A82,$C$5:$C$204,"Variation")=0,"",IF(COUNTIFS($D$5:$D$204,$A82,$C$5:$C$204,"Activity")+COUNTIFS($D$5:$D$204,$A82,$C$5:$C$204,"Variation")&lt;&gt;COUNTIFS($D$5:$D$204,$A82,$C$5:$C$204,"Activity",$J$5:$J$204,"&lt;&gt;",$J$5:$J$204,"&gt;=0",$J$5:$J$204,"&lt;=1")+COUNTIFS($D$5:$D$204,$A82,$C$5:$C$204,"Variation",$J$5:$J$204,"&lt;&gt;",$J$5:$J$204,"&gt;=0",$J$5:$J$204,"&lt;=1"),"",(SUMIFS($J$5:$J$204,$D$5:$D$204,$A82,$C$5:$C$204,"Activity")+SUMIFS($J$5:$J$204,$D$5:$D$204,$A82,$C$5:$C$204,"Variation"))/(COUNTIFS($D$5:$D$204,$A82,$C$5:$C$204,"Activity")+COUNTIFS($D$5:$D$204,$A82,$C$5:$C$204,"Variation")))),IF(OR($C82="Activity",$C82="Variation"),IF(AND(ISNUMBER($J82),$J82&gt;=0,$J82&lt;=1),$J82,""),""))))</x:f>
      </x:c>
      <x:c r="M82" s="7" t="str">
        <x:f t="shared" si="4">IF(OR($K82="",$L82=""),"",$L82-$K82)</x:f>
      </x:c>
      <x:c r="N82" s="6" t="str">
        <x:f>IF(OR($B82="",$I82="",$L82=""),"",IF(AND($L82&lt;1,$I82&lt;TODAY()),"Late",IF(AND($H82&lt;&gt;"",$I82&gt;$H82),"Forecast Slip","On Plan")))</x:f>
      </x:c>
      <x:c r="O82" s="19"/>
      <x:c r="P82" s="6" t="str">
        <x:f t="shared" si="5">IF($B82="","",IF($A82="","Enter item ID",IF(COUNTIF($A$5:$A$204,$A82)&gt;1,"Duplicate item ID",IF($C82="Initiative",IF($D82&lt;&gt;"","Parent must be blank",IF(COUNTIFS($B$5:$B$204,$B82,$C$5:$C$204,"Initiative")&lt;&gt;1,"One Initiative row required",IF(COUNTIFS($D$5:$D$204,$A82,$C$5:$C$204,"Milestone")=0,"Add milestone","OK"))),IF($C82="Milestone",IF(COUNTIFS($A$5:$A$204,$D82,$B$5:$B$204,$B82,$C$5:$C$204,"Initiative")&lt;&gt;1,"Parent must be Initiative",IF(COUNTIFS($D$5:$D$204,$A82,$C$5:$C$204,"Activity")+COUNTIFS($D$5:$D$204,$A82,$C$5:$C$204,"Variation")=0,"Add activity or variation","OK")),IF(OR($C82="Activity",$C82="Variation"),IF(COUNTIFS($A$5:$A$204,$D82,$B$5:$B$204,$B82,$C$5:$C$204,"Milestone")&lt;&gt;1,"Parent must be Milestone",IF(OR($G82="",$H82=""),"Enter baseline dates",IF($H82&lt;$G82,"Baseline finish before start",IF($I82="","Enter forecast finish",IF(COUNT($J82)=0,"Enter actual %",IF(OR(NOT(ISNUMBER($J82)),$J82&lt;0,$J82&gt;1),"Actual % must be 0–100%","OK")))))),"Select level"))))))</x:f>
      </x:c>
    </x:row>
    <x:row r="83">
      <x:c r="A83" s="66" t="str" cm="1">
        <x:f t="array" ref="A83">IF(OR(B83="",C83=""),"",IF(C83="Initiative",COUNTIF($C$5:C83,"Initiative"),IF(C83="Milestone",IF(D83="","",D83&amp;"."&amp;COUNTIFS($D$5:D83,D83,$C$5:C83,"Milestone")),IF(OR(C83="Activity",C83="Variation"),IF(D83="","",D83&amp;"."&amp;(COUNTIFS($D$5:D83,D83,$C$5:C83,"Activity")+COUNTIFS($D$5:D83,D83,$C$5:C83,"Variation"))),""))))</x:f>
      </x:c>
      <x:c r="B83" s="19"/>
      <x:c r="C83" s="19"/>
      <x:c r="D83" s="20"/>
      <x:c r="E83" s="21"/>
      <x:c r="F83" s="21"/>
      <x:c r="G83" s="102"/>
      <x:c r="H83" s="102"/>
      <x:c r="I83" s="102"/>
      <x:c r="J83" s="100"/>
      <x:c r="K83" s="7" t="str">
        <x:f>IF($B83="","",IF($C83="Initiative",IF(COUNTIFS($B$84:$B$204,$B83,$C$84:$C$204,"Activity")+COUNTIFS($B$84:$B$204,$B83,$C$84:$C$204,"Variation")=0,"",IF(COUNTIFS($B$84:$B$204,$B83,$C$84:$C$204,"Activity")+COUNTIFS($B$84:$B$204,$B83,$C$84:$C$204,"Variation")&lt;&gt;COUNTIFS($B$84:$B$204,$B83,$C$84:$C$204,"Activity",$G$84:$G$204,"&lt;&gt;",$H$84:$H$204,"&lt;&gt;")+COUNTIFS($B$84:$B$204,$B83,$C$84:$C$204,"Variation",$G$84:$G$204,"&lt;&gt;",$H$84:$H$204,"&lt;&gt;"),"",(SUMIFS($K$84:$K$204,$B$84:$B$204,$B83,$C$84:$C$204,"Activity")+SUMIFS($K$84:$K$204,$B$84:$B$204,$B83,$C$84:$C$204,"Variation"))/(COUNTIFS($B$84:$B$204,$B83,$C$84:$C$204,"Activity")+COUNTIFS($B$84:$B$204,$B83,$C$84:$C$204,"Variation")))),IF($C83="Milestone",IF(COUNTIFS($D$84:$D$204,$A83,$C$84:$C$204,"Activity")+COUNTIFS($D$84:$D$204,$A83,$C$84:$C$204,"Variation")=0,"",IF(COUNTIFS($D$84:$D$204,$A83,$C$84:$C$204,"Activity")+COUNTIFS($D$84:$D$204,$A83,$C$84:$C$204,"Variation")&lt;&gt;COUNTIFS($D$84:$D$204,$A83,$C$84:$C$204,"Activity",$G$84:$G$204,"&lt;&gt;",$H$84:$H$204,"&lt;&gt;")+COUNTIFS($D$84:$D$204,$A83,$C$84:$C$204,"Variation",$G$84:$G$204,"&lt;&gt;",$H$84:$H$204,"&lt;&gt;"),"",(SUMIFS($K$84:$K$204,$D$84:$D$204,$A83,$C$84:$C$204,"Activity")+SUMIFS($K$84:$K$204,$D$84:$D$204,$A83,$C$84:$C$204,"Variation"))/(COUNTIFS($D$84:$D$204,$A83,$C$84:$C$204,"Activity")+COUNTIFS($D$84:$D$204,$A83,$C$84:$C$204,"Variation")))),IF(OR($C83="Activity",$C83="Variation"),IF(OR($G83="",$H83=""),"",IF($H83&lt;$G83,"",IF($H83=$G83,--(TODAY()&gt;=$H83),MAX(0,MIN(1,(TODAY()-$G83)/($H83-$G83)))))),""))))</x:f>
      </x:c>
      <x:c r="L83" s="7" t="str">
        <x:f t="shared" si="3">IF($B83="","",IF($C83="Initiative",IF(COUNTIFS($B$5:$B$204,$B83,$C$5:$C$204,"Activity")+COUNTIFS($B$5:$B$204,$B83,$C$5:$C$204,"Variation")=0,"",IF(COUNTIFS($B$5:$B$204,$B83,$C$5:$C$204,"Activity")+COUNTIFS($B$5:$B$204,$B83,$C$5:$C$204,"Variation")&lt;&gt;COUNTIFS($B$5:$B$204,$B83,$C$5:$C$204,"Activity",$J$5:$J$204,"&lt;&gt;",$J$5:$J$204,"&gt;=0",$J$5:$J$204,"&lt;=1")+COUNTIFS($B$5:$B$204,$B83,$C$5:$C$204,"Variation",$J$5:$J$204,"&lt;&gt;",$J$5:$J$204,"&gt;=0",$J$5:$J$204,"&lt;=1"),"",(SUMIFS($J$5:$J$204,$B$5:$B$204,$B83,$C$5:$C$204,"Activity")+SUMIFS($J$5:$J$204,$B$5:$B$204,$B83,$C$5:$C$204,"Variation"))/(COUNTIFS($B$5:$B$204,$B83,$C$5:$C$204,"Activity")+COUNTIFS($B$5:$B$204,$B83,$C$5:$C$204,"Variation")))),IF($C83="Milestone",IF(COUNTIFS($D$5:$D$204,$A83,$C$5:$C$204,"Activity")+COUNTIFS($D$5:$D$204,$A83,$C$5:$C$204,"Variation")=0,"",IF(COUNTIFS($D$5:$D$204,$A83,$C$5:$C$204,"Activity")+COUNTIFS($D$5:$D$204,$A83,$C$5:$C$204,"Variation")&lt;&gt;COUNTIFS($D$5:$D$204,$A83,$C$5:$C$204,"Activity",$J$5:$J$204,"&lt;&gt;",$J$5:$J$204,"&gt;=0",$J$5:$J$204,"&lt;=1")+COUNTIFS($D$5:$D$204,$A83,$C$5:$C$204,"Variation",$J$5:$J$204,"&lt;&gt;",$J$5:$J$204,"&gt;=0",$J$5:$J$204,"&lt;=1"),"",(SUMIFS($J$5:$J$204,$D$5:$D$204,$A83,$C$5:$C$204,"Activity")+SUMIFS($J$5:$J$204,$D$5:$D$204,$A83,$C$5:$C$204,"Variation"))/(COUNTIFS($D$5:$D$204,$A83,$C$5:$C$204,"Activity")+COUNTIFS($D$5:$D$204,$A83,$C$5:$C$204,"Variation")))),IF(OR($C83="Activity",$C83="Variation"),IF(AND(ISNUMBER($J83),$J83&gt;=0,$J83&lt;=1),$J83,""),""))))</x:f>
      </x:c>
      <x:c r="M83" s="7" t="str">
        <x:f t="shared" si="4">IF(OR($K83="",$L83=""),"",$L83-$K83)</x:f>
      </x:c>
      <x:c r="N83" s="6" t="str">
        <x:f>IF(OR($B83="",$I83="",$L83=""),"",IF(AND($L83&lt;1,$I83&lt;TODAY()),"Late",IF(AND($H83&lt;&gt;"",$I83&gt;$H83),"Forecast Slip","On Plan")))</x:f>
      </x:c>
      <x:c r="O83" s="19"/>
      <x:c r="P83" s="6" t="str">
        <x:f t="shared" si="5">IF($B83="","",IF($A83="","Enter item ID",IF(COUNTIF($A$5:$A$204,$A83)&gt;1,"Duplicate item ID",IF($C83="Initiative",IF($D83&lt;&gt;"","Parent must be blank",IF(COUNTIFS($B$5:$B$204,$B83,$C$5:$C$204,"Initiative")&lt;&gt;1,"One Initiative row required",IF(COUNTIFS($D$5:$D$204,$A83,$C$5:$C$204,"Milestone")=0,"Add milestone","OK"))),IF($C83="Milestone",IF(COUNTIFS($A$5:$A$204,$D83,$B$5:$B$204,$B83,$C$5:$C$204,"Initiative")&lt;&gt;1,"Parent must be Initiative",IF(COUNTIFS($D$5:$D$204,$A83,$C$5:$C$204,"Activity")+COUNTIFS($D$5:$D$204,$A83,$C$5:$C$204,"Variation")=0,"Add activity or variation","OK")),IF(OR($C83="Activity",$C83="Variation"),IF(COUNTIFS($A$5:$A$204,$D83,$B$5:$B$204,$B83,$C$5:$C$204,"Milestone")&lt;&gt;1,"Parent must be Milestone",IF(OR($G83="",$H83=""),"Enter baseline dates",IF($H83&lt;$G83,"Baseline finish before start",IF($I83="","Enter forecast finish",IF(COUNT($J83)=0,"Enter actual %",IF(OR(NOT(ISNUMBER($J83)),$J83&lt;0,$J83&gt;1),"Actual % must be 0–100%","OK")))))),"Select level"))))))</x:f>
      </x:c>
    </x:row>
    <x:row r="84">
      <x:c r="A84" s="66" t="str" cm="1">
        <x:f t="array" ref="A84">IF(OR(B84="",C84=""),"",IF(C84="Initiative",COUNTIF($C$5:C84,"Initiative"),IF(C84="Milestone",IF(D84="","",D84&amp;"."&amp;COUNTIFS($D$5:D84,D84,$C$5:C84,"Milestone")),IF(OR(C84="Activity",C84="Variation"),IF(D84="","",D84&amp;"."&amp;(COUNTIFS($D$5:D84,D84,$C$5:C84,"Activity")+COUNTIFS($D$5:D84,D84,$C$5:C84,"Variation"))),""))))</x:f>
      </x:c>
      <x:c r="B84" s="19"/>
      <x:c r="C84" s="19"/>
      <x:c r="D84" s="20"/>
      <x:c r="E84" s="21"/>
      <x:c r="F84" s="21"/>
      <x:c r="G84" s="102"/>
      <x:c r="H84" s="102"/>
      <x:c r="I84" s="102"/>
      <x:c r="J84" s="100"/>
      <x:c r="K84" s="7" t="str">
        <x:f>IF($B84="","",IF($C84="Initiative",IF(COUNTIFS($B$85:$B$204,$B84,$C$85:$C$204,"Activity")+COUNTIFS($B$85:$B$204,$B84,$C$85:$C$204,"Variation")=0,"",IF(COUNTIFS($B$85:$B$204,$B84,$C$85:$C$204,"Activity")+COUNTIFS($B$85:$B$204,$B84,$C$85:$C$204,"Variation")&lt;&gt;COUNTIFS($B$85:$B$204,$B84,$C$85:$C$204,"Activity",$G$85:$G$204,"&lt;&gt;",$H$85:$H$204,"&lt;&gt;")+COUNTIFS($B$85:$B$204,$B84,$C$85:$C$204,"Variation",$G$85:$G$204,"&lt;&gt;",$H$85:$H$204,"&lt;&gt;"),"",(SUMIFS($K$85:$K$204,$B$85:$B$204,$B84,$C$85:$C$204,"Activity")+SUMIFS($K$85:$K$204,$B$85:$B$204,$B84,$C$85:$C$204,"Variation"))/(COUNTIFS($B$85:$B$204,$B84,$C$85:$C$204,"Activity")+COUNTIFS($B$85:$B$204,$B84,$C$85:$C$204,"Variation")))),IF($C84="Milestone",IF(COUNTIFS($D$85:$D$204,$A84,$C$85:$C$204,"Activity")+COUNTIFS($D$85:$D$204,$A84,$C$85:$C$204,"Variation")=0,"",IF(COUNTIFS($D$85:$D$204,$A84,$C$85:$C$204,"Activity")+COUNTIFS($D$85:$D$204,$A84,$C$85:$C$204,"Variation")&lt;&gt;COUNTIFS($D$85:$D$204,$A84,$C$85:$C$204,"Activity",$G$85:$G$204,"&lt;&gt;",$H$85:$H$204,"&lt;&gt;")+COUNTIFS($D$85:$D$204,$A84,$C$85:$C$204,"Variation",$G$85:$G$204,"&lt;&gt;",$H$85:$H$204,"&lt;&gt;"),"",(SUMIFS($K$85:$K$204,$D$85:$D$204,$A84,$C$85:$C$204,"Activity")+SUMIFS($K$85:$K$204,$D$85:$D$204,$A84,$C$85:$C$204,"Variation"))/(COUNTIFS($D$85:$D$204,$A84,$C$85:$C$204,"Activity")+COUNTIFS($D$85:$D$204,$A84,$C$85:$C$204,"Variation")))),IF(OR($C84="Activity",$C84="Variation"),IF(OR($G84="",$H84=""),"",IF($H84&lt;$G84,"",IF($H84=$G84,--(TODAY()&gt;=$H84),MAX(0,MIN(1,(TODAY()-$G84)/($H84-$G84)))))),""))))</x:f>
      </x:c>
      <x:c r="L84" s="7" t="str">
        <x:f t="shared" si="3">IF($B84="","",IF($C84="Initiative",IF(COUNTIFS($B$5:$B$204,$B84,$C$5:$C$204,"Activity")+COUNTIFS($B$5:$B$204,$B84,$C$5:$C$204,"Variation")=0,"",IF(COUNTIFS($B$5:$B$204,$B84,$C$5:$C$204,"Activity")+COUNTIFS($B$5:$B$204,$B84,$C$5:$C$204,"Variation")&lt;&gt;COUNTIFS($B$5:$B$204,$B84,$C$5:$C$204,"Activity",$J$5:$J$204,"&lt;&gt;",$J$5:$J$204,"&gt;=0",$J$5:$J$204,"&lt;=1")+COUNTIFS($B$5:$B$204,$B84,$C$5:$C$204,"Variation",$J$5:$J$204,"&lt;&gt;",$J$5:$J$204,"&gt;=0",$J$5:$J$204,"&lt;=1"),"",(SUMIFS($J$5:$J$204,$B$5:$B$204,$B84,$C$5:$C$204,"Activity")+SUMIFS($J$5:$J$204,$B$5:$B$204,$B84,$C$5:$C$204,"Variation"))/(COUNTIFS($B$5:$B$204,$B84,$C$5:$C$204,"Activity")+COUNTIFS($B$5:$B$204,$B84,$C$5:$C$204,"Variation")))),IF($C84="Milestone",IF(COUNTIFS($D$5:$D$204,$A84,$C$5:$C$204,"Activity")+COUNTIFS($D$5:$D$204,$A84,$C$5:$C$204,"Variation")=0,"",IF(COUNTIFS($D$5:$D$204,$A84,$C$5:$C$204,"Activity")+COUNTIFS($D$5:$D$204,$A84,$C$5:$C$204,"Variation")&lt;&gt;COUNTIFS($D$5:$D$204,$A84,$C$5:$C$204,"Activity",$J$5:$J$204,"&lt;&gt;",$J$5:$J$204,"&gt;=0",$J$5:$J$204,"&lt;=1")+COUNTIFS($D$5:$D$204,$A84,$C$5:$C$204,"Variation",$J$5:$J$204,"&lt;&gt;",$J$5:$J$204,"&gt;=0",$J$5:$J$204,"&lt;=1"),"",(SUMIFS($J$5:$J$204,$D$5:$D$204,$A84,$C$5:$C$204,"Activity")+SUMIFS($J$5:$J$204,$D$5:$D$204,$A84,$C$5:$C$204,"Variation"))/(COUNTIFS($D$5:$D$204,$A84,$C$5:$C$204,"Activity")+COUNTIFS($D$5:$D$204,$A84,$C$5:$C$204,"Variation")))),IF(OR($C84="Activity",$C84="Variation"),IF(AND(ISNUMBER($J84),$J84&gt;=0,$J84&lt;=1),$J84,""),""))))</x:f>
      </x:c>
      <x:c r="M84" s="7" t="str">
        <x:f t="shared" si="4">IF(OR($K84="",$L84=""),"",$L84-$K84)</x:f>
      </x:c>
      <x:c r="N84" s="6" t="str">
        <x:f>IF(OR($B84="",$I84="",$L84=""),"",IF(AND($L84&lt;1,$I84&lt;TODAY()),"Late",IF(AND($H84&lt;&gt;"",$I84&gt;$H84),"Forecast Slip","On Plan")))</x:f>
      </x:c>
      <x:c r="O84" s="19"/>
      <x:c r="P84" s="6" t="str">
        <x:f t="shared" si="5">IF($B84="","",IF($A84="","Enter item ID",IF(COUNTIF($A$5:$A$204,$A84)&gt;1,"Duplicate item ID",IF($C84="Initiative",IF($D84&lt;&gt;"","Parent must be blank",IF(COUNTIFS($B$5:$B$204,$B84,$C$5:$C$204,"Initiative")&lt;&gt;1,"One Initiative row required",IF(COUNTIFS($D$5:$D$204,$A84,$C$5:$C$204,"Milestone")=0,"Add milestone","OK"))),IF($C84="Milestone",IF(COUNTIFS($A$5:$A$204,$D84,$B$5:$B$204,$B84,$C$5:$C$204,"Initiative")&lt;&gt;1,"Parent must be Initiative",IF(COUNTIFS($D$5:$D$204,$A84,$C$5:$C$204,"Activity")+COUNTIFS($D$5:$D$204,$A84,$C$5:$C$204,"Variation")=0,"Add activity or variation","OK")),IF(OR($C84="Activity",$C84="Variation"),IF(COUNTIFS($A$5:$A$204,$D84,$B$5:$B$204,$B84,$C$5:$C$204,"Milestone")&lt;&gt;1,"Parent must be Milestone",IF(OR($G84="",$H84=""),"Enter baseline dates",IF($H84&lt;$G84,"Baseline finish before start",IF($I84="","Enter forecast finish",IF(COUNT($J84)=0,"Enter actual %",IF(OR(NOT(ISNUMBER($J84)),$J84&lt;0,$J84&gt;1),"Actual % must be 0–100%","OK")))))),"Select level"))))))</x:f>
      </x:c>
    </x:row>
    <x:row r="85">
      <x:c r="A85" s="66" t="str" cm="1">
        <x:f t="array" ref="A85">IF(OR(B85="",C85=""),"",IF(C85="Initiative",COUNTIF($C$5:C85,"Initiative"),IF(C85="Milestone",IF(D85="","",D85&amp;"."&amp;COUNTIFS($D$5:D85,D85,$C$5:C85,"Milestone")),IF(OR(C85="Activity",C85="Variation"),IF(D85="","",D85&amp;"."&amp;(COUNTIFS($D$5:D85,D85,$C$5:C85,"Activity")+COUNTIFS($D$5:D85,D85,$C$5:C85,"Variation"))),""))))</x:f>
      </x:c>
      <x:c r="B85" s="19"/>
      <x:c r="C85" s="19"/>
      <x:c r="D85" s="20"/>
      <x:c r="E85" s="21"/>
      <x:c r="F85" s="21"/>
      <x:c r="G85" s="102"/>
      <x:c r="H85" s="102"/>
      <x:c r="I85" s="102"/>
      <x:c r="J85" s="100"/>
      <x:c r="K85" s="7" t="str">
        <x:f>IF($B85="","",IF($C85="Initiative",IF(COUNTIFS($B$86:$B$204,$B85,$C$86:$C$204,"Activity")+COUNTIFS($B$86:$B$204,$B85,$C$86:$C$204,"Variation")=0,"",IF(COUNTIFS($B$86:$B$204,$B85,$C$86:$C$204,"Activity")+COUNTIFS($B$86:$B$204,$B85,$C$86:$C$204,"Variation")&lt;&gt;COUNTIFS($B$86:$B$204,$B85,$C$86:$C$204,"Activity",$G$86:$G$204,"&lt;&gt;",$H$86:$H$204,"&lt;&gt;")+COUNTIFS($B$86:$B$204,$B85,$C$86:$C$204,"Variation",$G$86:$G$204,"&lt;&gt;",$H$86:$H$204,"&lt;&gt;"),"",(SUMIFS($K$86:$K$204,$B$86:$B$204,$B85,$C$86:$C$204,"Activity")+SUMIFS($K$86:$K$204,$B$86:$B$204,$B85,$C$86:$C$204,"Variation"))/(COUNTIFS($B$86:$B$204,$B85,$C$86:$C$204,"Activity")+COUNTIFS($B$86:$B$204,$B85,$C$86:$C$204,"Variation")))),IF($C85="Milestone",IF(COUNTIFS($D$86:$D$204,$A85,$C$86:$C$204,"Activity")+COUNTIFS($D$86:$D$204,$A85,$C$86:$C$204,"Variation")=0,"",IF(COUNTIFS($D$86:$D$204,$A85,$C$86:$C$204,"Activity")+COUNTIFS($D$86:$D$204,$A85,$C$86:$C$204,"Variation")&lt;&gt;COUNTIFS($D$86:$D$204,$A85,$C$86:$C$204,"Activity",$G$86:$G$204,"&lt;&gt;",$H$86:$H$204,"&lt;&gt;")+COUNTIFS($D$86:$D$204,$A85,$C$86:$C$204,"Variation",$G$86:$G$204,"&lt;&gt;",$H$86:$H$204,"&lt;&gt;"),"",(SUMIFS($K$86:$K$204,$D$86:$D$204,$A85,$C$86:$C$204,"Activity")+SUMIFS($K$86:$K$204,$D$86:$D$204,$A85,$C$86:$C$204,"Variation"))/(COUNTIFS($D$86:$D$204,$A85,$C$86:$C$204,"Activity")+COUNTIFS($D$86:$D$204,$A85,$C$86:$C$204,"Variation")))),IF(OR($C85="Activity",$C85="Variation"),IF(OR($G85="",$H85=""),"",IF($H85&lt;$G85,"",IF($H85=$G85,--(TODAY()&gt;=$H85),MAX(0,MIN(1,(TODAY()-$G85)/($H85-$G85)))))),""))))</x:f>
      </x:c>
      <x:c r="L85" s="7" t="str">
        <x:f t="shared" si="3">IF($B85="","",IF($C85="Initiative",IF(COUNTIFS($B$5:$B$204,$B85,$C$5:$C$204,"Activity")+COUNTIFS($B$5:$B$204,$B85,$C$5:$C$204,"Variation")=0,"",IF(COUNTIFS($B$5:$B$204,$B85,$C$5:$C$204,"Activity")+COUNTIFS($B$5:$B$204,$B85,$C$5:$C$204,"Variation")&lt;&gt;COUNTIFS($B$5:$B$204,$B85,$C$5:$C$204,"Activity",$J$5:$J$204,"&lt;&gt;",$J$5:$J$204,"&gt;=0",$J$5:$J$204,"&lt;=1")+COUNTIFS($B$5:$B$204,$B85,$C$5:$C$204,"Variation",$J$5:$J$204,"&lt;&gt;",$J$5:$J$204,"&gt;=0",$J$5:$J$204,"&lt;=1"),"",(SUMIFS($J$5:$J$204,$B$5:$B$204,$B85,$C$5:$C$204,"Activity")+SUMIFS($J$5:$J$204,$B$5:$B$204,$B85,$C$5:$C$204,"Variation"))/(COUNTIFS($B$5:$B$204,$B85,$C$5:$C$204,"Activity")+COUNTIFS($B$5:$B$204,$B85,$C$5:$C$204,"Variation")))),IF($C85="Milestone",IF(COUNTIFS($D$5:$D$204,$A85,$C$5:$C$204,"Activity")+COUNTIFS($D$5:$D$204,$A85,$C$5:$C$204,"Variation")=0,"",IF(COUNTIFS($D$5:$D$204,$A85,$C$5:$C$204,"Activity")+COUNTIFS($D$5:$D$204,$A85,$C$5:$C$204,"Variation")&lt;&gt;COUNTIFS($D$5:$D$204,$A85,$C$5:$C$204,"Activity",$J$5:$J$204,"&lt;&gt;",$J$5:$J$204,"&gt;=0",$J$5:$J$204,"&lt;=1")+COUNTIFS($D$5:$D$204,$A85,$C$5:$C$204,"Variation",$J$5:$J$204,"&lt;&gt;",$J$5:$J$204,"&gt;=0",$J$5:$J$204,"&lt;=1"),"",(SUMIFS($J$5:$J$204,$D$5:$D$204,$A85,$C$5:$C$204,"Activity")+SUMIFS($J$5:$J$204,$D$5:$D$204,$A85,$C$5:$C$204,"Variation"))/(COUNTIFS($D$5:$D$204,$A85,$C$5:$C$204,"Activity")+COUNTIFS($D$5:$D$204,$A85,$C$5:$C$204,"Variation")))),IF(OR($C85="Activity",$C85="Variation"),IF(AND(ISNUMBER($J85),$J85&gt;=0,$J85&lt;=1),$J85,""),""))))</x:f>
      </x:c>
      <x:c r="M85" s="7" t="str">
        <x:f t="shared" si="4">IF(OR($K85="",$L85=""),"",$L85-$K85)</x:f>
      </x:c>
      <x:c r="N85" s="6" t="str">
        <x:f>IF(OR($B85="",$I85="",$L85=""),"",IF(AND($L85&lt;1,$I85&lt;TODAY()),"Late",IF(AND($H85&lt;&gt;"",$I85&gt;$H85),"Forecast Slip","On Plan")))</x:f>
      </x:c>
      <x:c r="O85" s="19"/>
      <x:c r="P85" s="6" t="str">
        <x:f t="shared" si="5">IF($B85="","",IF($A85="","Enter item ID",IF(COUNTIF($A$5:$A$204,$A85)&gt;1,"Duplicate item ID",IF($C85="Initiative",IF($D85&lt;&gt;"","Parent must be blank",IF(COUNTIFS($B$5:$B$204,$B85,$C$5:$C$204,"Initiative")&lt;&gt;1,"One Initiative row required",IF(COUNTIFS($D$5:$D$204,$A85,$C$5:$C$204,"Milestone")=0,"Add milestone","OK"))),IF($C85="Milestone",IF(COUNTIFS($A$5:$A$204,$D85,$B$5:$B$204,$B85,$C$5:$C$204,"Initiative")&lt;&gt;1,"Parent must be Initiative",IF(COUNTIFS($D$5:$D$204,$A85,$C$5:$C$204,"Activity")+COUNTIFS($D$5:$D$204,$A85,$C$5:$C$204,"Variation")=0,"Add activity or variation","OK")),IF(OR($C85="Activity",$C85="Variation"),IF(COUNTIFS($A$5:$A$204,$D85,$B$5:$B$204,$B85,$C$5:$C$204,"Milestone")&lt;&gt;1,"Parent must be Milestone",IF(OR($G85="",$H85=""),"Enter baseline dates",IF($H85&lt;$G85,"Baseline finish before start",IF($I85="","Enter forecast finish",IF(COUNT($J85)=0,"Enter actual %",IF(OR(NOT(ISNUMBER($J85)),$J85&lt;0,$J85&gt;1),"Actual % must be 0–100%","OK")))))),"Select level"))))))</x:f>
      </x:c>
    </x:row>
    <x:row r="86">
      <x:c r="A86" s="66" t="str" cm="1">
        <x:f t="array" ref="A86">IF(OR(B86="",C86=""),"",IF(C86="Initiative",COUNTIF($C$5:C86,"Initiative"),IF(C86="Milestone",IF(D86="","",D86&amp;"."&amp;COUNTIFS($D$5:D86,D86,$C$5:C86,"Milestone")),IF(OR(C86="Activity",C86="Variation"),IF(D86="","",D86&amp;"."&amp;(COUNTIFS($D$5:D86,D86,$C$5:C86,"Activity")+COUNTIFS($D$5:D86,D86,$C$5:C86,"Variation"))),""))))</x:f>
      </x:c>
      <x:c r="B86" s="19"/>
      <x:c r="C86" s="19"/>
      <x:c r="D86" s="20"/>
      <x:c r="E86" s="21"/>
      <x:c r="F86" s="21"/>
      <x:c r="G86" s="102"/>
      <x:c r="H86" s="102"/>
      <x:c r="I86" s="102"/>
      <x:c r="J86" s="100"/>
      <x:c r="K86" s="7" t="str">
        <x:f>IF($B86="","",IF($C86="Initiative",IF(COUNTIFS($B$87:$B$204,$B86,$C$87:$C$204,"Activity")+COUNTIFS($B$87:$B$204,$B86,$C$87:$C$204,"Variation")=0,"",IF(COUNTIFS($B$87:$B$204,$B86,$C$87:$C$204,"Activity")+COUNTIFS($B$87:$B$204,$B86,$C$87:$C$204,"Variation")&lt;&gt;COUNTIFS($B$87:$B$204,$B86,$C$87:$C$204,"Activity",$G$87:$G$204,"&lt;&gt;",$H$87:$H$204,"&lt;&gt;")+COUNTIFS($B$87:$B$204,$B86,$C$87:$C$204,"Variation",$G$87:$G$204,"&lt;&gt;",$H$87:$H$204,"&lt;&gt;"),"",(SUMIFS($K$87:$K$204,$B$87:$B$204,$B86,$C$87:$C$204,"Activity")+SUMIFS($K$87:$K$204,$B$87:$B$204,$B86,$C$87:$C$204,"Variation"))/(COUNTIFS($B$87:$B$204,$B86,$C$87:$C$204,"Activity")+COUNTIFS($B$87:$B$204,$B86,$C$87:$C$204,"Variation")))),IF($C86="Milestone",IF(COUNTIFS($D$87:$D$204,$A86,$C$87:$C$204,"Activity")+COUNTIFS($D$87:$D$204,$A86,$C$87:$C$204,"Variation")=0,"",IF(COUNTIFS($D$87:$D$204,$A86,$C$87:$C$204,"Activity")+COUNTIFS($D$87:$D$204,$A86,$C$87:$C$204,"Variation")&lt;&gt;COUNTIFS($D$87:$D$204,$A86,$C$87:$C$204,"Activity",$G$87:$G$204,"&lt;&gt;",$H$87:$H$204,"&lt;&gt;")+COUNTIFS($D$87:$D$204,$A86,$C$87:$C$204,"Variation",$G$87:$G$204,"&lt;&gt;",$H$87:$H$204,"&lt;&gt;"),"",(SUMIFS($K$87:$K$204,$D$87:$D$204,$A86,$C$87:$C$204,"Activity")+SUMIFS($K$87:$K$204,$D$87:$D$204,$A86,$C$87:$C$204,"Variation"))/(COUNTIFS($D$87:$D$204,$A86,$C$87:$C$204,"Activity")+COUNTIFS($D$87:$D$204,$A86,$C$87:$C$204,"Variation")))),IF(OR($C86="Activity",$C86="Variation"),IF(OR($G86="",$H86=""),"",IF($H86&lt;$G86,"",IF($H86=$G86,--(TODAY()&gt;=$H86),MAX(0,MIN(1,(TODAY()-$G86)/($H86-$G86)))))),""))))</x:f>
      </x:c>
      <x:c r="L86" s="7" t="str">
        <x:f t="shared" si="3">IF($B86="","",IF($C86="Initiative",IF(COUNTIFS($B$5:$B$204,$B86,$C$5:$C$204,"Activity")+COUNTIFS($B$5:$B$204,$B86,$C$5:$C$204,"Variation")=0,"",IF(COUNTIFS($B$5:$B$204,$B86,$C$5:$C$204,"Activity")+COUNTIFS($B$5:$B$204,$B86,$C$5:$C$204,"Variation")&lt;&gt;COUNTIFS($B$5:$B$204,$B86,$C$5:$C$204,"Activity",$J$5:$J$204,"&lt;&gt;",$J$5:$J$204,"&gt;=0",$J$5:$J$204,"&lt;=1")+COUNTIFS($B$5:$B$204,$B86,$C$5:$C$204,"Variation",$J$5:$J$204,"&lt;&gt;",$J$5:$J$204,"&gt;=0",$J$5:$J$204,"&lt;=1"),"",(SUMIFS($J$5:$J$204,$B$5:$B$204,$B86,$C$5:$C$204,"Activity")+SUMIFS($J$5:$J$204,$B$5:$B$204,$B86,$C$5:$C$204,"Variation"))/(COUNTIFS($B$5:$B$204,$B86,$C$5:$C$204,"Activity")+COUNTIFS($B$5:$B$204,$B86,$C$5:$C$204,"Variation")))),IF($C86="Milestone",IF(COUNTIFS($D$5:$D$204,$A86,$C$5:$C$204,"Activity")+COUNTIFS($D$5:$D$204,$A86,$C$5:$C$204,"Variation")=0,"",IF(COUNTIFS($D$5:$D$204,$A86,$C$5:$C$204,"Activity")+COUNTIFS($D$5:$D$204,$A86,$C$5:$C$204,"Variation")&lt;&gt;COUNTIFS($D$5:$D$204,$A86,$C$5:$C$204,"Activity",$J$5:$J$204,"&lt;&gt;",$J$5:$J$204,"&gt;=0",$J$5:$J$204,"&lt;=1")+COUNTIFS($D$5:$D$204,$A86,$C$5:$C$204,"Variation",$J$5:$J$204,"&lt;&gt;",$J$5:$J$204,"&gt;=0",$J$5:$J$204,"&lt;=1"),"",(SUMIFS($J$5:$J$204,$D$5:$D$204,$A86,$C$5:$C$204,"Activity")+SUMIFS($J$5:$J$204,$D$5:$D$204,$A86,$C$5:$C$204,"Variation"))/(COUNTIFS($D$5:$D$204,$A86,$C$5:$C$204,"Activity")+COUNTIFS($D$5:$D$204,$A86,$C$5:$C$204,"Variation")))),IF(OR($C86="Activity",$C86="Variation"),IF(AND(ISNUMBER($J86),$J86&gt;=0,$J86&lt;=1),$J86,""),""))))</x:f>
      </x:c>
      <x:c r="M86" s="7" t="str">
        <x:f t="shared" si="4">IF(OR($K86="",$L86=""),"",$L86-$K86)</x:f>
      </x:c>
      <x:c r="N86" s="6" t="str">
        <x:f>IF(OR($B86="",$I86="",$L86=""),"",IF(AND($L86&lt;1,$I86&lt;TODAY()),"Late",IF(AND($H86&lt;&gt;"",$I86&gt;$H86),"Forecast Slip","On Plan")))</x:f>
      </x:c>
      <x:c r="O86" s="19"/>
      <x:c r="P86" s="6" t="str">
        <x:f t="shared" si="5">IF($B86="","",IF($A86="","Enter item ID",IF(COUNTIF($A$5:$A$204,$A86)&gt;1,"Duplicate item ID",IF($C86="Initiative",IF($D86&lt;&gt;"","Parent must be blank",IF(COUNTIFS($B$5:$B$204,$B86,$C$5:$C$204,"Initiative")&lt;&gt;1,"One Initiative row required",IF(COUNTIFS($D$5:$D$204,$A86,$C$5:$C$204,"Milestone")=0,"Add milestone","OK"))),IF($C86="Milestone",IF(COUNTIFS($A$5:$A$204,$D86,$B$5:$B$204,$B86,$C$5:$C$204,"Initiative")&lt;&gt;1,"Parent must be Initiative",IF(COUNTIFS($D$5:$D$204,$A86,$C$5:$C$204,"Activity")+COUNTIFS($D$5:$D$204,$A86,$C$5:$C$204,"Variation")=0,"Add activity or variation","OK")),IF(OR($C86="Activity",$C86="Variation"),IF(COUNTIFS($A$5:$A$204,$D86,$B$5:$B$204,$B86,$C$5:$C$204,"Milestone")&lt;&gt;1,"Parent must be Milestone",IF(OR($G86="",$H86=""),"Enter baseline dates",IF($H86&lt;$G86,"Baseline finish before start",IF($I86="","Enter forecast finish",IF(COUNT($J86)=0,"Enter actual %",IF(OR(NOT(ISNUMBER($J86)),$J86&lt;0,$J86&gt;1),"Actual % must be 0–100%","OK")))))),"Select level"))))))</x:f>
      </x:c>
    </x:row>
    <x:row r="87">
      <x:c r="A87" s="66" t="str" cm="1">
        <x:f t="array" ref="A87">IF(OR(B87="",C87=""),"",IF(C87="Initiative",COUNTIF($C$5:C87,"Initiative"),IF(C87="Milestone",IF(D87="","",D87&amp;"."&amp;COUNTIFS($D$5:D87,D87,$C$5:C87,"Milestone")),IF(OR(C87="Activity",C87="Variation"),IF(D87="","",D87&amp;"."&amp;(COUNTIFS($D$5:D87,D87,$C$5:C87,"Activity")+COUNTIFS($D$5:D87,D87,$C$5:C87,"Variation"))),""))))</x:f>
      </x:c>
      <x:c r="B87" s="19"/>
      <x:c r="C87" s="19"/>
      <x:c r="D87" s="20"/>
      <x:c r="E87" s="21"/>
      <x:c r="F87" s="21"/>
      <x:c r="G87" s="102"/>
      <x:c r="H87" s="102"/>
      <x:c r="I87" s="102"/>
      <x:c r="J87" s="100"/>
      <x:c r="K87" s="7" t="str">
        <x:f>IF($B87="","",IF($C87="Initiative",IF(COUNTIFS($B$88:$B$204,$B87,$C$88:$C$204,"Activity")+COUNTIFS($B$88:$B$204,$B87,$C$88:$C$204,"Variation")=0,"",IF(COUNTIFS($B$88:$B$204,$B87,$C$88:$C$204,"Activity")+COUNTIFS($B$88:$B$204,$B87,$C$88:$C$204,"Variation")&lt;&gt;COUNTIFS($B$88:$B$204,$B87,$C$88:$C$204,"Activity",$G$88:$G$204,"&lt;&gt;",$H$88:$H$204,"&lt;&gt;")+COUNTIFS($B$88:$B$204,$B87,$C$88:$C$204,"Variation",$G$88:$G$204,"&lt;&gt;",$H$88:$H$204,"&lt;&gt;"),"",(SUMIFS($K$88:$K$204,$B$88:$B$204,$B87,$C$88:$C$204,"Activity")+SUMIFS($K$88:$K$204,$B$88:$B$204,$B87,$C$88:$C$204,"Variation"))/(COUNTIFS($B$88:$B$204,$B87,$C$88:$C$204,"Activity")+COUNTIFS($B$88:$B$204,$B87,$C$88:$C$204,"Variation")))),IF($C87="Milestone",IF(COUNTIFS($D$88:$D$204,$A87,$C$88:$C$204,"Activity")+COUNTIFS($D$88:$D$204,$A87,$C$88:$C$204,"Variation")=0,"",IF(COUNTIFS($D$88:$D$204,$A87,$C$88:$C$204,"Activity")+COUNTIFS($D$88:$D$204,$A87,$C$88:$C$204,"Variation")&lt;&gt;COUNTIFS($D$88:$D$204,$A87,$C$88:$C$204,"Activity",$G$88:$G$204,"&lt;&gt;",$H$88:$H$204,"&lt;&gt;")+COUNTIFS($D$88:$D$204,$A87,$C$88:$C$204,"Variation",$G$88:$G$204,"&lt;&gt;",$H$88:$H$204,"&lt;&gt;"),"",(SUMIFS($K$88:$K$204,$D$88:$D$204,$A87,$C$88:$C$204,"Activity")+SUMIFS($K$88:$K$204,$D$88:$D$204,$A87,$C$88:$C$204,"Variation"))/(COUNTIFS($D$88:$D$204,$A87,$C$88:$C$204,"Activity")+COUNTIFS($D$88:$D$204,$A87,$C$88:$C$204,"Variation")))),IF(OR($C87="Activity",$C87="Variation"),IF(OR($G87="",$H87=""),"",IF($H87&lt;$G87,"",IF($H87=$G87,--(TODAY()&gt;=$H87),MAX(0,MIN(1,(TODAY()-$G87)/($H87-$G87)))))),""))))</x:f>
      </x:c>
      <x:c r="L87" s="7" t="str">
        <x:f t="shared" si="3">IF($B87="","",IF($C87="Initiative",IF(COUNTIFS($B$5:$B$204,$B87,$C$5:$C$204,"Activity")+COUNTIFS($B$5:$B$204,$B87,$C$5:$C$204,"Variation")=0,"",IF(COUNTIFS($B$5:$B$204,$B87,$C$5:$C$204,"Activity")+COUNTIFS($B$5:$B$204,$B87,$C$5:$C$204,"Variation")&lt;&gt;COUNTIFS($B$5:$B$204,$B87,$C$5:$C$204,"Activity",$J$5:$J$204,"&lt;&gt;",$J$5:$J$204,"&gt;=0",$J$5:$J$204,"&lt;=1")+COUNTIFS($B$5:$B$204,$B87,$C$5:$C$204,"Variation",$J$5:$J$204,"&lt;&gt;",$J$5:$J$204,"&gt;=0",$J$5:$J$204,"&lt;=1"),"",(SUMIFS($J$5:$J$204,$B$5:$B$204,$B87,$C$5:$C$204,"Activity")+SUMIFS($J$5:$J$204,$B$5:$B$204,$B87,$C$5:$C$204,"Variation"))/(COUNTIFS($B$5:$B$204,$B87,$C$5:$C$204,"Activity")+COUNTIFS($B$5:$B$204,$B87,$C$5:$C$204,"Variation")))),IF($C87="Milestone",IF(COUNTIFS($D$5:$D$204,$A87,$C$5:$C$204,"Activity")+COUNTIFS($D$5:$D$204,$A87,$C$5:$C$204,"Variation")=0,"",IF(COUNTIFS($D$5:$D$204,$A87,$C$5:$C$204,"Activity")+COUNTIFS($D$5:$D$204,$A87,$C$5:$C$204,"Variation")&lt;&gt;COUNTIFS($D$5:$D$204,$A87,$C$5:$C$204,"Activity",$J$5:$J$204,"&lt;&gt;",$J$5:$J$204,"&gt;=0",$J$5:$J$204,"&lt;=1")+COUNTIFS($D$5:$D$204,$A87,$C$5:$C$204,"Variation",$J$5:$J$204,"&lt;&gt;",$J$5:$J$204,"&gt;=0",$J$5:$J$204,"&lt;=1"),"",(SUMIFS($J$5:$J$204,$D$5:$D$204,$A87,$C$5:$C$204,"Activity")+SUMIFS($J$5:$J$204,$D$5:$D$204,$A87,$C$5:$C$204,"Variation"))/(COUNTIFS($D$5:$D$204,$A87,$C$5:$C$204,"Activity")+COUNTIFS($D$5:$D$204,$A87,$C$5:$C$204,"Variation")))),IF(OR($C87="Activity",$C87="Variation"),IF(AND(ISNUMBER($J87),$J87&gt;=0,$J87&lt;=1),$J87,""),""))))</x:f>
      </x:c>
      <x:c r="M87" s="7" t="str">
        <x:f t="shared" si="4">IF(OR($K87="",$L87=""),"",$L87-$K87)</x:f>
      </x:c>
      <x:c r="N87" s="6" t="str">
        <x:f>IF(OR($B87="",$I87="",$L87=""),"",IF(AND($L87&lt;1,$I87&lt;TODAY()),"Late",IF(AND($H87&lt;&gt;"",$I87&gt;$H87),"Forecast Slip","On Plan")))</x:f>
      </x:c>
      <x:c r="O87" s="19"/>
      <x:c r="P87" s="6" t="str">
        <x:f t="shared" si="5">IF($B87="","",IF($A87="","Enter item ID",IF(COUNTIF($A$5:$A$204,$A87)&gt;1,"Duplicate item ID",IF($C87="Initiative",IF($D87&lt;&gt;"","Parent must be blank",IF(COUNTIFS($B$5:$B$204,$B87,$C$5:$C$204,"Initiative")&lt;&gt;1,"One Initiative row required",IF(COUNTIFS($D$5:$D$204,$A87,$C$5:$C$204,"Milestone")=0,"Add milestone","OK"))),IF($C87="Milestone",IF(COUNTIFS($A$5:$A$204,$D87,$B$5:$B$204,$B87,$C$5:$C$204,"Initiative")&lt;&gt;1,"Parent must be Initiative",IF(COUNTIFS($D$5:$D$204,$A87,$C$5:$C$204,"Activity")+COUNTIFS($D$5:$D$204,$A87,$C$5:$C$204,"Variation")=0,"Add activity or variation","OK")),IF(OR($C87="Activity",$C87="Variation"),IF(COUNTIFS($A$5:$A$204,$D87,$B$5:$B$204,$B87,$C$5:$C$204,"Milestone")&lt;&gt;1,"Parent must be Milestone",IF(OR($G87="",$H87=""),"Enter baseline dates",IF($H87&lt;$G87,"Baseline finish before start",IF($I87="","Enter forecast finish",IF(COUNT($J87)=0,"Enter actual %",IF(OR(NOT(ISNUMBER($J87)),$J87&lt;0,$J87&gt;1),"Actual % must be 0–100%","OK")))))),"Select level"))))))</x:f>
      </x:c>
    </x:row>
    <x:row r="88">
      <x:c r="A88" s="66" t="str" cm="1">
        <x:f t="array" ref="A88">IF(OR(B88="",C88=""),"",IF(C88="Initiative",COUNTIF($C$5:C88,"Initiative"),IF(C88="Milestone",IF(D88="","",D88&amp;"."&amp;COUNTIFS($D$5:D88,D88,$C$5:C88,"Milestone")),IF(OR(C88="Activity",C88="Variation"),IF(D88="","",D88&amp;"."&amp;(COUNTIFS($D$5:D88,D88,$C$5:C88,"Activity")+COUNTIFS($D$5:D88,D88,$C$5:C88,"Variation"))),""))))</x:f>
      </x:c>
      <x:c r="B88" s="19"/>
      <x:c r="C88" s="19"/>
      <x:c r="D88" s="20"/>
      <x:c r="E88" s="21"/>
      <x:c r="F88" s="21"/>
      <x:c r="G88" s="102"/>
      <x:c r="H88" s="102"/>
      <x:c r="I88" s="102"/>
      <x:c r="J88" s="100"/>
      <x:c r="K88" s="7" t="str">
        <x:f>IF($B88="","",IF($C88="Initiative",IF(COUNTIFS($B$89:$B$204,$B88,$C$89:$C$204,"Activity")+COUNTIFS($B$89:$B$204,$B88,$C$89:$C$204,"Variation")=0,"",IF(COUNTIFS($B$89:$B$204,$B88,$C$89:$C$204,"Activity")+COUNTIFS($B$89:$B$204,$B88,$C$89:$C$204,"Variation")&lt;&gt;COUNTIFS($B$89:$B$204,$B88,$C$89:$C$204,"Activity",$G$89:$G$204,"&lt;&gt;",$H$89:$H$204,"&lt;&gt;")+COUNTIFS($B$89:$B$204,$B88,$C$89:$C$204,"Variation",$G$89:$G$204,"&lt;&gt;",$H$89:$H$204,"&lt;&gt;"),"",(SUMIFS($K$89:$K$204,$B$89:$B$204,$B88,$C$89:$C$204,"Activity")+SUMIFS($K$89:$K$204,$B$89:$B$204,$B88,$C$89:$C$204,"Variation"))/(COUNTIFS($B$89:$B$204,$B88,$C$89:$C$204,"Activity")+COUNTIFS($B$89:$B$204,$B88,$C$89:$C$204,"Variation")))),IF($C88="Milestone",IF(COUNTIFS($D$89:$D$204,$A88,$C$89:$C$204,"Activity")+COUNTIFS($D$89:$D$204,$A88,$C$89:$C$204,"Variation")=0,"",IF(COUNTIFS($D$89:$D$204,$A88,$C$89:$C$204,"Activity")+COUNTIFS($D$89:$D$204,$A88,$C$89:$C$204,"Variation")&lt;&gt;COUNTIFS($D$89:$D$204,$A88,$C$89:$C$204,"Activity",$G$89:$G$204,"&lt;&gt;",$H$89:$H$204,"&lt;&gt;")+COUNTIFS($D$89:$D$204,$A88,$C$89:$C$204,"Variation",$G$89:$G$204,"&lt;&gt;",$H$89:$H$204,"&lt;&gt;"),"",(SUMIFS($K$89:$K$204,$D$89:$D$204,$A88,$C$89:$C$204,"Activity")+SUMIFS($K$89:$K$204,$D$89:$D$204,$A88,$C$89:$C$204,"Variation"))/(COUNTIFS($D$89:$D$204,$A88,$C$89:$C$204,"Activity")+COUNTIFS($D$89:$D$204,$A88,$C$89:$C$204,"Variation")))),IF(OR($C88="Activity",$C88="Variation"),IF(OR($G88="",$H88=""),"",IF($H88&lt;$G88,"",IF($H88=$G88,--(TODAY()&gt;=$H88),MAX(0,MIN(1,(TODAY()-$G88)/($H88-$G88)))))),""))))</x:f>
      </x:c>
      <x:c r="L88" s="7" t="str">
        <x:f t="shared" si="3">IF($B88="","",IF($C88="Initiative",IF(COUNTIFS($B$5:$B$204,$B88,$C$5:$C$204,"Activity")+COUNTIFS($B$5:$B$204,$B88,$C$5:$C$204,"Variation")=0,"",IF(COUNTIFS($B$5:$B$204,$B88,$C$5:$C$204,"Activity")+COUNTIFS($B$5:$B$204,$B88,$C$5:$C$204,"Variation")&lt;&gt;COUNTIFS($B$5:$B$204,$B88,$C$5:$C$204,"Activity",$J$5:$J$204,"&lt;&gt;",$J$5:$J$204,"&gt;=0",$J$5:$J$204,"&lt;=1")+COUNTIFS($B$5:$B$204,$B88,$C$5:$C$204,"Variation",$J$5:$J$204,"&lt;&gt;",$J$5:$J$204,"&gt;=0",$J$5:$J$204,"&lt;=1"),"",(SUMIFS($J$5:$J$204,$B$5:$B$204,$B88,$C$5:$C$204,"Activity")+SUMIFS($J$5:$J$204,$B$5:$B$204,$B88,$C$5:$C$204,"Variation"))/(COUNTIFS($B$5:$B$204,$B88,$C$5:$C$204,"Activity")+COUNTIFS($B$5:$B$204,$B88,$C$5:$C$204,"Variation")))),IF($C88="Milestone",IF(COUNTIFS($D$5:$D$204,$A88,$C$5:$C$204,"Activity")+COUNTIFS($D$5:$D$204,$A88,$C$5:$C$204,"Variation")=0,"",IF(COUNTIFS($D$5:$D$204,$A88,$C$5:$C$204,"Activity")+COUNTIFS($D$5:$D$204,$A88,$C$5:$C$204,"Variation")&lt;&gt;COUNTIFS($D$5:$D$204,$A88,$C$5:$C$204,"Activity",$J$5:$J$204,"&lt;&gt;",$J$5:$J$204,"&gt;=0",$J$5:$J$204,"&lt;=1")+COUNTIFS($D$5:$D$204,$A88,$C$5:$C$204,"Variation",$J$5:$J$204,"&lt;&gt;",$J$5:$J$204,"&gt;=0",$J$5:$J$204,"&lt;=1"),"",(SUMIFS($J$5:$J$204,$D$5:$D$204,$A88,$C$5:$C$204,"Activity")+SUMIFS($J$5:$J$204,$D$5:$D$204,$A88,$C$5:$C$204,"Variation"))/(COUNTIFS($D$5:$D$204,$A88,$C$5:$C$204,"Activity")+COUNTIFS($D$5:$D$204,$A88,$C$5:$C$204,"Variation")))),IF(OR($C88="Activity",$C88="Variation"),IF(AND(ISNUMBER($J88),$J88&gt;=0,$J88&lt;=1),$J88,""),""))))</x:f>
      </x:c>
      <x:c r="M88" s="7" t="str">
        <x:f t="shared" si="4">IF(OR($K88="",$L88=""),"",$L88-$K88)</x:f>
      </x:c>
      <x:c r="N88" s="6" t="str">
        <x:f>IF(OR($B88="",$I88="",$L88=""),"",IF(AND($L88&lt;1,$I88&lt;TODAY()),"Late",IF(AND($H88&lt;&gt;"",$I88&gt;$H88),"Forecast Slip","On Plan")))</x:f>
      </x:c>
      <x:c r="O88" s="19"/>
      <x:c r="P88" s="6" t="str">
        <x:f t="shared" si="5">IF($B88="","",IF($A88="","Enter item ID",IF(COUNTIF($A$5:$A$204,$A88)&gt;1,"Duplicate item ID",IF($C88="Initiative",IF($D88&lt;&gt;"","Parent must be blank",IF(COUNTIFS($B$5:$B$204,$B88,$C$5:$C$204,"Initiative")&lt;&gt;1,"One Initiative row required",IF(COUNTIFS($D$5:$D$204,$A88,$C$5:$C$204,"Milestone")=0,"Add milestone","OK"))),IF($C88="Milestone",IF(COUNTIFS($A$5:$A$204,$D88,$B$5:$B$204,$B88,$C$5:$C$204,"Initiative")&lt;&gt;1,"Parent must be Initiative",IF(COUNTIFS($D$5:$D$204,$A88,$C$5:$C$204,"Activity")+COUNTIFS($D$5:$D$204,$A88,$C$5:$C$204,"Variation")=0,"Add activity or variation","OK")),IF(OR($C88="Activity",$C88="Variation"),IF(COUNTIFS($A$5:$A$204,$D88,$B$5:$B$204,$B88,$C$5:$C$204,"Milestone")&lt;&gt;1,"Parent must be Milestone",IF(OR($G88="",$H88=""),"Enter baseline dates",IF($H88&lt;$G88,"Baseline finish before start",IF($I88="","Enter forecast finish",IF(COUNT($J88)=0,"Enter actual %",IF(OR(NOT(ISNUMBER($J88)),$J88&lt;0,$J88&gt;1),"Actual % must be 0–100%","OK")))))),"Select level"))))))</x:f>
      </x:c>
    </x:row>
    <x:row r="89">
      <x:c r="A89" s="66" t="str" cm="1">
        <x:f t="array" ref="A89">IF(OR(B89="",C89=""),"",IF(C89="Initiative",COUNTIF($C$5:C89,"Initiative"),IF(C89="Milestone",IF(D89="","",D89&amp;"."&amp;COUNTIFS($D$5:D89,D89,$C$5:C89,"Milestone")),IF(OR(C89="Activity",C89="Variation"),IF(D89="","",D89&amp;"."&amp;(COUNTIFS($D$5:D89,D89,$C$5:C89,"Activity")+COUNTIFS($D$5:D89,D89,$C$5:C89,"Variation"))),""))))</x:f>
      </x:c>
      <x:c r="B89" s="19"/>
      <x:c r="C89" s="19"/>
      <x:c r="D89" s="20"/>
      <x:c r="E89" s="21"/>
      <x:c r="F89" s="21"/>
      <x:c r="G89" s="102"/>
      <x:c r="H89" s="102"/>
      <x:c r="I89" s="102"/>
      <x:c r="J89" s="100"/>
      <x:c r="K89" s="7" t="str">
        <x:f>IF($B89="","",IF($C89="Initiative",IF(COUNTIFS($B$90:$B$204,$B89,$C$90:$C$204,"Activity")+COUNTIFS($B$90:$B$204,$B89,$C$90:$C$204,"Variation")=0,"",IF(COUNTIFS($B$90:$B$204,$B89,$C$90:$C$204,"Activity")+COUNTIFS($B$90:$B$204,$B89,$C$90:$C$204,"Variation")&lt;&gt;COUNTIFS($B$90:$B$204,$B89,$C$90:$C$204,"Activity",$G$90:$G$204,"&lt;&gt;",$H$90:$H$204,"&lt;&gt;")+COUNTIFS($B$90:$B$204,$B89,$C$90:$C$204,"Variation",$G$90:$G$204,"&lt;&gt;",$H$90:$H$204,"&lt;&gt;"),"",(SUMIFS($K$90:$K$204,$B$90:$B$204,$B89,$C$90:$C$204,"Activity")+SUMIFS($K$90:$K$204,$B$90:$B$204,$B89,$C$90:$C$204,"Variation"))/(COUNTIFS($B$90:$B$204,$B89,$C$90:$C$204,"Activity")+COUNTIFS($B$90:$B$204,$B89,$C$90:$C$204,"Variation")))),IF($C89="Milestone",IF(COUNTIFS($D$90:$D$204,$A89,$C$90:$C$204,"Activity")+COUNTIFS($D$90:$D$204,$A89,$C$90:$C$204,"Variation")=0,"",IF(COUNTIFS($D$90:$D$204,$A89,$C$90:$C$204,"Activity")+COUNTIFS($D$90:$D$204,$A89,$C$90:$C$204,"Variation")&lt;&gt;COUNTIFS($D$90:$D$204,$A89,$C$90:$C$204,"Activity",$G$90:$G$204,"&lt;&gt;",$H$90:$H$204,"&lt;&gt;")+COUNTIFS($D$90:$D$204,$A89,$C$90:$C$204,"Variation",$G$90:$G$204,"&lt;&gt;",$H$90:$H$204,"&lt;&gt;"),"",(SUMIFS($K$90:$K$204,$D$90:$D$204,$A89,$C$90:$C$204,"Activity")+SUMIFS($K$90:$K$204,$D$90:$D$204,$A89,$C$90:$C$204,"Variation"))/(COUNTIFS($D$90:$D$204,$A89,$C$90:$C$204,"Activity")+COUNTIFS($D$90:$D$204,$A89,$C$90:$C$204,"Variation")))),IF(OR($C89="Activity",$C89="Variation"),IF(OR($G89="",$H89=""),"",IF($H89&lt;$G89,"",IF($H89=$G89,--(TODAY()&gt;=$H89),MAX(0,MIN(1,(TODAY()-$G89)/($H89-$G89)))))),""))))</x:f>
      </x:c>
      <x:c r="L89" s="7" t="str">
        <x:f t="shared" si="3">IF($B89="","",IF($C89="Initiative",IF(COUNTIFS($B$5:$B$204,$B89,$C$5:$C$204,"Activity")+COUNTIFS($B$5:$B$204,$B89,$C$5:$C$204,"Variation")=0,"",IF(COUNTIFS($B$5:$B$204,$B89,$C$5:$C$204,"Activity")+COUNTIFS($B$5:$B$204,$B89,$C$5:$C$204,"Variation")&lt;&gt;COUNTIFS($B$5:$B$204,$B89,$C$5:$C$204,"Activity",$J$5:$J$204,"&lt;&gt;",$J$5:$J$204,"&gt;=0",$J$5:$J$204,"&lt;=1")+COUNTIFS($B$5:$B$204,$B89,$C$5:$C$204,"Variation",$J$5:$J$204,"&lt;&gt;",$J$5:$J$204,"&gt;=0",$J$5:$J$204,"&lt;=1"),"",(SUMIFS($J$5:$J$204,$B$5:$B$204,$B89,$C$5:$C$204,"Activity")+SUMIFS($J$5:$J$204,$B$5:$B$204,$B89,$C$5:$C$204,"Variation"))/(COUNTIFS($B$5:$B$204,$B89,$C$5:$C$204,"Activity")+COUNTIFS($B$5:$B$204,$B89,$C$5:$C$204,"Variation")))),IF($C89="Milestone",IF(COUNTIFS($D$5:$D$204,$A89,$C$5:$C$204,"Activity")+COUNTIFS($D$5:$D$204,$A89,$C$5:$C$204,"Variation")=0,"",IF(COUNTIFS($D$5:$D$204,$A89,$C$5:$C$204,"Activity")+COUNTIFS($D$5:$D$204,$A89,$C$5:$C$204,"Variation")&lt;&gt;COUNTIFS($D$5:$D$204,$A89,$C$5:$C$204,"Activity",$J$5:$J$204,"&lt;&gt;",$J$5:$J$204,"&gt;=0",$J$5:$J$204,"&lt;=1")+COUNTIFS($D$5:$D$204,$A89,$C$5:$C$204,"Variation",$J$5:$J$204,"&lt;&gt;",$J$5:$J$204,"&gt;=0",$J$5:$J$204,"&lt;=1"),"",(SUMIFS($J$5:$J$204,$D$5:$D$204,$A89,$C$5:$C$204,"Activity")+SUMIFS($J$5:$J$204,$D$5:$D$204,$A89,$C$5:$C$204,"Variation"))/(COUNTIFS($D$5:$D$204,$A89,$C$5:$C$204,"Activity")+COUNTIFS($D$5:$D$204,$A89,$C$5:$C$204,"Variation")))),IF(OR($C89="Activity",$C89="Variation"),IF(AND(ISNUMBER($J89),$J89&gt;=0,$J89&lt;=1),$J89,""),""))))</x:f>
      </x:c>
      <x:c r="M89" s="7" t="str">
        <x:f t="shared" si="4">IF(OR($K89="",$L89=""),"",$L89-$K89)</x:f>
      </x:c>
      <x:c r="N89" s="6" t="str">
        <x:f>IF(OR($B89="",$I89="",$L89=""),"",IF(AND($L89&lt;1,$I89&lt;TODAY()),"Late",IF(AND($H89&lt;&gt;"",$I89&gt;$H89),"Forecast Slip","On Plan")))</x:f>
      </x:c>
      <x:c r="O89" s="19"/>
      <x:c r="P89" s="6" t="str">
        <x:f t="shared" si="5">IF($B89="","",IF($A89="","Enter item ID",IF(COUNTIF($A$5:$A$204,$A89)&gt;1,"Duplicate item ID",IF($C89="Initiative",IF($D89&lt;&gt;"","Parent must be blank",IF(COUNTIFS($B$5:$B$204,$B89,$C$5:$C$204,"Initiative")&lt;&gt;1,"One Initiative row required",IF(COUNTIFS($D$5:$D$204,$A89,$C$5:$C$204,"Milestone")=0,"Add milestone","OK"))),IF($C89="Milestone",IF(COUNTIFS($A$5:$A$204,$D89,$B$5:$B$204,$B89,$C$5:$C$204,"Initiative")&lt;&gt;1,"Parent must be Initiative",IF(COUNTIFS($D$5:$D$204,$A89,$C$5:$C$204,"Activity")+COUNTIFS($D$5:$D$204,$A89,$C$5:$C$204,"Variation")=0,"Add activity or variation","OK")),IF(OR($C89="Activity",$C89="Variation"),IF(COUNTIFS($A$5:$A$204,$D89,$B$5:$B$204,$B89,$C$5:$C$204,"Milestone")&lt;&gt;1,"Parent must be Milestone",IF(OR($G89="",$H89=""),"Enter baseline dates",IF($H89&lt;$G89,"Baseline finish before start",IF($I89="","Enter forecast finish",IF(COUNT($J89)=0,"Enter actual %",IF(OR(NOT(ISNUMBER($J89)),$J89&lt;0,$J89&gt;1),"Actual % must be 0–100%","OK")))))),"Select level"))))))</x:f>
      </x:c>
    </x:row>
    <x:row r="90">
      <x:c r="A90" s="66" t="str" cm="1">
        <x:f t="array" ref="A90">IF(OR(B90="",C90=""),"",IF(C90="Initiative",COUNTIF($C$5:C90,"Initiative"),IF(C90="Milestone",IF(D90="","",D90&amp;"."&amp;COUNTIFS($D$5:D90,D90,$C$5:C90,"Milestone")),IF(OR(C90="Activity",C90="Variation"),IF(D90="","",D90&amp;"."&amp;(COUNTIFS($D$5:D90,D90,$C$5:C90,"Activity")+COUNTIFS($D$5:D90,D90,$C$5:C90,"Variation"))),""))))</x:f>
      </x:c>
      <x:c r="B90" s="19"/>
      <x:c r="C90" s="19"/>
      <x:c r="D90" s="20"/>
      <x:c r="E90" s="21"/>
      <x:c r="F90" s="21"/>
      <x:c r="G90" s="102"/>
      <x:c r="H90" s="102"/>
      <x:c r="I90" s="102"/>
      <x:c r="J90" s="100"/>
      <x:c r="K90" s="7" t="str">
        <x:f>IF($B90="","",IF($C90="Initiative",IF(COUNTIFS($B$91:$B$204,$B90,$C$91:$C$204,"Activity")+COUNTIFS($B$91:$B$204,$B90,$C$91:$C$204,"Variation")=0,"",IF(COUNTIFS($B$91:$B$204,$B90,$C$91:$C$204,"Activity")+COUNTIFS($B$91:$B$204,$B90,$C$91:$C$204,"Variation")&lt;&gt;COUNTIFS($B$91:$B$204,$B90,$C$91:$C$204,"Activity",$G$91:$G$204,"&lt;&gt;",$H$91:$H$204,"&lt;&gt;")+COUNTIFS($B$91:$B$204,$B90,$C$91:$C$204,"Variation",$G$91:$G$204,"&lt;&gt;",$H$91:$H$204,"&lt;&gt;"),"",(SUMIFS($K$91:$K$204,$B$91:$B$204,$B90,$C$91:$C$204,"Activity")+SUMIFS($K$91:$K$204,$B$91:$B$204,$B90,$C$91:$C$204,"Variation"))/(COUNTIFS($B$91:$B$204,$B90,$C$91:$C$204,"Activity")+COUNTIFS($B$91:$B$204,$B90,$C$91:$C$204,"Variation")))),IF($C90="Milestone",IF(COUNTIFS($D$91:$D$204,$A90,$C$91:$C$204,"Activity")+COUNTIFS($D$91:$D$204,$A90,$C$91:$C$204,"Variation")=0,"",IF(COUNTIFS($D$91:$D$204,$A90,$C$91:$C$204,"Activity")+COUNTIFS($D$91:$D$204,$A90,$C$91:$C$204,"Variation")&lt;&gt;COUNTIFS($D$91:$D$204,$A90,$C$91:$C$204,"Activity",$G$91:$G$204,"&lt;&gt;",$H$91:$H$204,"&lt;&gt;")+COUNTIFS($D$91:$D$204,$A90,$C$91:$C$204,"Variation",$G$91:$G$204,"&lt;&gt;",$H$91:$H$204,"&lt;&gt;"),"",(SUMIFS($K$91:$K$204,$D$91:$D$204,$A90,$C$91:$C$204,"Activity")+SUMIFS($K$91:$K$204,$D$91:$D$204,$A90,$C$91:$C$204,"Variation"))/(COUNTIFS($D$91:$D$204,$A90,$C$91:$C$204,"Activity")+COUNTIFS($D$91:$D$204,$A90,$C$91:$C$204,"Variation")))),IF(OR($C90="Activity",$C90="Variation"),IF(OR($G90="",$H90=""),"",IF($H90&lt;$G90,"",IF($H90=$G90,--(TODAY()&gt;=$H90),MAX(0,MIN(1,(TODAY()-$G90)/($H90-$G90)))))),""))))</x:f>
      </x:c>
      <x:c r="L90" s="7" t="str">
        <x:f t="shared" si="3">IF($B90="","",IF($C90="Initiative",IF(COUNTIFS($B$5:$B$204,$B90,$C$5:$C$204,"Activity")+COUNTIFS($B$5:$B$204,$B90,$C$5:$C$204,"Variation")=0,"",IF(COUNTIFS($B$5:$B$204,$B90,$C$5:$C$204,"Activity")+COUNTIFS($B$5:$B$204,$B90,$C$5:$C$204,"Variation")&lt;&gt;COUNTIFS($B$5:$B$204,$B90,$C$5:$C$204,"Activity",$J$5:$J$204,"&lt;&gt;",$J$5:$J$204,"&gt;=0",$J$5:$J$204,"&lt;=1")+COUNTIFS($B$5:$B$204,$B90,$C$5:$C$204,"Variation",$J$5:$J$204,"&lt;&gt;",$J$5:$J$204,"&gt;=0",$J$5:$J$204,"&lt;=1"),"",(SUMIFS($J$5:$J$204,$B$5:$B$204,$B90,$C$5:$C$204,"Activity")+SUMIFS($J$5:$J$204,$B$5:$B$204,$B90,$C$5:$C$204,"Variation"))/(COUNTIFS($B$5:$B$204,$B90,$C$5:$C$204,"Activity")+COUNTIFS($B$5:$B$204,$B90,$C$5:$C$204,"Variation")))),IF($C90="Milestone",IF(COUNTIFS($D$5:$D$204,$A90,$C$5:$C$204,"Activity")+COUNTIFS($D$5:$D$204,$A90,$C$5:$C$204,"Variation")=0,"",IF(COUNTIFS($D$5:$D$204,$A90,$C$5:$C$204,"Activity")+COUNTIFS($D$5:$D$204,$A90,$C$5:$C$204,"Variation")&lt;&gt;COUNTIFS($D$5:$D$204,$A90,$C$5:$C$204,"Activity",$J$5:$J$204,"&lt;&gt;",$J$5:$J$204,"&gt;=0",$J$5:$J$204,"&lt;=1")+COUNTIFS($D$5:$D$204,$A90,$C$5:$C$204,"Variation",$J$5:$J$204,"&lt;&gt;",$J$5:$J$204,"&gt;=0",$J$5:$J$204,"&lt;=1"),"",(SUMIFS($J$5:$J$204,$D$5:$D$204,$A90,$C$5:$C$204,"Activity")+SUMIFS($J$5:$J$204,$D$5:$D$204,$A90,$C$5:$C$204,"Variation"))/(COUNTIFS($D$5:$D$204,$A90,$C$5:$C$204,"Activity")+COUNTIFS($D$5:$D$204,$A90,$C$5:$C$204,"Variation")))),IF(OR($C90="Activity",$C90="Variation"),IF(AND(ISNUMBER($J90),$J90&gt;=0,$J90&lt;=1),$J90,""),""))))</x:f>
      </x:c>
      <x:c r="M90" s="7" t="str">
        <x:f t="shared" si="4">IF(OR($K90="",$L90=""),"",$L90-$K90)</x:f>
      </x:c>
      <x:c r="N90" s="6" t="str">
        <x:f>IF(OR($B90="",$I90="",$L90=""),"",IF(AND($L90&lt;1,$I90&lt;TODAY()),"Late",IF(AND($H90&lt;&gt;"",$I90&gt;$H90),"Forecast Slip","On Plan")))</x:f>
      </x:c>
      <x:c r="O90" s="19"/>
      <x:c r="P90" s="6" t="str">
        <x:f t="shared" si="5">IF($B90="","",IF($A90="","Enter item ID",IF(COUNTIF($A$5:$A$204,$A90)&gt;1,"Duplicate item ID",IF($C90="Initiative",IF($D90&lt;&gt;"","Parent must be blank",IF(COUNTIFS($B$5:$B$204,$B90,$C$5:$C$204,"Initiative")&lt;&gt;1,"One Initiative row required",IF(COUNTIFS($D$5:$D$204,$A90,$C$5:$C$204,"Milestone")=0,"Add milestone","OK"))),IF($C90="Milestone",IF(COUNTIFS($A$5:$A$204,$D90,$B$5:$B$204,$B90,$C$5:$C$204,"Initiative")&lt;&gt;1,"Parent must be Initiative",IF(COUNTIFS($D$5:$D$204,$A90,$C$5:$C$204,"Activity")+COUNTIFS($D$5:$D$204,$A90,$C$5:$C$204,"Variation")=0,"Add activity or variation","OK")),IF(OR($C90="Activity",$C90="Variation"),IF(COUNTIFS($A$5:$A$204,$D90,$B$5:$B$204,$B90,$C$5:$C$204,"Milestone")&lt;&gt;1,"Parent must be Milestone",IF(OR($G90="",$H90=""),"Enter baseline dates",IF($H90&lt;$G90,"Baseline finish before start",IF($I90="","Enter forecast finish",IF(COUNT($J90)=0,"Enter actual %",IF(OR(NOT(ISNUMBER($J90)),$J90&lt;0,$J90&gt;1),"Actual % must be 0–100%","OK")))))),"Select level"))))))</x:f>
      </x:c>
    </x:row>
    <x:row r="91">
      <x:c r="A91" s="66" t="str" cm="1">
        <x:f t="array" ref="A91">IF(OR(B91="",C91=""),"",IF(C91="Initiative",COUNTIF($C$5:C91,"Initiative"),IF(C91="Milestone",IF(D91="","",D91&amp;"."&amp;COUNTIFS($D$5:D91,D91,$C$5:C91,"Milestone")),IF(OR(C91="Activity",C91="Variation"),IF(D91="","",D91&amp;"."&amp;(COUNTIFS($D$5:D91,D91,$C$5:C91,"Activity")+COUNTIFS($D$5:D91,D91,$C$5:C91,"Variation"))),""))))</x:f>
      </x:c>
      <x:c r="B91" s="19"/>
      <x:c r="C91" s="19"/>
      <x:c r="D91" s="20"/>
      <x:c r="E91" s="21"/>
      <x:c r="F91" s="21"/>
      <x:c r="G91" s="102"/>
      <x:c r="H91" s="102"/>
      <x:c r="I91" s="102"/>
      <x:c r="J91" s="100"/>
      <x:c r="K91" s="7" t="str">
        <x:f>IF($B91="","",IF($C91="Initiative",IF(COUNTIFS($B$92:$B$204,$B91,$C$92:$C$204,"Activity")+COUNTIFS($B$92:$B$204,$B91,$C$92:$C$204,"Variation")=0,"",IF(COUNTIFS($B$92:$B$204,$B91,$C$92:$C$204,"Activity")+COUNTIFS($B$92:$B$204,$B91,$C$92:$C$204,"Variation")&lt;&gt;COUNTIFS($B$92:$B$204,$B91,$C$92:$C$204,"Activity",$G$92:$G$204,"&lt;&gt;",$H$92:$H$204,"&lt;&gt;")+COUNTIFS($B$92:$B$204,$B91,$C$92:$C$204,"Variation",$G$92:$G$204,"&lt;&gt;",$H$92:$H$204,"&lt;&gt;"),"",(SUMIFS($K$92:$K$204,$B$92:$B$204,$B91,$C$92:$C$204,"Activity")+SUMIFS($K$92:$K$204,$B$92:$B$204,$B91,$C$92:$C$204,"Variation"))/(COUNTIFS($B$92:$B$204,$B91,$C$92:$C$204,"Activity")+COUNTIFS($B$92:$B$204,$B91,$C$92:$C$204,"Variation")))),IF($C91="Milestone",IF(COUNTIFS($D$92:$D$204,$A91,$C$92:$C$204,"Activity")+COUNTIFS($D$92:$D$204,$A91,$C$92:$C$204,"Variation")=0,"",IF(COUNTIFS($D$92:$D$204,$A91,$C$92:$C$204,"Activity")+COUNTIFS($D$92:$D$204,$A91,$C$92:$C$204,"Variation")&lt;&gt;COUNTIFS($D$92:$D$204,$A91,$C$92:$C$204,"Activity",$G$92:$G$204,"&lt;&gt;",$H$92:$H$204,"&lt;&gt;")+COUNTIFS($D$92:$D$204,$A91,$C$92:$C$204,"Variation",$G$92:$G$204,"&lt;&gt;",$H$92:$H$204,"&lt;&gt;"),"",(SUMIFS($K$92:$K$204,$D$92:$D$204,$A91,$C$92:$C$204,"Activity")+SUMIFS($K$92:$K$204,$D$92:$D$204,$A91,$C$92:$C$204,"Variation"))/(COUNTIFS($D$92:$D$204,$A91,$C$92:$C$204,"Activity")+COUNTIFS($D$92:$D$204,$A91,$C$92:$C$204,"Variation")))),IF(OR($C91="Activity",$C91="Variation"),IF(OR($G91="",$H91=""),"",IF($H91&lt;$G91,"",IF($H91=$G91,--(TODAY()&gt;=$H91),MAX(0,MIN(1,(TODAY()-$G91)/($H91-$G91)))))),""))))</x:f>
      </x:c>
      <x:c r="L91" s="7" t="str">
        <x:f t="shared" si="3">IF($B91="","",IF($C91="Initiative",IF(COUNTIFS($B$5:$B$204,$B91,$C$5:$C$204,"Activity")+COUNTIFS($B$5:$B$204,$B91,$C$5:$C$204,"Variation")=0,"",IF(COUNTIFS($B$5:$B$204,$B91,$C$5:$C$204,"Activity")+COUNTIFS($B$5:$B$204,$B91,$C$5:$C$204,"Variation")&lt;&gt;COUNTIFS($B$5:$B$204,$B91,$C$5:$C$204,"Activity",$J$5:$J$204,"&lt;&gt;",$J$5:$J$204,"&gt;=0",$J$5:$J$204,"&lt;=1")+COUNTIFS($B$5:$B$204,$B91,$C$5:$C$204,"Variation",$J$5:$J$204,"&lt;&gt;",$J$5:$J$204,"&gt;=0",$J$5:$J$204,"&lt;=1"),"",(SUMIFS($J$5:$J$204,$B$5:$B$204,$B91,$C$5:$C$204,"Activity")+SUMIFS($J$5:$J$204,$B$5:$B$204,$B91,$C$5:$C$204,"Variation"))/(COUNTIFS($B$5:$B$204,$B91,$C$5:$C$204,"Activity")+COUNTIFS($B$5:$B$204,$B91,$C$5:$C$204,"Variation")))),IF($C91="Milestone",IF(COUNTIFS($D$5:$D$204,$A91,$C$5:$C$204,"Activity")+COUNTIFS($D$5:$D$204,$A91,$C$5:$C$204,"Variation")=0,"",IF(COUNTIFS($D$5:$D$204,$A91,$C$5:$C$204,"Activity")+COUNTIFS($D$5:$D$204,$A91,$C$5:$C$204,"Variation")&lt;&gt;COUNTIFS($D$5:$D$204,$A91,$C$5:$C$204,"Activity",$J$5:$J$204,"&lt;&gt;",$J$5:$J$204,"&gt;=0",$J$5:$J$204,"&lt;=1")+COUNTIFS($D$5:$D$204,$A91,$C$5:$C$204,"Variation",$J$5:$J$204,"&lt;&gt;",$J$5:$J$204,"&gt;=0",$J$5:$J$204,"&lt;=1"),"",(SUMIFS($J$5:$J$204,$D$5:$D$204,$A91,$C$5:$C$204,"Activity")+SUMIFS($J$5:$J$204,$D$5:$D$204,$A91,$C$5:$C$204,"Variation"))/(COUNTIFS($D$5:$D$204,$A91,$C$5:$C$204,"Activity")+COUNTIFS($D$5:$D$204,$A91,$C$5:$C$204,"Variation")))),IF(OR($C91="Activity",$C91="Variation"),IF(AND(ISNUMBER($J91),$J91&gt;=0,$J91&lt;=1),$J91,""),""))))</x:f>
      </x:c>
      <x:c r="M91" s="7" t="str">
        <x:f t="shared" si="4">IF(OR($K91="",$L91=""),"",$L91-$K91)</x:f>
      </x:c>
      <x:c r="N91" s="6" t="str">
        <x:f>IF(OR($B91="",$I91="",$L91=""),"",IF(AND($L91&lt;1,$I91&lt;TODAY()),"Late",IF(AND($H91&lt;&gt;"",$I91&gt;$H91),"Forecast Slip","On Plan")))</x:f>
      </x:c>
      <x:c r="O91" s="19"/>
      <x:c r="P91" s="6" t="str">
        <x:f t="shared" si="5">IF($B91="","",IF($A91="","Enter item ID",IF(COUNTIF($A$5:$A$204,$A91)&gt;1,"Duplicate item ID",IF($C91="Initiative",IF($D91&lt;&gt;"","Parent must be blank",IF(COUNTIFS($B$5:$B$204,$B91,$C$5:$C$204,"Initiative")&lt;&gt;1,"One Initiative row required",IF(COUNTIFS($D$5:$D$204,$A91,$C$5:$C$204,"Milestone")=0,"Add milestone","OK"))),IF($C91="Milestone",IF(COUNTIFS($A$5:$A$204,$D91,$B$5:$B$204,$B91,$C$5:$C$204,"Initiative")&lt;&gt;1,"Parent must be Initiative",IF(COUNTIFS($D$5:$D$204,$A91,$C$5:$C$204,"Activity")+COUNTIFS($D$5:$D$204,$A91,$C$5:$C$204,"Variation")=0,"Add activity or variation","OK")),IF(OR($C91="Activity",$C91="Variation"),IF(COUNTIFS($A$5:$A$204,$D91,$B$5:$B$204,$B91,$C$5:$C$204,"Milestone")&lt;&gt;1,"Parent must be Milestone",IF(OR($G91="",$H91=""),"Enter baseline dates",IF($H91&lt;$G91,"Baseline finish before start",IF($I91="","Enter forecast finish",IF(COUNT($J91)=0,"Enter actual %",IF(OR(NOT(ISNUMBER($J91)),$J91&lt;0,$J91&gt;1),"Actual % must be 0–100%","OK")))))),"Select level"))))))</x:f>
      </x:c>
    </x:row>
    <x:row r="92">
      <x:c r="A92" s="66" t="str" cm="1">
        <x:f t="array" ref="A92">IF(OR(B92="",C92=""),"",IF(C92="Initiative",COUNTIF($C$5:C92,"Initiative"),IF(C92="Milestone",IF(D92="","",D92&amp;"."&amp;COUNTIFS($D$5:D92,D92,$C$5:C92,"Milestone")),IF(OR(C92="Activity",C92="Variation"),IF(D92="","",D92&amp;"."&amp;(COUNTIFS($D$5:D92,D92,$C$5:C92,"Activity")+COUNTIFS($D$5:D92,D92,$C$5:C92,"Variation"))),""))))</x:f>
      </x:c>
      <x:c r="B92" s="19"/>
      <x:c r="C92" s="19"/>
      <x:c r="D92" s="20"/>
      <x:c r="E92" s="21"/>
      <x:c r="F92" s="21"/>
      <x:c r="G92" s="102"/>
      <x:c r="H92" s="102"/>
      <x:c r="I92" s="102"/>
      <x:c r="J92" s="100"/>
      <x:c r="K92" s="7" t="str">
        <x:f>IF($B92="","",IF($C92="Initiative",IF(COUNTIFS($B$93:$B$204,$B92,$C$93:$C$204,"Activity")+COUNTIFS($B$93:$B$204,$B92,$C$93:$C$204,"Variation")=0,"",IF(COUNTIFS($B$93:$B$204,$B92,$C$93:$C$204,"Activity")+COUNTIFS($B$93:$B$204,$B92,$C$93:$C$204,"Variation")&lt;&gt;COUNTIFS($B$93:$B$204,$B92,$C$93:$C$204,"Activity",$G$93:$G$204,"&lt;&gt;",$H$93:$H$204,"&lt;&gt;")+COUNTIFS($B$93:$B$204,$B92,$C$93:$C$204,"Variation",$G$93:$G$204,"&lt;&gt;",$H$93:$H$204,"&lt;&gt;"),"",(SUMIFS($K$93:$K$204,$B$93:$B$204,$B92,$C$93:$C$204,"Activity")+SUMIFS($K$93:$K$204,$B$93:$B$204,$B92,$C$93:$C$204,"Variation"))/(COUNTIFS($B$93:$B$204,$B92,$C$93:$C$204,"Activity")+COUNTIFS($B$93:$B$204,$B92,$C$93:$C$204,"Variation")))),IF($C92="Milestone",IF(COUNTIFS($D$93:$D$204,$A92,$C$93:$C$204,"Activity")+COUNTIFS($D$93:$D$204,$A92,$C$93:$C$204,"Variation")=0,"",IF(COUNTIFS($D$93:$D$204,$A92,$C$93:$C$204,"Activity")+COUNTIFS($D$93:$D$204,$A92,$C$93:$C$204,"Variation")&lt;&gt;COUNTIFS($D$93:$D$204,$A92,$C$93:$C$204,"Activity",$G$93:$G$204,"&lt;&gt;",$H$93:$H$204,"&lt;&gt;")+COUNTIFS($D$93:$D$204,$A92,$C$93:$C$204,"Variation",$G$93:$G$204,"&lt;&gt;",$H$93:$H$204,"&lt;&gt;"),"",(SUMIFS($K$93:$K$204,$D$93:$D$204,$A92,$C$93:$C$204,"Activity")+SUMIFS($K$93:$K$204,$D$93:$D$204,$A92,$C$93:$C$204,"Variation"))/(COUNTIFS($D$93:$D$204,$A92,$C$93:$C$204,"Activity")+COUNTIFS($D$93:$D$204,$A92,$C$93:$C$204,"Variation")))),IF(OR($C92="Activity",$C92="Variation"),IF(OR($G92="",$H92=""),"",IF($H92&lt;$G92,"",IF($H92=$G92,--(TODAY()&gt;=$H92),MAX(0,MIN(1,(TODAY()-$G92)/($H92-$G92)))))),""))))</x:f>
      </x:c>
      <x:c r="L92" s="7" t="str">
        <x:f t="shared" si="3">IF($B92="","",IF($C92="Initiative",IF(COUNTIFS($B$5:$B$204,$B92,$C$5:$C$204,"Activity")+COUNTIFS($B$5:$B$204,$B92,$C$5:$C$204,"Variation")=0,"",IF(COUNTIFS($B$5:$B$204,$B92,$C$5:$C$204,"Activity")+COUNTIFS($B$5:$B$204,$B92,$C$5:$C$204,"Variation")&lt;&gt;COUNTIFS($B$5:$B$204,$B92,$C$5:$C$204,"Activity",$J$5:$J$204,"&lt;&gt;",$J$5:$J$204,"&gt;=0",$J$5:$J$204,"&lt;=1")+COUNTIFS($B$5:$B$204,$B92,$C$5:$C$204,"Variation",$J$5:$J$204,"&lt;&gt;",$J$5:$J$204,"&gt;=0",$J$5:$J$204,"&lt;=1"),"",(SUMIFS($J$5:$J$204,$B$5:$B$204,$B92,$C$5:$C$204,"Activity")+SUMIFS($J$5:$J$204,$B$5:$B$204,$B92,$C$5:$C$204,"Variation"))/(COUNTIFS($B$5:$B$204,$B92,$C$5:$C$204,"Activity")+COUNTIFS($B$5:$B$204,$B92,$C$5:$C$204,"Variation")))),IF($C92="Milestone",IF(COUNTIFS($D$5:$D$204,$A92,$C$5:$C$204,"Activity")+COUNTIFS($D$5:$D$204,$A92,$C$5:$C$204,"Variation")=0,"",IF(COUNTIFS($D$5:$D$204,$A92,$C$5:$C$204,"Activity")+COUNTIFS($D$5:$D$204,$A92,$C$5:$C$204,"Variation")&lt;&gt;COUNTIFS($D$5:$D$204,$A92,$C$5:$C$204,"Activity",$J$5:$J$204,"&lt;&gt;",$J$5:$J$204,"&gt;=0",$J$5:$J$204,"&lt;=1")+COUNTIFS($D$5:$D$204,$A92,$C$5:$C$204,"Variation",$J$5:$J$204,"&lt;&gt;",$J$5:$J$204,"&gt;=0",$J$5:$J$204,"&lt;=1"),"",(SUMIFS($J$5:$J$204,$D$5:$D$204,$A92,$C$5:$C$204,"Activity")+SUMIFS($J$5:$J$204,$D$5:$D$204,$A92,$C$5:$C$204,"Variation"))/(COUNTIFS($D$5:$D$204,$A92,$C$5:$C$204,"Activity")+COUNTIFS($D$5:$D$204,$A92,$C$5:$C$204,"Variation")))),IF(OR($C92="Activity",$C92="Variation"),IF(AND(ISNUMBER($J92),$J92&gt;=0,$J92&lt;=1),$J92,""),""))))</x:f>
      </x:c>
      <x:c r="M92" s="7" t="str">
        <x:f t="shared" si="4">IF(OR($K92="",$L92=""),"",$L92-$K92)</x:f>
      </x:c>
      <x:c r="N92" s="6" t="str">
        <x:f>IF(OR($B92="",$I92="",$L92=""),"",IF(AND($L92&lt;1,$I92&lt;TODAY()),"Late",IF(AND($H92&lt;&gt;"",$I92&gt;$H92),"Forecast Slip","On Plan")))</x:f>
      </x:c>
      <x:c r="O92" s="19"/>
      <x:c r="P92" s="6" t="str">
        <x:f t="shared" si="5">IF($B92="","",IF($A92="","Enter item ID",IF(COUNTIF($A$5:$A$204,$A92)&gt;1,"Duplicate item ID",IF($C92="Initiative",IF($D92&lt;&gt;"","Parent must be blank",IF(COUNTIFS($B$5:$B$204,$B92,$C$5:$C$204,"Initiative")&lt;&gt;1,"One Initiative row required",IF(COUNTIFS($D$5:$D$204,$A92,$C$5:$C$204,"Milestone")=0,"Add milestone","OK"))),IF($C92="Milestone",IF(COUNTIFS($A$5:$A$204,$D92,$B$5:$B$204,$B92,$C$5:$C$204,"Initiative")&lt;&gt;1,"Parent must be Initiative",IF(COUNTIFS($D$5:$D$204,$A92,$C$5:$C$204,"Activity")+COUNTIFS($D$5:$D$204,$A92,$C$5:$C$204,"Variation")=0,"Add activity or variation","OK")),IF(OR($C92="Activity",$C92="Variation"),IF(COUNTIFS($A$5:$A$204,$D92,$B$5:$B$204,$B92,$C$5:$C$204,"Milestone")&lt;&gt;1,"Parent must be Milestone",IF(OR($G92="",$H92=""),"Enter baseline dates",IF($H92&lt;$G92,"Baseline finish before start",IF($I92="","Enter forecast finish",IF(COUNT($J92)=0,"Enter actual %",IF(OR(NOT(ISNUMBER($J92)),$J92&lt;0,$J92&gt;1),"Actual % must be 0–100%","OK")))))),"Select level"))))))</x:f>
      </x:c>
    </x:row>
    <x:row r="93">
      <x:c r="A93" s="66" t="str" cm="1">
        <x:f t="array" ref="A93">IF(OR(B93="",C93=""),"",IF(C93="Initiative",COUNTIF($C$5:C93,"Initiative"),IF(C93="Milestone",IF(D93="","",D93&amp;"."&amp;COUNTIFS($D$5:D93,D93,$C$5:C93,"Milestone")),IF(OR(C93="Activity",C93="Variation"),IF(D93="","",D93&amp;"."&amp;(COUNTIFS($D$5:D93,D93,$C$5:C93,"Activity")+COUNTIFS($D$5:D93,D93,$C$5:C93,"Variation"))),""))))</x:f>
      </x:c>
      <x:c r="B93" s="19"/>
      <x:c r="C93" s="19"/>
      <x:c r="D93" s="20"/>
      <x:c r="E93" s="21"/>
      <x:c r="F93" s="21"/>
      <x:c r="G93" s="102"/>
      <x:c r="H93" s="102"/>
      <x:c r="I93" s="102"/>
      <x:c r="J93" s="100"/>
      <x:c r="K93" s="7" t="str">
        <x:f>IF($B93="","",IF($C93="Initiative",IF(COUNTIFS($B$94:$B$204,$B93,$C$94:$C$204,"Activity")+COUNTIFS($B$94:$B$204,$B93,$C$94:$C$204,"Variation")=0,"",IF(COUNTIFS($B$94:$B$204,$B93,$C$94:$C$204,"Activity")+COUNTIFS($B$94:$B$204,$B93,$C$94:$C$204,"Variation")&lt;&gt;COUNTIFS($B$94:$B$204,$B93,$C$94:$C$204,"Activity",$G$94:$G$204,"&lt;&gt;",$H$94:$H$204,"&lt;&gt;")+COUNTIFS($B$94:$B$204,$B93,$C$94:$C$204,"Variation",$G$94:$G$204,"&lt;&gt;",$H$94:$H$204,"&lt;&gt;"),"",(SUMIFS($K$94:$K$204,$B$94:$B$204,$B93,$C$94:$C$204,"Activity")+SUMIFS($K$94:$K$204,$B$94:$B$204,$B93,$C$94:$C$204,"Variation"))/(COUNTIFS($B$94:$B$204,$B93,$C$94:$C$204,"Activity")+COUNTIFS($B$94:$B$204,$B93,$C$94:$C$204,"Variation")))),IF($C93="Milestone",IF(COUNTIFS($D$94:$D$204,$A93,$C$94:$C$204,"Activity")+COUNTIFS($D$94:$D$204,$A93,$C$94:$C$204,"Variation")=0,"",IF(COUNTIFS($D$94:$D$204,$A93,$C$94:$C$204,"Activity")+COUNTIFS($D$94:$D$204,$A93,$C$94:$C$204,"Variation")&lt;&gt;COUNTIFS($D$94:$D$204,$A93,$C$94:$C$204,"Activity",$G$94:$G$204,"&lt;&gt;",$H$94:$H$204,"&lt;&gt;")+COUNTIFS($D$94:$D$204,$A93,$C$94:$C$204,"Variation",$G$94:$G$204,"&lt;&gt;",$H$94:$H$204,"&lt;&gt;"),"",(SUMIFS($K$94:$K$204,$D$94:$D$204,$A93,$C$94:$C$204,"Activity")+SUMIFS($K$94:$K$204,$D$94:$D$204,$A93,$C$94:$C$204,"Variation"))/(COUNTIFS($D$94:$D$204,$A93,$C$94:$C$204,"Activity")+COUNTIFS($D$94:$D$204,$A93,$C$94:$C$204,"Variation")))),IF(OR($C93="Activity",$C93="Variation"),IF(OR($G93="",$H93=""),"",IF($H93&lt;$G93,"",IF($H93=$G93,--(TODAY()&gt;=$H93),MAX(0,MIN(1,(TODAY()-$G93)/($H93-$G93)))))),""))))</x:f>
      </x:c>
      <x:c r="L93" s="7" t="str">
        <x:f t="shared" si="3">IF($B93="","",IF($C93="Initiative",IF(COUNTIFS($B$5:$B$204,$B93,$C$5:$C$204,"Activity")+COUNTIFS($B$5:$B$204,$B93,$C$5:$C$204,"Variation")=0,"",IF(COUNTIFS($B$5:$B$204,$B93,$C$5:$C$204,"Activity")+COUNTIFS($B$5:$B$204,$B93,$C$5:$C$204,"Variation")&lt;&gt;COUNTIFS($B$5:$B$204,$B93,$C$5:$C$204,"Activity",$J$5:$J$204,"&lt;&gt;",$J$5:$J$204,"&gt;=0",$J$5:$J$204,"&lt;=1")+COUNTIFS($B$5:$B$204,$B93,$C$5:$C$204,"Variation",$J$5:$J$204,"&lt;&gt;",$J$5:$J$204,"&gt;=0",$J$5:$J$204,"&lt;=1"),"",(SUMIFS($J$5:$J$204,$B$5:$B$204,$B93,$C$5:$C$204,"Activity")+SUMIFS($J$5:$J$204,$B$5:$B$204,$B93,$C$5:$C$204,"Variation"))/(COUNTIFS($B$5:$B$204,$B93,$C$5:$C$204,"Activity")+COUNTIFS($B$5:$B$204,$B93,$C$5:$C$204,"Variation")))),IF($C93="Milestone",IF(COUNTIFS($D$5:$D$204,$A93,$C$5:$C$204,"Activity")+COUNTIFS($D$5:$D$204,$A93,$C$5:$C$204,"Variation")=0,"",IF(COUNTIFS($D$5:$D$204,$A93,$C$5:$C$204,"Activity")+COUNTIFS($D$5:$D$204,$A93,$C$5:$C$204,"Variation")&lt;&gt;COUNTIFS($D$5:$D$204,$A93,$C$5:$C$204,"Activity",$J$5:$J$204,"&lt;&gt;",$J$5:$J$204,"&gt;=0",$J$5:$J$204,"&lt;=1")+COUNTIFS($D$5:$D$204,$A93,$C$5:$C$204,"Variation",$J$5:$J$204,"&lt;&gt;",$J$5:$J$204,"&gt;=0",$J$5:$J$204,"&lt;=1"),"",(SUMIFS($J$5:$J$204,$D$5:$D$204,$A93,$C$5:$C$204,"Activity")+SUMIFS($J$5:$J$204,$D$5:$D$204,$A93,$C$5:$C$204,"Variation"))/(COUNTIFS($D$5:$D$204,$A93,$C$5:$C$204,"Activity")+COUNTIFS($D$5:$D$204,$A93,$C$5:$C$204,"Variation")))),IF(OR($C93="Activity",$C93="Variation"),IF(AND(ISNUMBER($J93),$J93&gt;=0,$J93&lt;=1),$J93,""),""))))</x:f>
      </x:c>
      <x:c r="M93" s="7" t="str">
        <x:f t="shared" si="4">IF(OR($K93="",$L93=""),"",$L93-$K93)</x:f>
      </x:c>
      <x:c r="N93" s="6" t="str">
        <x:f>IF(OR($B93="",$I93="",$L93=""),"",IF(AND($L93&lt;1,$I93&lt;TODAY()),"Late",IF(AND($H93&lt;&gt;"",$I93&gt;$H93),"Forecast Slip","On Plan")))</x:f>
      </x:c>
      <x:c r="O93" s="19"/>
      <x:c r="P93" s="6" t="str">
        <x:f t="shared" si="5">IF($B93="","",IF($A93="","Enter item ID",IF(COUNTIF($A$5:$A$204,$A93)&gt;1,"Duplicate item ID",IF($C93="Initiative",IF($D93&lt;&gt;"","Parent must be blank",IF(COUNTIFS($B$5:$B$204,$B93,$C$5:$C$204,"Initiative")&lt;&gt;1,"One Initiative row required",IF(COUNTIFS($D$5:$D$204,$A93,$C$5:$C$204,"Milestone")=0,"Add milestone","OK"))),IF($C93="Milestone",IF(COUNTIFS($A$5:$A$204,$D93,$B$5:$B$204,$B93,$C$5:$C$204,"Initiative")&lt;&gt;1,"Parent must be Initiative",IF(COUNTIFS($D$5:$D$204,$A93,$C$5:$C$204,"Activity")+COUNTIFS($D$5:$D$204,$A93,$C$5:$C$204,"Variation")=0,"Add activity or variation","OK")),IF(OR($C93="Activity",$C93="Variation"),IF(COUNTIFS($A$5:$A$204,$D93,$B$5:$B$204,$B93,$C$5:$C$204,"Milestone")&lt;&gt;1,"Parent must be Milestone",IF(OR($G93="",$H93=""),"Enter baseline dates",IF($H93&lt;$G93,"Baseline finish before start",IF($I93="","Enter forecast finish",IF(COUNT($J93)=0,"Enter actual %",IF(OR(NOT(ISNUMBER($J93)),$J93&lt;0,$J93&gt;1),"Actual % must be 0–100%","OK")))))),"Select level"))))))</x:f>
      </x:c>
    </x:row>
    <x:row r="94">
      <x:c r="A94" s="66" t="str" cm="1">
        <x:f t="array" ref="A94">IF(OR(B94="",C94=""),"",IF(C94="Initiative",COUNTIF($C$5:C94,"Initiative"),IF(C94="Milestone",IF(D94="","",D94&amp;"."&amp;COUNTIFS($D$5:D94,D94,$C$5:C94,"Milestone")),IF(OR(C94="Activity",C94="Variation"),IF(D94="","",D94&amp;"."&amp;(COUNTIFS($D$5:D94,D94,$C$5:C94,"Activity")+COUNTIFS($D$5:D94,D94,$C$5:C94,"Variation"))),""))))</x:f>
      </x:c>
      <x:c r="B94" s="19"/>
      <x:c r="C94" s="19"/>
      <x:c r="D94" s="20"/>
      <x:c r="E94" s="21"/>
      <x:c r="F94" s="21"/>
      <x:c r="G94" s="102"/>
      <x:c r="H94" s="102"/>
      <x:c r="I94" s="102"/>
      <x:c r="J94" s="100"/>
      <x:c r="K94" s="7" t="str">
        <x:f>IF($B94="","",IF($C94="Initiative",IF(COUNTIFS($B$95:$B$204,$B94,$C$95:$C$204,"Activity")+COUNTIFS($B$95:$B$204,$B94,$C$95:$C$204,"Variation")=0,"",IF(COUNTIFS($B$95:$B$204,$B94,$C$95:$C$204,"Activity")+COUNTIFS($B$95:$B$204,$B94,$C$95:$C$204,"Variation")&lt;&gt;COUNTIFS($B$95:$B$204,$B94,$C$95:$C$204,"Activity",$G$95:$G$204,"&lt;&gt;",$H$95:$H$204,"&lt;&gt;")+COUNTIFS($B$95:$B$204,$B94,$C$95:$C$204,"Variation",$G$95:$G$204,"&lt;&gt;",$H$95:$H$204,"&lt;&gt;"),"",(SUMIFS($K$95:$K$204,$B$95:$B$204,$B94,$C$95:$C$204,"Activity")+SUMIFS($K$95:$K$204,$B$95:$B$204,$B94,$C$95:$C$204,"Variation"))/(COUNTIFS($B$95:$B$204,$B94,$C$95:$C$204,"Activity")+COUNTIFS($B$95:$B$204,$B94,$C$95:$C$204,"Variation")))),IF($C94="Milestone",IF(COUNTIFS($D$95:$D$204,$A94,$C$95:$C$204,"Activity")+COUNTIFS($D$95:$D$204,$A94,$C$95:$C$204,"Variation")=0,"",IF(COUNTIFS($D$95:$D$204,$A94,$C$95:$C$204,"Activity")+COUNTIFS($D$95:$D$204,$A94,$C$95:$C$204,"Variation")&lt;&gt;COUNTIFS($D$95:$D$204,$A94,$C$95:$C$204,"Activity",$G$95:$G$204,"&lt;&gt;",$H$95:$H$204,"&lt;&gt;")+COUNTIFS($D$95:$D$204,$A94,$C$95:$C$204,"Variation",$G$95:$G$204,"&lt;&gt;",$H$95:$H$204,"&lt;&gt;"),"",(SUMIFS($K$95:$K$204,$D$95:$D$204,$A94,$C$95:$C$204,"Activity")+SUMIFS($K$95:$K$204,$D$95:$D$204,$A94,$C$95:$C$204,"Variation"))/(COUNTIFS($D$95:$D$204,$A94,$C$95:$C$204,"Activity")+COUNTIFS($D$95:$D$204,$A94,$C$95:$C$204,"Variation")))),IF(OR($C94="Activity",$C94="Variation"),IF(OR($G94="",$H94=""),"",IF($H94&lt;$G94,"",IF($H94=$G94,--(TODAY()&gt;=$H94),MAX(0,MIN(1,(TODAY()-$G94)/($H94-$G94)))))),""))))</x:f>
      </x:c>
      <x:c r="L94" s="7" t="str">
        <x:f t="shared" si="3">IF($B94="","",IF($C94="Initiative",IF(COUNTIFS($B$5:$B$204,$B94,$C$5:$C$204,"Activity")+COUNTIFS($B$5:$B$204,$B94,$C$5:$C$204,"Variation")=0,"",IF(COUNTIFS($B$5:$B$204,$B94,$C$5:$C$204,"Activity")+COUNTIFS($B$5:$B$204,$B94,$C$5:$C$204,"Variation")&lt;&gt;COUNTIFS($B$5:$B$204,$B94,$C$5:$C$204,"Activity",$J$5:$J$204,"&lt;&gt;",$J$5:$J$204,"&gt;=0",$J$5:$J$204,"&lt;=1")+COUNTIFS($B$5:$B$204,$B94,$C$5:$C$204,"Variation",$J$5:$J$204,"&lt;&gt;",$J$5:$J$204,"&gt;=0",$J$5:$J$204,"&lt;=1"),"",(SUMIFS($J$5:$J$204,$B$5:$B$204,$B94,$C$5:$C$204,"Activity")+SUMIFS($J$5:$J$204,$B$5:$B$204,$B94,$C$5:$C$204,"Variation"))/(COUNTIFS($B$5:$B$204,$B94,$C$5:$C$204,"Activity")+COUNTIFS($B$5:$B$204,$B94,$C$5:$C$204,"Variation")))),IF($C94="Milestone",IF(COUNTIFS($D$5:$D$204,$A94,$C$5:$C$204,"Activity")+COUNTIFS($D$5:$D$204,$A94,$C$5:$C$204,"Variation")=0,"",IF(COUNTIFS($D$5:$D$204,$A94,$C$5:$C$204,"Activity")+COUNTIFS($D$5:$D$204,$A94,$C$5:$C$204,"Variation")&lt;&gt;COUNTIFS($D$5:$D$204,$A94,$C$5:$C$204,"Activity",$J$5:$J$204,"&lt;&gt;",$J$5:$J$204,"&gt;=0",$J$5:$J$204,"&lt;=1")+COUNTIFS($D$5:$D$204,$A94,$C$5:$C$204,"Variation",$J$5:$J$204,"&lt;&gt;",$J$5:$J$204,"&gt;=0",$J$5:$J$204,"&lt;=1"),"",(SUMIFS($J$5:$J$204,$D$5:$D$204,$A94,$C$5:$C$204,"Activity")+SUMIFS($J$5:$J$204,$D$5:$D$204,$A94,$C$5:$C$204,"Variation"))/(COUNTIFS($D$5:$D$204,$A94,$C$5:$C$204,"Activity")+COUNTIFS($D$5:$D$204,$A94,$C$5:$C$204,"Variation")))),IF(OR($C94="Activity",$C94="Variation"),IF(AND(ISNUMBER($J94),$J94&gt;=0,$J94&lt;=1),$J94,""),""))))</x:f>
      </x:c>
      <x:c r="M94" s="7" t="str">
        <x:f t="shared" si="4">IF(OR($K94="",$L94=""),"",$L94-$K94)</x:f>
      </x:c>
      <x:c r="N94" s="6" t="str">
        <x:f>IF(OR($B94="",$I94="",$L94=""),"",IF(AND($L94&lt;1,$I94&lt;TODAY()),"Late",IF(AND($H94&lt;&gt;"",$I94&gt;$H94),"Forecast Slip","On Plan")))</x:f>
      </x:c>
      <x:c r="O94" s="19"/>
      <x:c r="P94" s="6" t="str">
        <x:f t="shared" si="5">IF($B94="","",IF($A94="","Enter item ID",IF(COUNTIF($A$5:$A$204,$A94)&gt;1,"Duplicate item ID",IF($C94="Initiative",IF($D94&lt;&gt;"","Parent must be blank",IF(COUNTIFS($B$5:$B$204,$B94,$C$5:$C$204,"Initiative")&lt;&gt;1,"One Initiative row required",IF(COUNTIFS($D$5:$D$204,$A94,$C$5:$C$204,"Milestone")=0,"Add milestone","OK"))),IF($C94="Milestone",IF(COUNTIFS($A$5:$A$204,$D94,$B$5:$B$204,$B94,$C$5:$C$204,"Initiative")&lt;&gt;1,"Parent must be Initiative",IF(COUNTIFS($D$5:$D$204,$A94,$C$5:$C$204,"Activity")+COUNTIFS($D$5:$D$204,$A94,$C$5:$C$204,"Variation")=0,"Add activity or variation","OK")),IF(OR($C94="Activity",$C94="Variation"),IF(COUNTIFS($A$5:$A$204,$D94,$B$5:$B$204,$B94,$C$5:$C$204,"Milestone")&lt;&gt;1,"Parent must be Milestone",IF(OR($G94="",$H94=""),"Enter baseline dates",IF($H94&lt;$G94,"Baseline finish before start",IF($I94="","Enter forecast finish",IF(COUNT($J94)=0,"Enter actual %",IF(OR(NOT(ISNUMBER($J94)),$J94&lt;0,$J94&gt;1),"Actual % must be 0–100%","OK")))))),"Select level"))))))</x:f>
      </x:c>
    </x:row>
    <x:row r="95">
      <x:c r="A95" s="66" t="str" cm="1">
        <x:f t="array" ref="A95">IF(OR(B95="",C95=""),"",IF(C95="Initiative",COUNTIF($C$5:C95,"Initiative"),IF(C95="Milestone",IF(D95="","",D95&amp;"."&amp;COUNTIFS($D$5:D95,D95,$C$5:C95,"Milestone")),IF(OR(C95="Activity",C95="Variation"),IF(D95="","",D95&amp;"."&amp;(COUNTIFS($D$5:D95,D95,$C$5:C95,"Activity")+COUNTIFS($D$5:D95,D95,$C$5:C95,"Variation"))),""))))</x:f>
      </x:c>
      <x:c r="B95" s="19"/>
      <x:c r="C95" s="19"/>
      <x:c r="D95" s="20"/>
      <x:c r="E95" s="21"/>
      <x:c r="F95" s="21"/>
      <x:c r="G95" s="102"/>
      <x:c r="H95" s="102"/>
      <x:c r="I95" s="102"/>
      <x:c r="J95" s="100"/>
      <x:c r="K95" s="7" t="str">
        <x:f>IF($B95="","",IF($C95="Initiative",IF(COUNTIFS($B$96:$B$204,$B95,$C$96:$C$204,"Activity")+COUNTIFS($B$96:$B$204,$B95,$C$96:$C$204,"Variation")=0,"",IF(COUNTIFS($B$96:$B$204,$B95,$C$96:$C$204,"Activity")+COUNTIFS($B$96:$B$204,$B95,$C$96:$C$204,"Variation")&lt;&gt;COUNTIFS($B$96:$B$204,$B95,$C$96:$C$204,"Activity",$G$96:$G$204,"&lt;&gt;",$H$96:$H$204,"&lt;&gt;")+COUNTIFS($B$96:$B$204,$B95,$C$96:$C$204,"Variation",$G$96:$G$204,"&lt;&gt;",$H$96:$H$204,"&lt;&gt;"),"",(SUMIFS($K$96:$K$204,$B$96:$B$204,$B95,$C$96:$C$204,"Activity")+SUMIFS($K$96:$K$204,$B$96:$B$204,$B95,$C$96:$C$204,"Variation"))/(COUNTIFS($B$96:$B$204,$B95,$C$96:$C$204,"Activity")+COUNTIFS($B$96:$B$204,$B95,$C$96:$C$204,"Variation")))),IF($C95="Milestone",IF(COUNTIFS($D$96:$D$204,$A95,$C$96:$C$204,"Activity")+COUNTIFS($D$96:$D$204,$A95,$C$96:$C$204,"Variation")=0,"",IF(COUNTIFS($D$96:$D$204,$A95,$C$96:$C$204,"Activity")+COUNTIFS($D$96:$D$204,$A95,$C$96:$C$204,"Variation")&lt;&gt;COUNTIFS($D$96:$D$204,$A95,$C$96:$C$204,"Activity",$G$96:$G$204,"&lt;&gt;",$H$96:$H$204,"&lt;&gt;")+COUNTIFS($D$96:$D$204,$A95,$C$96:$C$204,"Variation",$G$96:$G$204,"&lt;&gt;",$H$96:$H$204,"&lt;&gt;"),"",(SUMIFS($K$96:$K$204,$D$96:$D$204,$A95,$C$96:$C$204,"Activity")+SUMIFS($K$96:$K$204,$D$96:$D$204,$A95,$C$96:$C$204,"Variation"))/(COUNTIFS($D$96:$D$204,$A95,$C$96:$C$204,"Activity")+COUNTIFS($D$96:$D$204,$A95,$C$96:$C$204,"Variation")))),IF(OR($C95="Activity",$C95="Variation"),IF(OR($G95="",$H95=""),"",IF($H95&lt;$G95,"",IF($H95=$G95,--(TODAY()&gt;=$H95),MAX(0,MIN(1,(TODAY()-$G95)/($H95-$G95)))))),""))))</x:f>
      </x:c>
      <x:c r="L95" s="7" t="str">
        <x:f t="shared" si="3">IF($B95="","",IF($C95="Initiative",IF(COUNTIFS($B$5:$B$204,$B95,$C$5:$C$204,"Activity")+COUNTIFS($B$5:$B$204,$B95,$C$5:$C$204,"Variation")=0,"",IF(COUNTIFS($B$5:$B$204,$B95,$C$5:$C$204,"Activity")+COUNTIFS($B$5:$B$204,$B95,$C$5:$C$204,"Variation")&lt;&gt;COUNTIFS($B$5:$B$204,$B95,$C$5:$C$204,"Activity",$J$5:$J$204,"&lt;&gt;",$J$5:$J$204,"&gt;=0",$J$5:$J$204,"&lt;=1")+COUNTIFS($B$5:$B$204,$B95,$C$5:$C$204,"Variation",$J$5:$J$204,"&lt;&gt;",$J$5:$J$204,"&gt;=0",$J$5:$J$204,"&lt;=1"),"",(SUMIFS($J$5:$J$204,$B$5:$B$204,$B95,$C$5:$C$204,"Activity")+SUMIFS($J$5:$J$204,$B$5:$B$204,$B95,$C$5:$C$204,"Variation"))/(COUNTIFS($B$5:$B$204,$B95,$C$5:$C$204,"Activity")+COUNTIFS($B$5:$B$204,$B95,$C$5:$C$204,"Variation")))),IF($C95="Milestone",IF(COUNTIFS($D$5:$D$204,$A95,$C$5:$C$204,"Activity")+COUNTIFS($D$5:$D$204,$A95,$C$5:$C$204,"Variation")=0,"",IF(COUNTIFS($D$5:$D$204,$A95,$C$5:$C$204,"Activity")+COUNTIFS($D$5:$D$204,$A95,$C$5:$C$204,"Variation")&lt;&gt;COUNTIFS($D$5:$D$204,$A95,$C$5:$C$204,"Activity",$J$5:$J$204,"&lt;&gt;",$J$5:$J$204,"&gt;=0",$J$5:$J$204,"&lt;=1")+COUNTIFS($D$5:$D$204,$A95,$C$5:$C$204,"Variation",$J$5:$J$204,"&lt;&gt;",$J$5:$J$204,"&gt;=0",$J$5:$J$204,"&lt;=1"),"",(SUMIFS($J$5:$J$204,$D$5:$D$204,$A95,$C$5:$C$204,"Activity")+SUMIFS($J$5:$J$204,$D$5:$D$204,$A95,$C$5:$C$204,"Variation"))/(COUNTIFS($D$5:$D$204,$A95,$C$5:$C$204,"Activity")+COUNTIFS($D$5:$D$204,$A95,$C$5:$C$204,"Variation")))),IF(OR($C95="Activity",$C95="Variation"),IF(AND(ISNUMBER($J95),$J95&gt;=0,$J95&lt;=1),$J95,""),""))))</x:f>
      </x:c>
      <x:c r="M95" s="7" t="str">
        <x:f t="shared" si="4">IF(OR($K95="",$L95=""),"",$L95-$K95)</x:f>
      </x:c>
      <x:c r="N95" s="6" t="str">
        <x:f>IF(OR($B95="",$I95="",$L95=""),"",IF(AND($L95&lt;1,$I95&lt;TODAY()),"Late",IF(AND($H95&lt;&gt;"",$I95&gt;$H95),"Forecast Slip","On Plan")))</x:f>
      </x:c>
      <x:c r="O95" s="19"/>
      <x:c r="P95" s="6" t="str">
        <x:f t="shared" si="5">IF($B95="","",IF($A95="","Enter item ID",IF(COUNTIF($A$5:$A$204,$A95)&gt;1,"Duplicate item ID",IF($C95="Initiative",IF($D95&lt;&gt;"","Parent must be blank",IF(COUNTIFS($B$5:$B$204,$B95,$C$5:$C$204,"Initiative")&lt;&gt;1,"One Initiative row required",IF(COUNTIFS($D$5:$D$204,$A95,$C$5:$C$204,"Milestone")=0,"Add milestone","OK"))),IF($C95="Milestone",IF(COUNTIFS($A$5:$A$204,$D95,$B$5:$B$204,$B95,$C$5:$C$204,"Initiative")&lt;&gt;1,"Parent must be Initiative",IF(COUNTIFS($D$5:$D$204,$A95,$C$5:$C$204,"Activity")+COUNTIFS($D$5:$D$204,$A95,$C$5:$C$204,"Variation")=0,"Add activity or variation","OK")),IF(OR($C95="Activity",$C95="Variation"),IF(COUNTIFS($A$5:$A$204,$D95,$B$5:$B$204,$B95,$C$5:$C$204,"Milestone")&lt;&gt;1,"Parent must be Milestone",IF(OR($G95="",$H95=""),"Enter baseline dates",IF($H95&lt;$G95,"Baseline finish before start",IF($I95="","Enter forecast finish",IF(COUNT($J95)=0,"Enter actual %",IF(OR(NOT(ISNUMBER($J95)),$J95&lt;0,$J95&gt;1),"Actual % must be 0–100%","OK")))))),"Select level"))))))</x:f>
      </x:c>
    </x:row>
    <x:row r="96">
      <x:c r="A96" s="66" t="str" cm="1">
        <x:f t="array" ref="A96">IF(OR(B96="",C96=""),"",IF(C96="Initiative",COUNTIF($C$5:C96,"Initiative"),IF(C96="Milestone",IF(D96="","",D96&amp;"."&amp;COUNTIFS($D$5:D96,D96,$C$5:C96,"Milestone")),IF(OR(C96="Activity",C96="Variation"),IF(D96="","",D96&amp;"."&amp;(COUNTIFS($D$5:D96,D96,$C$5:C96,"Activity")+COUNTIFS($D$5:D96,D96,$C$5:C96,"Variation"))),""))))</x:f>
      </x:c>
      <x:c r="B96" s="19"/>
      <x:c r="C96" s="19"/>
      <x:c r="D96" s="20"/>
      <x:c r="E96" s="21"/>
      <x:c r="F96" s="21"/>
      <x:c r="G96" s="102"/>
      <x:c r="H96" s="102"/>
      <x:c r="I96" s="102"/>
      <x:c r="J96" s="100"/>
      <x:c r="K96" s="7" t="str">
        <x:f>IF($B96="","",IF($C96="Initiative",IF(COUNTIFS($B$97:$B$204,$B96,$C$97:$C$204,"Activity")+COUNTIFS($B$97:$B$204,$B96,$C$97:$C$204,"Variation")=0,"",IF(COUNTIFS($B$97:$B$204,$B96,$C$97:$C$204,"Activity")+COUNTIFS($B$97:$B$204,$B96,$C$97:$C$204,"Variation")&lt;&gt;COUNTIFS($B$97:$B$204,$B96,$C$97:$C$204,"Activity",$G$97:$G$204,"&lt;&gt;",$H$97:$H$204,"&lt;&gt;")+COUNTIFS($B$97:$B$204,$B96,$C$97:$C$204,"Variation",$G$97:$G$204,"&lt;&gt;",$H$97:$H$204,"&lt;&gt;"),"",(SUMIFS($K$97:$K$204,$B$97:$B$204,$B96,$C$97:$C$204,"Activity")+SUMIFS($K$97:$K$204,$B$97:$B$204,$B96,$C$97:$C$204,"Variation"))/(COUNTIFS($B$97:$B$204,$B96,$C$97:$C$204,"Activity")+COUNTIFS($B$97:$B$204,$B96,$C$97:$C$204,"Variation")))),IF($C96="Milestone",IF(COUNTIFS($D$97:$D$204,$A96,$C$97:$C$204,"Activity")+COUNTIFS($D$97:$D$204,$A96,$C$97:$C$204,"Variation")=0,"",IF(COUNTIFS($D$97:$D$204,$A96,$C$97:$C$204,"Activity")+COUNTIFS($D$97:$D$204,$A96,$C$97:$C$204,"Variation")&lt;&gt;COUNTIFS($D$97:$D$204,$A96,$C$97:$C$204,"Activity",$G$97:$G$204,"&lt;&gt;",$H$97:$H$204,"&lt;&gt;")+COUNTIFS($D$97:$D$204,$A96,$C$97:$C$204,"Variation",$G$97:$G$204,"&lt;&gt;",$H$97:$H$204,"&lt;&gt;"),"",(SUMIFS($K$97:$K$204,$D$97:$D$204,$A96,$C$97:$C$204,"Activity")+SUMIFS($K$97:$K$204,$D$97:$D$204,$A96,$C$97:$C$204,"Variation"))/(COUNTIFS($D$97:$D$204,$A96,$C$97:$C$204,"Activity")+COUNTIFS($D$97:$D$204,$A96,$C$97:$C$204,"Variation")))),IF(OR($C96="Activity",$C96="Variation"),IF(OR($G96="",$H96=""),"",IF($H96&lt;$G96,"",IF($H96=$G96,--(TODAY()&gt;=$H96),MAX(0,MIN(1,(TODAY()-$G96)/($H96-$G96)))))),""))))</x:f>
      </x:c>
      <x:c r="L96" s="7" t="str">
        <x:f t="shared" si="3">IF($B96="","",IF($C96="Initiative",IF(COUNTIFS($B$5:$B$204,$B96,$C$5:$C$204,"Activity")+COUNTIFS($B$5:$B$204,$B96,$C$5:$C$204,"Variation")=0,"",IF(COUNTIFS($B$5:$B$204,$B96,$C$5:$C$204,"Activity")+COUNTIFS($B$5:$B$204,$B96,$C$5:$C$204,"Variation")&lt;&gt;COUNTIFS($B$5:$B$204,$B96,$C$5:$C$204,"Activity",$J$5:$J$204,"&lt;&gt;",$J$5:$J$204,"&gt;=0",$J$5:$J$204,"&lt;=1")+COUNTIFS($B$5:$B$204,$B96,$C$5:$C$204,"Variation",$J$5:$J$204,"&lt;&gt;",$J$5:$J$204,"&gt;=0",$J$5:$J$204,"&lt;=1"),"",(SUMIFS($J$5:$J$204,$B$5:$B$204,$B96,$C$5:$C$204,"Activity")+SUMIFS($J$5:$J$204,$B$5:$B$204,$B96,$C$5:$C$204,"Variation"))/(COUNTIFS($B$5:$B$204,$B96,$C$5:$C$204,"Activity")+COUNTIFS($B$5:$B$204,$B96,$C$5:$C$204,"Variation")))),IF($C96="Milestone",IF(COUNTIFS($D$5:$D$204,$A96,$C$5:$C$204,"Activity")+COUNTIFS($D$5:$D$204,$A96,$C$5:$C$204,"Variation")=0,"",IF(COUNTIFS($D$5:$D$204,$A96,$C$5:$C$204,"Activity")+COUNTIFS($D$5:$D$204,$A96,$C$5:$C$204,"Variation")&lt;&gt;COUNTIFS($D$5:$D$204,$A96,$C$5:$C$204,"Activity",$J$5:$J$204,"&lt;&gt;",$J$5:$J$204,"&gt;=0",$J$5:$J$204,"&lt;=1")+COUNTIFS($D$5:$D$204,$A96,$C$5:$C$204,"Variation",$J$5:$J$204,"&lt;&gt;",$J$5:$J$204,"&gt;=0",$J$5:$J$204,"&lt;=1"),"",(SUMIFS($J$5:$J$204,$D$5:$D$204,$A96,$C$5:$C$204,"Activity")+SUMIFS($J$5:$J$204,$D$5:$D$204,$A96,$C$5:$C$204,"Variation"))/(COUNTIFS($D$5:$D$204,$A96,$C$5:$C$204,"Activity")+COUNTIFS($D$5:$D$204,$A96,$C$5:$C$204,"Variation")))),IF(OR($C96="Activity",$C96="Variation"),IF(AND(ISNUMBER($J96),$J96&gt;=0,$J96&lt;=1),$J96,""),""))))</x:f>
      </x:c>
      <x:c r="M96" s="7" t="str">
        <x:f t="shared" si="4">IF(OR($K96="",$L96=""),"",$L96-$K96)</x:f>
      </x:c>
      <x:c r="N96" s="6" t="str">
        <x:f>IF(OR($B96="",$I96="",$L96=""),"",IF(AND($L96&lt;1,$I96&lt;TODAY()),"Late",IF(AND($H96&lt;&gt;"",$I96&gt;$H96),"Forecast Slip","On Plan")))</x:f>
      </x:c>
      <x:c r="O96" s="19"/>
      <x:c r="P96" s="6" t="str">
        <x:f t="shared" si="5">IF($B96="","",IF($A96="","Enter item ID",IF(COUNTIF($A$5:$A$204,$A96)&gt;1,"Duplicate item ID",IF($C96="Initiative",IF($D96&lt;&gt;"","Parent must be blank",IF(COUNTIFS($B$5:$B$204,$B96,$C$5:$C$204,"Initiative")&lt;&gt;1,"One Initiative row required",IF(COUNTIFS($D$5:$D$204,$A96,$C$5:$C$204,"Milestone")=0,"Add milestone","OK"))),IF($C96="Milestone",IF(COUNTIFS($A$5:$A$204,$D96,$B$5:$B$204,$B96,$C$5:$C$204,"Initiative")&lt;&gt;1,"Parent must be Initiative",IF(COUNTIFS($D$5:$D$204,$A96,$C$5:$C$204,"Activity")+COUNTIFS($D$5:$D$204,$A96,$C$5:$C$204,"Variation")=0,"Add activity or variation","OK")),IF(OR($C96="Activity",$C96="Variation"),IF(COUNTIFS($A$5:$A$204,$D96,$B$5:$B$204,$B96,$C$5:$C$204,"Milestone")&lt;&gt;1,"Parent must be Milestone",IF(OR($G96="",$H96=""),"Enter baseline dates",IF($H96&lt;$G96,"Baseline finish before start",IF($I96="","Enter forecast finish",IF(COUNT($J96)=0,"Enter actual %",IF(OR(NOT(ISNUMBER($J96)),$J96&lt;0,$J96&gt;1),"Actual % must be 0–100%","OK")))))),"Select level"))))))</x:f>
      </x:c>
    </x:row>
    <x:row r="97">
      <x:c r="A97" s="66" t="str" cm="1">
        <x:f t="array" ref="A97">IF(OR(B97="",C97=""),"",IF(C97="Initiative",COUNTIF($C$5:C97,"Initiative"),IF(C97="Milestone",IF(D97="","",D97&amp;"."&amp;COUNTIFS($D$5:D97,D97,$C$5:C97,"Milestone")),IF(OR(C97="Activity",C97="Variation"),IF(D97="","",D97&amp;"."&amp;(COUNTIFS($D$5:D97,D97,$C$5:C97,"Activity")+COUNTIFS($D$5:D97,D97,$C$5:C97,"Variation"))),""))))</x:f>
      </x:c>
      <x:c r="B97" s="19"/>
      <x:c r="C97" s="19"/>
      <x:c r="D97" s="20"/>
      <x:c r="E97" s="21"/>
      <x:c r="F97" s="21"/>
      <x:c r="G97" s="102"/>
      <x:c r="H97" s="102"/>
      <x:c r="I97" s="102"/>
      <x:c r="J97" s="100"/>
      <x:c r="K97" s="7" t="str">
        <x:f>IF($B97="","",IF($C97="Initiative",IF(COUNTIFS($B$98:$B$204,$B97,$C$98:$C$204,"Activity")+COUNTIFS($B$98:$B$204,$B97,$C$98:$C$204,"Variation")=0,"",IF(COUNTIFS($B$98:$B$204,$B97,$C$98:$C$204,"Activity")+COUNTIFS($B$98:$B$204,$B97,$C$98:$C$204,"Variation")&lt;&gt;COUNTIFS($B$98:$B$204,$B97,$C$98:$C$204,"Activity",$G$98:$G$204,"&lt;&gt;",$H$98:$H$204,"&lt;&gt;")+COUNTIFS($B$98:$B$204,$B97,$C$98:$C$204,"Variation",$G$98:$G$204,"&lt;&gt;",$H$98:$H$204,"&lt;&gt;"),"",(SUMIFS($K$98:$K$204,$B$98:$B$204,$B97,$C$98:$C$204,"Activity")+SUMIFS($K$98:$K$204,$B$98:$B$204,$B97,$C$98:$C$204,"Variation"))/(COUNTIFS($B$98:$B$204,$B97,$C$98:$C$204,"Activity")+COUNTIFS($B$98:$B$204,$B97,$C$98:$C$204,"Variation")))),IF($C97="Milestone",IF(COUNTIFS($D$98:$D$204,$A97,$C$98:$C$204,"Activity")+COUNTIFS($D$98:$D$204,$A97,$C$98:$C$204,"Variation")=0,"",IF(COUNTIFS($D$98:$D$204,$A97,$C$98:$C$204,"Activity")+COUNTIFS($D$98:$D$204,$A97,$C$98:$C$204,"Variation")&lt;&gt;COUNTIFS($D$98:$D$204,$A97,$C$98:$C$204,"Activity",$G$98:$G$204,"&lt;&gt;",$H$98:$H$204,"&lt;&gt;")+COUNTIFS($D$98:$D$204,$A97,$C$98:$C$204,"Variation",$G$98:$G$204,"&lt;&gt;",$H$98:$H$204,"&lt;&gt;"),"",(SUMIFS($K$98:$K$204,$D$98:$D$204,$A97,$C$98:$C$204,"Activity")+SUMIFS($K$98:$K$204,$D$98:$D$204,$A97,$C$98:$C$204,"Variation"))/(COUNTIFS($D$98:$D$204,$A97,$C$98:$C$204,"Activity")+COUNTIFS($D$98:$D$204,$A97,$C$98:$C$204,"Variation")))),IF(OR($C97="Activity",$C97="Variation"),IF(OR($G97="",$H97=""),"",IF($H97&lt;$G97,"",IF($H97=$G97,--(TODAY()&gt;=$H97),MAX(0,MIN(1,(TODAY()-$G97)/($H97-$G97)))))),""))))</x:f>
      </x:c>
      <x:c r="L97" s="7" t="str">
        <x:f t="shared" si="3">IF($B97="","",IF($C97="Initiative",IF(COUNTIFS($B$5:$B$204,$B97,$C$5:$C$204,"Activity")+COUNTIFS($B$5:$B$204,$B97,$C$5:$C$204,"Variation")=0,"",IF(COUNTIFS($B$5:$B$204,$B97,$C$5:$C$204,"Activity")+COUNTIFS($B$5:$B$204,$B97,$C$5:$C$204,"Variation")&lt;&gt;COUNTIFS($B$5:$B$204,$B97,$C$5:$C$204,"Activity",$J$5:$J$204,"&lt;&gt;",$J$5:$J$204,"&gt;=0",$J$5:$J$204,"&lt;=1")+COUNTIFS($B$5:$B$204,$B97,$C$5:$C$204,"Variation",$J$5:$J$204,"&lt;&gt;",$J$5:$J$204,"&gt;=0",$J$5:$J$204,"&lt;=1"),"",(SUMIFS($J$5:$J$204,$B$5:$B$204,$B97,$C$5:$C$204,"Activity")+SUMIFS($J$5:$J$204,$B$5:$B$204,$B97,$C$5:$C$204,"Variation"))/(COUNTIFS($B$5:$B$204,$B97,$C$5:$C$204,"Activity")+COUNTIFS($B$5:$B$204,$B97,$C$5:$C$204,"Variation")))),IF($C97="Milestone",IF(COUNTIFS($D$5:$D$204,$A97,$C$5:$C$204,"Activity")+COUNTIFS($D$5:$D$204,$A97,$C$5:$C$204,"Variation")=0,"",IF(COUNTIFS($D$5:$D$204,$A97,$C$5:$C$204,"Activity")+COUNTIFS($D$5:$D$204,$A97,$C$5:$C$204,"Variation")&lt;&gt;COUNTIFS($D$5:$D$204,$A97,$C$5:$C$204,"Activity",$J$5:$J$204,"&lt;&gt;",$J$5:$J$204,"&gt;=0",$J$5:$J$204,"&lt;=1")+COUNTIFS($D$5:$D$204,$A97,$C$5:$C$204,"Variation",$J$5:$J$204,"&lt;&gt;",$J$5:$J$204,"&gt;=0",$J$5:$J$204,"&lt;=1"),"",(SUMIFS($J$5:$J$204,$D$5:$D$204,$A97,$C$5:$C$204,"Activity")+SUMIFS($J$5:$J$204,$D$5:$D$204,$A97,$C$5:$C$204,"Variation"))/(COUNTIFS($D$5:$D$204,$A97,$C$5:$C$204,"Activity")+COUNTIFS($D$5:$D$204,$A97,$C$5:$C$204,"Variation")))),IF(OR($C97="Activity",$C97="Variation"),IF(AND(ISNUMBER($J97),$J97&gt;=0,$J97&lt;=1),$J97,""),""))))</x:f>
      </x:c>
      <x:c r="M97" s="7" t="str">
        <x:f t="shared" si="4">IF(OR($K97="",$L97=""),"",$L97-$K97)</x:f>
      </x:c>
      <x:c r="N97" s="6" t="str">
        <x:f>IF(OR($B97="",$I97="",$L97=""),"",IF(AND($L97&lt;1,$I97&lt;TODAY()),"Late",IF(AND($H97&lt;&gt;"",$I97&gt;$H97),"Forecast Slip","On Plan")))</x:f>
      </x:c>
      <x:c r="O97" s="19"/>
      <x:c r="P97" s="6" t="str">
        <x:f t="shared" si="5">IF($B97="","",IF($A97="","Enter item ID",IF(COUNTIF($A$5:$A$204,$A97)&gt;1,"Duplicate item ID",IF($C97="Initiative",IF($D97&lt;&gt;"","Parent must be blank",IF(COUNTIFS($B$5:$B$204,$B97,$C$5:$C$204,"Initiative")&lt;&gt;1,"One Initiative row required",IF(COUNTIFS($D$5:$D$204,$A97,$C$5:$C$204,"Milestone")=0,"Add milestone","OK"))),IF($C97="Milestone",IF(COUNTIFS($A$5:$A$204,$D97,$B$5:$B$204,$B97,$C$5:$C$204,"Initiative")&lt;&gt;1,"Parent must be Initiative",IF(COUNTIFS($D$5:$D$204,$A97,$C$5:$C$204,"Activity")+COUNTIFS($D$5:$D$204,$A97,$C$5:$C$204,"Variation")=0,"Add activity or variation","OK")),IF(OR($C97="Activity",$C97="Variation"),IF(COUNTIFS($A$5:$A$204,$D97,$B$5:$B$204,$B97,$C$5:$C$204,"Milestone")&lt;&gt;1,"Parent must be Milestone",IF(OR($G97="",$H97=""),"Enter baseline dates",IF($H97&lt;$G97,"Baseline finish before start",IF($I97="","Enter forecast finish",IF(COUNT($J97)=0,"Enter actual %",IF(OR(NOT(ISNUMBER($J97)),$J97&lt;0,$J97&gt;1),"Actual % must be 0–100%","OK")))))),"Select level"))))))</x:f>
      </x:c>
    </x:row>
    <x:row r="98">
      <x:c r="A98" s="66" t="str" cm="1">
        <x:f t="array" ref="A98">IF(OR(B98="",C98=""),"",IF(C98="Initiative",COUNTIF($C$5:C98,"Initiative"),IF(C98="Milestone",IF(D98="","",D98&amp;"."&amp;COUNTIFS($D$5:D98,D98,$C$5:C98,"Milestone")),IF(OR(C98="Activity",C98="Variation"),IF(D98="","",D98&amp;"."&amp;(COUNTIFS($D$5:D98,D98,$C$5:C98,"Activity")+COUNTIFS($D$5:D98,D98,$C$5:C98,"Variation"))),""))))</x:f>
      </x:c>
      <x:c r="B98" s="19"/>
      <x:c r="C98" s="19"/>
      <x:c r="D98" s="20"/>
      <x:c r="E98" s="21"/>
      <x:c r="F98" s="21"/>
      <x:c r="G98" s="102"/>
      <x:c r="H98" s="102"/>
      <x:c r="I98" s="102"/>
      <x:c r="J98" s="100"/>
      <x:c r="K98" s="7" t="str">
        <x:f>IF($B98="","",IF($C98="Initiative",IF(COUNTIFS($B$99:$B$204,$B98,$C$99:$C$204,"Activity")+COUNTIFS($B$99:$B$204,$B98,$C$99:$C$204,"Variation")=0,"",IF(COUNTIFS($B$99:$B$204,$B98,$C$99:$C$204,"Activity")+COUNTIFS($B$99:$B$204,$B98,$C$99:$C$204,"Variation")&lt;&gt;COUNTIFS($B$99:$B$204,$B98,$C$99:$C$204,"Activity",$G$99:$G$204,"&lt;&gt;",$H$99:$H$204,"&lt;&gt;")+COUNTIFS($B$99:$B$204,$B98,$C$99:$C$204,"Variation",$G$99:$G$204,"&lt;&gt;",$H$99:$H$204,"&lt;&gt;"),"",(SUMIFS($K$99:$K$204,$B$99:$B$204,$B98,$C$99:$C$204,"Activity")+SUMIFS($K$99:$K$204,$B$99:$B$204,$B98,$C$99:$C$204,"Variation"))/(COUNTIFS($B$99:$B$204,$B98,$C$99:$C$204,"Activity")+COUNTIFS($B$99:$B$204,$B98,$C$99:$C$204,"Variation")))),IF($C98="Milestone",IF(COUNTIFS($D$99:$D$204,$A98,$C$99:$C$204,"Activity")+COUNTIFS($D$99:$D$204,$A98,$C$99:$C$204,"Variation")=0,"",IF(COUNTIFS($D$99:$D$204,$A98,$C$99:$C$204,"Activity")+COUNTIFS($D$99:$D$204,$A98,$C$99:$C$204,"Variation")&lt;&gt;COUNTIFS($D$99:$D$204,$A98,$C$99:$C$204,"Activity",$G$99:$G$204,"&lt;&gt;",$H$99:$H$204,"&lt;&gt;")+COUNTIFS($D$99:$D$204,$A98,$C$99:$C$204,"Variation",$G$99:$G$204,"&lt;&gt;",$H$99:$H$204,"&lt;&gt;"),"",(SUMIFS($K$99:$K$204,$D$99:$D$204,$A98,$C$99:$C$204,"Activity")+SUMIFS($K$99:$K$204,$D$99:$D$204,$A98,$C$99:$C$204,"Variation"))/(COUNTIFS($D$99:$D$204,$A98,$C$99:$C$204,"Activity")+COUNTIFS($D$99:$D$204,$A98,$C$99:$C$204,"Variation")))),IF(OR($C98="Activity",$C98="Variation"),IF(OR($G98="",$H98=""),"",IF($H98&lt;$G98,"",IF($H98=$G98,--(TODAY()&gt;=$H98),MAX(0,MIN(1,(TODAY()-$G98)/($H98-$G98)))))),""))))</x:f>
      </x:c>
      <x:c r="L98" s="7" t="str">
        <x:f t="shared" si="3">IF($B98="","",IF($C98="Initiative",IF(COUNTIFS($B$5:$B$204,$B98,$C$5:$C$204,"Activity")+COUNTIFS($B$5:$B$204,$B98,$C$5:$C$204,"Variation")=0,"",IF(COUNTIFS($B$5:$B$204,$B98,$C$5:$C$204,"Activity")+COUNTIFS($B$5:$B$204,$B98,$C$5:$C$204,"Variation")&lt;&gt;COUNTIFS($B$5:$B$204,$B98,$C$5:$C$204,"Activity",$J$5:$J$204,"&lt;&gt;",$J$5:$J$204,"&gt;=0",$J$5:$J$204,"&lt;=1")+COUNTIFS($B$5:$B$204,$B98,$C$5:$C$204,"Variation",$J$5:$J$204,"&lt;&gt;",$J$5:$J$204,"&gt;=0",$J$5:$J$204,"&lt;=1"),"",(SUMIFS($J$5:$J$204,$B$5:$B$204,$B98,$C$5:$C$204,"Activity")+SUMIFS($J$5:$J$204,$B$5:$B$204,$B98,$C$5:$C$204,"Variation"))/(COUNTIFS($B$5:$B$204,$B98,$C$5:$C$204,"Activity")+COUNTIFS($B$5:$B$204,$B98,$C$5:$C$204,"Variation")))),IF($C98="Milestone",IF(COUNTIFS($D$5:$D$204,$A98,$C$5:$C$204,"Activity")+COUNTIFS($D$5:$D$204,$A98,$C$5:$C$204,"Variation")=0,"",IF(COUNTIFS($D$5:$D$204,$A98,$C$5:$C$204,"Activity")+COUNTIFS($D$5:$D$204,$A98,$C$5:$C$204,"Variation")&lt;&gt;COUNTIFS($D$5:$D$204,$A98,$C$5:$C$204,"Activity",$J$5:$J$204,"&lt;&gt;",$J$5:$J$204,"&gt;=0",$J$5:$J$204,"&lt;=1")+COUNTIFS($D$5:$D$204,$A98,$C$5:$C$204,"Variation",$J$5:$J$204,"&lt;&gt;",$J$5:$J$204,"&gt;=0",$J$5:$J$204,"&lt;=1"),"",(SUMIFS($J$5:$J$204,$D$5:$D$204,$A98,$C$5:$C$204,"Activity")+SUMIFS($J$5:$J$204,$D$5:$D$204,$A98,$C$5:$C$204,"Variation"))/(COUNTIFS($D$5:$D$204,$A98,$C$5:$C$204,"Activity")+COUNTIFS($D$5:$D$204,$A98,$C$5:$C$204,"Variation")))),IF(OR($C98="Activity",$C98="Variation"),IF(AND(ISNUMBER($J98),$J98&gt;=0,$J98&lt;=1),$J98,""),""))))</x:f>
      </x:c>
      <x:c r="M98" s="7" t="str">
        <x:f t="shared" si="4">IF(OR($K98="",$L98=""),"",$L98-$K98)</x:f>
      </x:c>
      <x:c r="N98" s="6" t="str">
        <x:f>IF(OR($B98="",$I98="",$L98=""),"",IF(AND($L98&lt;1,$I98&lt;TODAY()),"Late",IF(AND($H98&lt;&gt;"",$I98&gt;$H98),"Forecast Slip","On Plan")))</x:f>
      </x:c>
      <x:c r="O98" s="19"/>
      <x:c r="P98" s="6" t="str">
        <x:f t="shared" si="5">IF($B98="","",IF($A98="","Enter item ID",IF(COUNTIF($A$5:$A$204,$A98)&gt;1,"Duplicate item ID",IF($C98="Initiative",IF($D98&lt;&gt;"","Parent must be blank",IF(COUNTIFS($B$5:$B$204,$B98,$C$5:$C$204,"Initiative")&lt;&gt;1,"One Initiative row required",IF(COUNTIFS($D$5:$D$204,$A98,$C$5:$C$204,"Milestone")=0,"Add milestone","OK"))),IF($C98="Milestone",IF(COUNTIFS($A$5:$A$204,$D98,$B$5:$B$204,$B98,$C$5:$C$204,"Initiative")&lt;&gt;1,"Parent must be Initiative",IF(COUNTIFS($D$5:$D$204,$A98,$C$5:$C$204,"Activity")+COUNTIFS($D$5:$D$204,$A98,$C$5:$C$204,"Variation")=0,"Add activity or variation","OK")),IF(OR($C98="Activity",$C98="Variation"),IF(COUNTIFS($A$5:$A$204,$D98,$B$5:$B$204,$B98,$C$5:$C$204,"Milestone")&lt;&gt;1,"Parent must be Milestone",IF(OR($G98="",$H98=""),"Enter baseline dates",IF($H98&lt;$G98,"Baseline finish before start",IF($I98="","Enter forecast finish",IF(COUNT($J98)=0,"Enter actual %",IF(OR(NOT(ISNUMBER($J98)),$J98&lt;0,$J98&gt;1),"Actual % must be 0–100%","OK")))))),"Select level"))))))</x:f>
      </x:c>
    </x:row>
    <x:row r="99">
      <x:c r="A99" s="66" t="str" cm="1">
        <x:f t="array" ref="A99">IF(OR(B99="",C99=""),"",IF(C99="Initiative",COUNTIF($C$5:C99,"Initiative"),IF(C99="Milestone",IF(D99="","",D99&amp;"."&amp;COUNTIFS($D$5:D99,D99,$C$5:C99,"Milestone")),IF(OR(C99="Activity",C99="Variation"),IF(D99="","",D99&amp;"."&amp;(COUNTIFS($D$5:D99,D99,$C$5:C99,"Activity")+COUNTIFS($D$5:D99,D99,$C$5:C99,"Variation"))),""))))</x:f>
      </x:c>
      <x:c r="B99" s="19"/>
      <x:c r="C99" s="19"/>
      <x:c r="D99" s="20"/>
      <x:c r="E99" s="21"/>
      <x:c r="F99" s="21"/>
      <x:c r="G99" s="102"/>
      <x:c r="H99" s="102"/>
      <x:c r="I99" s="102"/>
      <x:c r="J99" s="100"/>
      <x:c r="K99" s="7" t="str">
        <x:f>IF($B99="","",IF($C99="Initiative",IF(COUNTIFS($B$100:$B$204,$B99,$C$100:$C$204,"Activity")+COUNTIFS($B$100:$B$204,$B99,$C$100:$C$204,"Variation")=0,"",IF(COUNTIFS($B$100:$B$204,$B99,$C$100:$C$204,"Activity")+COUNTIFS($B$100:$B$204,$B99,$C$100:$C$204,"Variation")&lt;&gt;COUNTIFS($B$100:$B$204,$B99,$C$100:$C$204,"Activity",$G$100:$G$204,"&lt;&gt;",$H$100:$H$204,"&lt;&gt;")+COUNTIFS($B$100:$B$204,$B99,$C$100:$C$204,"Variation",$G$100:$G$204,"&lt;&gt;",$H$100:$H$204,"&lt;&gt;"),"",(SUMIFS($K$100:$K$204,$B$100:$B$204,$B99,$C$100:$C$204,"Activity")+SUMIFS($K$100:$K$204,$B$100:$B$204,$B99,$C$100:$C$204,"Variation"))/(COUNTIFS($B$100:$B$204,$B99,$C$100:$C$204,"Activity")+COUNTIFS($B$100:$B$204,$B99,$C$100:$C$204,"Variation")))),IF($C99="Milestone",IF(COUNTIFS($D$100:$D$204,$A99,$C$100:$C$204,"Activity")+COUNTIFS($D$100:$D$204,$A99,$C$100:$C$204,"Variation")=0,"",IF(COUNTIFS($D$100:$D$204,$A99,$C$100:$C$204,"Activity")+COUNTIFS($D$100:$D$204,$A99,$C$100:$C$204,"Variation")&lt;&gt;COUNTIFS($D$100:$D$204,$A99,$C$100:$C$204,"Activity",$G$100:$G$204,"&lt;&gt;",$H$100:$H$204,"&lt;&gt;")+COUNTIFS($D$100:$D$204,$A99,$C$100:$C$204,"Variation",$G$100:$G$204,"&lt;&gt;",$H$100:$H$204,"&lt;&gt;"),"",(SUMIFS($K$100:$K$204,$D$100:$D$204,$A99,$C$100:$C$204,"Activity")+SUMIFS($K$100:$K$204,$D$100:$D$204,$A99,$C$100:$C$204,"Variation"))/(COUNTIFS($D$100:$D$204,$A99,$C$100:$C$204,"Activity")+COUNTIFS($D$100:$D$204,$A99,$C$100:$C$204,"Variation")))),IF(OR($C99="Activity",$C99="Variation"),IF(OR($G99="",$H99=""),"",IF($H99&lt;$G99,"",IF($H99=$G99,--(TODAY()&gt;=$H99),MAX(0,MIN(1,(TODAY()-$G99)/($H99-$G99)))))),""))))</x:f>
      </x:c>
      <x:c r="L99" s="7" t="str">
        <x:f t="shared" si="3">IF($B99="","",IF($C99="Initiative",IF(COUNTIFS($B$5:$B$204,$B99,$C$5:$C$204,"Activity")+COUNTIFS($B$5:$B$204,$B99,$C$5:$C$204,"Variation")=0,"",IF(COUNTIFS($B$5:$B$204,$B99,$C$5:$C$204,"Activity")+COUNTIFS($B$5:$B$204,$B99,$C$5:$C$204,"Variation")&lt;&gt;COUNTIFS($B$5:$B$204,$B99,$C$5:$C$204,"Activity",$J$5:$J$204,"&lt;&gt;",$J$5:$J$204,"&gt;=0",$J$5:$J$204,"&lt;=1")+COUNTIFS($B$5:$B$204,$B99,$C$5:$C$204,"Variation",$J$5:$J$204,"&lt;&gt;",$J$5:$J$204,"&gt;=0",$J$5:$J$204,"&lt;=1"),"",(SUMIFS($J$5:$J$204,$B$5:$B$204,$B99,$C$5:$C$204,"Activity")+SUMIFS($J$5:$J$204,$B$5:$B$204,$B99,$C$5:$C$204,"Variation"))/(COUNTIFS($B$5:$B$204,$B99,$C$5:$C$204,"Activity")+COUNTIFS($B$5:$B$204,$B99,$C$5:$C$204,"Variation")))),IF($C99="Milestone",IF(COUNTIFS($D$5:$D$204,$A99,$C$5:$C$204,"Activity")+COUNTIFS($D$5:$D$204,$A99,$C$5:$C$204,"Variation")=0,"",IF(COUNTIFS($D$5:$D$204,$A99,$C$5:$C$204,"Activity")+COUNTIFS($D$5:$D$204,$A99,$C$5:$C$204,"Variation")&lt;&gt;COUNTIFS($D$5:$D$204,$A99,$C$5:$C$204,"Activity",$J$5:$J$204,"&lt;&gt;",$J$5:$J$204,"&gt;=0",$J$5:$J$204,"&lt;=1")+COUNTIFS($D$5:$D$204,$A99,$C$5:$C$204,"Variation",$J$5:$J$204,"&lt;&gt;",$J$5:$J$204,"&gt;=0",$J$5:$J$204,"&lt;=1"),"",(SUMIFS($J$5:$J$204,$D$5:$D$204,$A99,$C$5:$C$204,"Activity")+SUMIFS($J$5:$J$204,$D$5:$D$204,$A99,$C$5:$C$204,"Variation"))/(COUNTIFS($D$5:$D$204,$A99,$C$5:$C$204,"Activity")+COUNTIFS($D$5:$D$204,$A99,$C$5:$C$204,"Variation")))),IF(OR($C99="Activity",$C99="Variation"),IF(AND(ISNUMBER($J99),$J99&gt;=0,$J99&lt;=1),$J99,""),""))))</x:f>
      </x:c>
      <x:c r="M99" s="7" t="str">
        <x:f t="shared" si="4">IF(OR($K99="",$L99=""),"",$L99-$K99)</x:f>
      </x:c>
      <x:c r="N99" s="6" t="str">
        <x:f>IF(OR($B99="",$I99="",$L99=""),"",IF(AND($L99&lt;1,$I99&lt;TODAY()),"Late",IF(AND($H99&lt;&gt;"",$I99&gt;$H99),"Forecast Slip","On Plan")))</x:f>
      </x:c>
      <x:c r="O99" s="19"/>
      <x:c r="P99" s="6" t="str">
        <x:f t="shared" si="5">IF($B99="","",IF($A99="","Enter item ID",IF(COUNTIF($A$5:$A$204,$A99)&gt;1,"Duplicate item ID",IF($C99="Initiative",IF($D99&lt;&gt;"","Parent must be blank",IF(COUNTIFS($B$5:$B$204,$B99,$C$5:$C$204,"Initiative")&lt;&gt;1,"One Initiative row required",IF(COUNTIFS($D$5:$D$204,$A99,$C$5:$C$204,"Milestone")=0,"Add milestone","OK"))),IF($C99="Milestone",IF(COUNTIFS($A$5:$A$204,$D99,$B$5:$B$204,$B99,$C$5:$C$204,"Initiative")&lt;&gt;1,"Parent must be Initiative",IF(COUNTIFS($D$5:$D$204,$A99,$C$5:$C$204,"Activity")+COUNTIFS($D$5:$D$204,$A99,$C$5:$C$204,"Variation")=0,"Add activity or variation","OK")),IF(OR($C99="Activity",$C99="Variation"),IF(COUNTIFS($A$5:$A$204,$D99,$B$5:$B$204,$B99,$C$5:$C$204,"Milestone")&lt;&gt;1,"Parent must be Milestone",IF(OR($G99="",$H99=""),"Enter baseline dates",IF($H99&lt;$G99,"Baseline finish before start",IF($I99="","Enter forecast finish",IF(COUNT($J99)=0,"Enter actual %",IF(OR(NOT(ISNUMBER($J99)),$J99&lt;0,$J99&gt;1),"Actual % must be 0–100%","OK")))))),"Select level"))))))</x:f>
      </x:c>
    </x:row>
    <x:row r="100">
      <x:c r="A100" s="66" t="str" cm="1">
        <x:f t="array" ref="A100">IF(OR(B100="",C100=""),"",IF(C100="Initiative",COUNTIF($C$5:C100,"Initiative"),IF(C100="Milestone",IF(D100="","",D100&amp;"."&amp;COUNTIFS($D$5:D100,D100,$C$5:C100,"Milestone")),IF(OR(C100="Activity",C100="Variation"),IF(D100="","",D100&amp;"."&amp;(COUNTIFS($D$5:D100,D100,$C$5:C100,"Activity")+COUNTIFS($D$5:D100,D100,$C$5:C100,"Variation"))),""))))</x:f>
      </x:c>
      <x:c r="B100" s="19"/>
      <x:c r="C100" s="19"/>
      <x:c r="D100" s="20"/>
      <x:c r="E100" s="21"/>
      <x:c r="F100" s="21"/>
      <x:c r="G100" s="102"/>
      <x:c r="H100" s="102"/>
      <x:c r="I100" s="102"/>
      <x:c r="J100" s="100"/>
      <x:c r="K100" s="7" t="str">
        <x:f>IF($B100="","",IF($C100="Initiative",IF(COUNTIFS($B$101:$B$204,$B100,$C$101:$C$204,"Activity")+COUNTIFS($B$101:$B$204,$B100,$C$101:$C$204,"Variation")=0,"",IF(COUNTIFS($B$101:$B$204,$B100,$C$101:$C$204,"Activity")+COUNTIFS($B$101:$B$204,$B100,$C$101:$C$204,"Variation")&lt;&gt;COUNTIFS($B$101:$B$204,$B100,$C$101:$C$204,"Activity",$G$101:$G$204,"&lt;&gt;",$H$101:$H$204,"&lt;&gt;")+COUNTIFS($B$101:$B$204,$B100,$C$101:$C$204,"Variation",$G$101:$G$204,"&lt;&gt;",$H$101:$H$204,"&lt;&gt;"),"",(SUMIFS($K$101:$K$204,$B$101:$B$204,$B100,$C$101:$C$204,"Activity")+SUMIFS($K$101:$K$204,$B$101:$B$204,$B100,$C$101:$C$204,"Variation"))/(COUNTIFS($B$101:$B$204,$B100,$C$101:$C$204,"Activity")+COUNTIFS($B$101:$B$204,$B100,$C$101:$C$204,"Variation")))),IF($C100="Milestone",IF(COUNTIFS($D$101:$D$204,$A100,$C$101:$C$204,"Activity")+COUNTIFS($D$101:$D$204,$A100,$C$101:$C$204,"Variation")=0,"",IF(COUNTIFS($D$101:$D$204,$A100,$C$101:$C$204,"Activity")+COUNTIFS($D$101:$D$204,$A100,$C$101:$C$204,"Variation")&lt;&gt;COUNTIFS($D$101:$D$204,$A100,$C$101:$C$204,"Activity",$G$101:$G$204,"&lt;&gt;",$H$101:$H$204,"&lt;&gt;")+COUNTIFS($D$101:$D$204,$A100,$C$101:$C$204,"Variation",$G$101:$G$204,"&lt;&gt;",$H$101:$H$204,"&lt;&gt;"),"",(SUMIFS($K$101:$K$204,$D$101:$D$204,$A100,$C$101:$C$204,"Activity")+SUMIFS($K$101:$K$204,$D$101:$D$204,$A100,$C$101:$C$204,"Variation"))/(COUNTIFS($D$101:$D$204,$A100,$C$101:$C$204,"Activity")+COUNTIFS($D$101:$D$204,$A100,$C$101:$C$204,"Variation")))),IF(OR($C100="Activity",$C100="Variation"),IF(OR($G100="",$H100=""),"",IF($H100&lt;$G100,"",IF($H100=$G100,--(TODAY()&gt;=$H100),MAX(0,MIN(1,(TODAY()-$G100)/($H100-$G100)))))),""))))</x:f>
      </x:c>
      <x:c r="L100" s="7" t="str">
        <x:f t="shared" si="3">IF($B100="","",IF($C100="Initiative",IF(COUNTIFS($B$5:$B$204,$B100,$C$5:$C$204,"Activity")+COUNTIFS($B$5:$B$204,$B100,$C$5:$C$204,"Variation")=0,"",IF(COUNTIFS($B$5:$B$204,$B100,$C$5:$C$204,"Activity")+COUNTIFS($B$5:$B$204,$B100,$C$5:$C$204,"Variation")&lt;&gt;COUNTIFS($B$5:$B$204,$B100,$C$5:$C$204,"Activity",$J$5:$J$204,"&lt;&gt;",$J$5:$J$204,"&gt;=0",$J$5:$J$204,"&lt;=1")+COUNTIFS($B$5:$B$204,$B100,$C$5:$C$204,"Variation",$J$5:$J$204,"&lt;&gt;",$J$5:$J$204,"&gt;=0",$J$5:$J$204,"&lt;=1"),"",(SUMIFS($J$5:$J$204,$B$5:$B$204,$B100,$C$5:$C$204,"Activity")+SUMIFS($J$5:$J$204,$B$5:$B$204,$B100,$C$5:$C$204,"Variation"))/(COUNTIFS($B$5:$B$204,$B100,$C$5:$C$204,"Activity")+COUNTIFS($B$5:$B$204,$B100,$C$5:$C$204,"Variation")))),IF($C100="Milestone",IF(COUNTIFS($D$5:$D$204,$A100,$C$5:$C$204,"Activity")+COUNTIFS($D$5:$D$204,$A100,$C$5:$C$204,"Variation")=0,"",IF(COUNTIFS($D$5:$D$204,$A100,$C$5:$C$204,"Activity")+COUNTIFS($D$5:$D$204,$A100,$C$5:$C$204,"Variation")&lt;&gt;COUNTIFS($D$5:$D$204,$A100,$C$5:$C$204,"Activity",$J$5:$J$204,"&lt;&gt;",$J$5:$J$204,"&gt;=0",$J$5:$J$204,"&lt;=1")+COUNTIFS($D$5:$D$204,$A100,$C$5:$C$204,"Variation",$J$5:$J$204,"&lt;&gt;",$J$5:$J$204,"&gt;=0",$J$5:$J$204,"&lt;=1"),"",(SUMIFS($J$5:$J$204,$D$5:$D$204,$A100,$C$5:$C$204,"Activity")+SUMIFS($J$5:$J$204,$D$5:$D$204,$A100,$C$5:$C$204,"Variation"))/(COUNTIFS($D$5:$D$204,$A100,$C$5:$C$204,"Activity")+COUNTIFS($D$5:$D$204,$A100,$C$5:$C$204,"Variation")))),IF(OR($C100="Activity",$C100="Variation"),IF(AND(ISNUMBER($J100),$J100&gt;=0,$J100&lt;=1),$J100,""),""))))</x:f>
      </x:c>
      <x:c r="M100" s="7" t="str">
        <x:f t="shared" si="4">IF(OR($K100="",$L100=""),"",$L100-$K100)</x:f>
      </x:c>
      <x:c r="N100" s="6" t="str">
        <x:f>IF(OR($B100="",$I100="",$L100=""),"",IF(AND($L100&lt;1,$I100&lt;TODAY()),"Late",IF(AND($H100&lt;&gt;"",$I100&gt;$H100),"Forecast Slip","On Plan")))</x:f>
      </x:c>
      <x:c r="O100" s="19"/>
      <x:c r="P100" s="6" t="str">
        <x:f t="shared" si="5">IF($B100="","",IF($A100="","Enter item ID",IF(COUNTIF($A$5:$A$204,$A100)&gt;1,"Duplicate item ID",IF($C100="Initiative",IF($D100&lt;&gt;"","Parent must be blank",IF(COUNTIFS($B$5:$B$204,$B100,$C$5:$C$204,"Initiative")&lt;&gt;1,"One Initiative row required",IF(COUNTIFS($D$5:$D$204,$A100,$C$5:$C$204,"Milestone")=0,"Add milestone","OK"))),IF($C100="Milestone",IF(COUNTIFS($A$5:$A$204,$D100,$B$5:$B$204,$B100,$C$5:$C$204,"Initiative")&lt;&gt;1,"Parent must be Initiative",IF(COUNTIFS($D$5:$D$204,$A100,$C$5:$C$204,"Activity")+COUNTIFS($D$5:$D$204,$A100,$C$5:$C$204,"Variation")=0,"Add activity or variation","OK")),IF(OR($C100="Activity",$C100="Variation"),IF(COUNTIFS($A$5:$A$204,$D100,$B$5:$B$204,$B100,$C$5:$C$204,"Milestone")&lt;&gt;1,"Parent must be Milestone",IF(OR($G100="",$H100=""),"Enter baseline dates",IF($H100&lt;$G100,"Baseline finish before start",IF($I100="","Enter forecast finish",IF(COUNT($J100)=0,"Enter actual %",IF(OR(NOT(ISNUMBER($J100)),$J100&lt;0,$J100&gt;1),"Actual % must be 0–100%","OK")))))),"Select level"))))))</x:f>
      </x:c>
    </x:row>
    <x:row r="101">
      <x:c r="A101" s="66" t="str" cm="1">
        <x:f t="array" ref="A101">IF(OR(B101="",C101=""),"",IF(C101="Initiative",COUNTIF($C$5:C101,"Initiative"),IF(C101="Milestone",IF(D101="","",D101&amp;"."&amp;COUNTIFS($D$5:D101,D101,$C$5:C101,"Milestone")),IF(OR(C101="Activity",C101="Variation"),IF(D101="","",D101&amp;"."&amp;(COUNTIFS($D$5:D101,D101,$C$5:C101,"Activity")+COUNTIFS($D$5:D101,D101,$C$5:C101,"Variation"))),""))))</x:f>
      </x:c>
      <x:c r="B101" s="19"/>
      <x:c r="C101" s="19"/>
      <x:c r="D101" s="20"/>
      <x:c r="E101" s="21"/>
      <x:c r="F101" s="21"/>
      <x:c r="G101" s="102"/>
      <x:c r="H101" s="102"/>
      <x:c r="I101" s="102"/>
      <x:c r="J101" s="100"/>
      <x:c r="K101" s="7" t="str">
        <x:f>IF($B101="","",IF($C101="Initiative",IF(COUNTIFS($B$102:$B$204,$B101,$C$102:$C$204,"Activity")+COUNTIFS($B$102:$B$204,$B101,$C$102:$C$204,"Variation")=0,"",IF(COUNTIFS($B$102:$B$204,$B101,$C$102:$C$204,"Activity")+COUNTIFS($B$102:$B$204,$B101,$C$102:$C$204,"Variation")&lt;&gt;COUNTIFS($B$102:$B$204,$B101,$C$102:$C$204,"Activity",$G$102:$G$204,"&lt;&gt;",$H$102:$H$204,"&lt;&gt;")+COUNTIFS($B$102:$B$204,$B101,$C$102:$C$204,"Variation",$G$102:$G$204,"&lt;&gt;",$H$102:$H$204,"&lt;&gt;"),"",(SUMIFS($K$102:$K$204,$B$102:$B$204,$B101,$C$102:$C$204,"Activity")+SUMIFS($K$102:$K$204,$B$102:$B$204,$B101,$C$102:$C$204,"Variation"))/(COUNTIFS($B$102:$B$204,$B101,$C$102:$C$204,"Activity")+COUNTIFS($B$102:$B$204,$B101,$C$102:$C$204,"Variation")))),IF($C101="Milestone",IF(COUNTIFS($D$102:$D$204,$A101,$C$102:$C$204,"Activity")+COUNTIFS($D$102:$D$204,$A101,$C$102:$C$204,"Variation")=0,"",IF(COUNTIFS($D$102:$D$204,$A101,$C$102:$C$204,"Activity")+COUNTIFS($D$102:$D$204,$A101,$C$102:$C$204,"Variation")&lt;&gt;COUNTIFS($D$102:$D$204,$A101,$C$102:$C$204,"Activity",$G$102:$G$204,"&lt;&gt;",$H$102:$H$204,"&lt;&gt;")+COUNTIFS($D$102:$D$204,$A101,$C$102:$C$204,"Variation",$G$102:$G$204,"&lt;&gt;",$H$102:$H$204,"&lt;&gt;"),"",(SUMIFS($K$102:$K$204,$D$102:$D$204,$A101,$C$102:$C$204,"Activity")+SUMIFS($K$102:$K$204,$D$102:$D$204,$A101,$C$102:$C$204,"Variation"))/(COUNTIFS($D$102:$D$204,$A101,$C$102:$C$204,"Activity")+COUNTIFS($D$102:$D$204,$A101,$C$102:$C$204,"Variation")))),IF(OR($C101="Activity",$C101="Variation"),IF(OR($G101="",$H101=""),"",IF($H101&lt;$G101,"",IF($H101=$G101,--(TODAY()&gt;=$H101),MAX(0,MIN(1,(TODAY()-$G101)/($H101-$G101)))))),""))))</x:f>
      </x:c>
      <x:c r="L101" s="7" t="str">
        <x:f t="shared" si="3">IF($B101="","",IF($C101="Initiative",IF(COUNTIFS($B$5:$B$204,$B101,$C$5:$C$204,"Activity")+COUNTIFS($B$5:$B$204,$B101,$C$5:$C$204,"Variation")=0,"",IF(COUNTIFS($B$5:$B$204,$B101,$C$5:$C$204,"Activity")+COUNTIFS($B$5:$B$204,$B101,$C$5:$C$204,"Variation")&lt;&gt;COUNTIFS($B$5:$B$204,$B101,$C$5:$C$204,"Activity",$J$5:$J$204,"&lt;&gt;",$J$5:$J$204,"&gt;=0",$J$5:$J$204,"&lt;=1")+COUNTIFS($B$5:$B$204,$B101,$C$5:$C$204,"Variation",$J$5:$J$204,"&lt;&gt;",$J$5:$J$204,"&gt;=0",$J$5:$J$204,"&lt;=1"),"",(SUMIFS($J$5:$J$204,$B$5:$B$204,$B101,$C$5:$C$204,"Activity")+SUMIFS($J$5:$J$204,$B$5:$B$204,$B101,$C$5:$C$204,"Variation"))/(COUNTIFS($B$5:$B$204,$B101,$C$5:$C$204,"Activity")+COUNTIFS($B$5:$B$204,$B101,$C$5:$C$204,"Variation")))),IF($C101="Milestone",IF(COUNTIFS($D$5:$D$204,$A101,$C$5:$C$204,"Activity")+COUNTIFS($D$5:$D$204,$A101,$C$5:$C$204,"Variation")=0,"",IF(COUNTIFS($D$5:$D$204,$A101,$C$5:$C$204,"Activity")+COUNTIFS($D$5:$D$204,$A101,$C$5:$C$204,"Variation")&lt;&gt;COUNTIFS($D$5:$D$204,$A101,$C$5:$C$204,"Activity",$J$5:$J$204,"&lt;&gt;",$J$5:$J$204,"&gt;=0",$J$5:$J$204,"&lt;=1")+COUNTIFS($D$5:$D$204,$A101,$C$5:$C$204,"Variation",$J$5:$J$204,"&lt;&gt;",$J$5:$J$204,"&gt;=0",$J$5:$J$204,"&lt;=1"),"",(SUMIFS($J$5:$J$204,$D$5:$D$204,$A101,$C$5:$C$204,"Activity")+SUMIFS($J$5:$J$204,$D$5:$D$204,$A101,$C$5:$C$204,"Variation"))/(COUNTIFS($D$5:$D$204,$A101,$C$5:$C$204,"Activity")+COUNTIFS($D$5:$D$204,$A101,$C$5:$C$204,"Variation")))),IF(OR($C101="Activity",$C101="Variation"),IF(AND(ISNUMBER($J101),$J101&gt;=0,$J101&lt;=1),$J101,""),""))))</x:f>
      </x:c>
      <x:c r="M101" s="7" t="str">
        <x:f t="shared" si="4">IF(OR($K101="",$L101=""),"",$L101-$K101)</x:f>
      </x:c>
      <x:c r="N101" s="6" t="str">
        <x:f>IF(OR($B101="",$I101="",$L101=""),"",IF(AND($L101&lt;1,$I101&lt;TODAY()),"Late",IF(AND($H101&lt;&gt;"",$I101&gt;$H101),"Forecast Slip","On Plan")))</x:f>
      </x:c>
      <x:c r="O101" s="19"/>
      <x:c r="P101" s="6" t="str">
        <x:f t="shared" si="5">IF($B101="","",IF($A101="","Enter item ID",IF(COUNTIF($A$5:$A$204,$A101)&gt;1,"Duplicate item ID",IF($C101="Initiative",IF($D101&lt;&gt;"","Parent must be blank",IF(COUNTIFS($B$5:$B$204,$B101,$C$5:$C$204,"Initiative")&lt;&gt;1,"One Initiative row required",IF(COUNTIFS($D$5:$D$204,$A101,$C$5:$C$204,"Milestone")=0,"Add milestone","OK"))),IF($C101="Milestone",IF(COUNTIFS($A$5:$A$204,$D101,$B$5:$B$204,$B101,$C$5:$C$204,"Initiative")&lt;&gt;1,"Parent must be Initiative",IF(COUNTIFS($D$5:$D$204,$A101,$C$5:$C$204,"Activity")+COUNTIFS($D$5:$D$204,$A101,$C$5:$C$204,"Variation")=0,"Add activity or variation","OK")),IF(OR($C101="Activity",$C101="Variation"),IF(COUNTIFS($A$5:$A$204,$D101,$B$5:$B$204,$B101,$C$5:$C$204,"Milestone")&lt;&gt;1,"Parent must be Milestone",IF(OR($G101="",$H101=""),"Enter baseline dates",IF($H101&lt;$G101,"Baseline finish before start",IF($I101="","Enter forecast finish",IF(COUNT($J101)=0,"Enter actual %",IF(OR(NOT(ISNUMBER($J101)),$J101&lt;0,$J101&gt;1),"Actual % must be 0–100%","OK")))))),"Select level"))))))</x:f>
      </x:c>
    </x:row>
    <x:row r="102">
      <x:c r="A102" s="66" t="str" cm="1">
        <x:f t="array" ref="A102">IF(OR(B102="",C102=""),"",IF(C102="Initiative",COUNTIF($C$5:C102,"Initiative"),IF(C102="Milestone",IF(D102="","",D102&amp;"."&amp;COUNTIFS($D$5:D102,D102,$C$5:C102,"Milestone")),IF(OR(C102="Activity",C102="Variation"),IF(D102="","",D102&amp;"."&amp;(COUNTIFS($D$5:D102,D102,$C$5:C102,"Activity")+COUNTIFS($D$5:D102,D102,$C$5:C102,"Variation"))),""))))</x:f>
      </x:c>
      <x:c r="B102" s="19"/>
      <x:c r="C102" s="19"/>
      <x:c r="D102" s="20"/>
      <x:c r="E102" s="21"/>
      <x:c r="F102" s="21"/>
      <x:c r="G102" s="102"/>
      <x:c r="H102" s="102"/>
      <x:c r="I102" s="102"/>
      <x:c r="J102" s="100"/>
      <x:c r="K102" s="7" t="str">
        <x:f>IF($B102="","",IF($C102="Initiative",IF(COUNTIFS($B$103:$B$204,$B102,$C$103:$C$204,"Activity")+COUNTIFS($B$103:$B$204,$B102,$C$103:$C$204,"Variation")=0,"",IF(COUNTIFS($B$103:$B$204,$B102,$C$103:$C$204,"Activity")+COUNTIFS($B$103:$B$204,$B102,$C$103:$C$204,"Variation")&lt;&gt;COUNTIFS($B$103:$B$204,$B102,$C$103:$C$204,"Activity",$G$103:$G$204,"&lt;&gt;",$H$103:$H$204,"&lt;&gt;")+COUNTIFS($B$103:$B$204,$B102,$C$103:$C$204,"Variation",$G$103:$G$204,"&lt;&gt;",$H$103:$H$204,"&lt;&gt;"),"",(SUMIFS($K$103:$K$204,$B$103:$B$204,$B102,$C$103:$C$204,"Activity")+SUMIFS($K$103:$K$204,$B$103:$B$204,$B102,$C$103:$C$204,"Variation"))/(COUNTIFS($B$103:$B$204,$B102,$C$103:$C$204,"Activity")+COUNTIFS($B$103:$B$204,$B102,$C$103:$C$204,"Variation")))),IF($C102="Milestone",IF(COUNTIFS($D$103:$D$204,$A102,$C$103:$C$204,"Activity")+COUNTIFS($D$103:$D$204,$A102,$C$103:$C$204,"Variation")=0,"",IF(COUNTIFS($D$103:$D$204,$A102,$C$103:$C$204,"Activity")+COUNTIFS($D$103:$D$204,$A102,$C$103:$C$204,"Variation")&lt;&gt;COUNTIFS($D$103:$D$204,$A102,$C$103:$C$204,"Activity",$G$103:$G$204,"&lt;&gt;",$H$103:$H$204,"&lt;&gt;")+COUNTIFS($D$103:$D$204,$A102,$C$103:$C$204,"Variation",$G$103:$G$204,"&lt;&gt;",$H$103:$H$204,"&lt;&gt;"),"",(SUMIFS($K$103:$K$204,$D$103:$D$204,$A102,$C$103:$C$204,"Activity")+SUMIFS($K$103:$K$204,$D$103:$D$204,$A102,$C$103:$C$204,"Variation"))/(COUNTIFS($D$103:$D$204,$A102,$C$103:$C$204,"Activity")+COUNTIFS($D$103:$D$204,$A102,$C$103:$C$204,"Variation")))),IF(OR($C102="Activity",$C102="Variation"),IF(OR($G102="",$H102=""),"",IF($H102&lt;$G102,"",IF($H102=$G102,--(TODAY()&gt;=$H102),MAX(0,MIN(1,(TODAY()-$G102)/($H102-$G102)))))),""))))</x:f>
      </x:c>
      <x:c r="L102" s="7" t="str">
        <x:f t="shared" si="3">IF($B102="","",IF($C102="Initiative",IF(COUNTIFS($B$5:$B$204,$B102,$C$5:$C$204,"Activity")+COUNTIFS($B$5:$B$204,$B102,$C$5:$C$204,"Variation")=0,"",IF(COUNTIFS($B$5:$B$204,$B102,$C$5:$C$204,"Activity")+COUNTIFS($B$5:$B$204,$B102,$C$5:$C$204,"Variation")&lt;&gt;COUNTIFS($B$5:$B$204,$B102,$C$5:$C$204,"Activity",$J$5:$J$204,"&lt;&gt;",$J$5:$J$204,"&gt;=0",$J$5:$J$204,"&lt;=1")+COUNTIFS($B$5:$B$204,$B102,$C$5:$C$204,"Variation",$J$5:$J$204,"&lt;&gt;",$J$5:$J$204,"&gt;=0",$J$5:$J$204,"&lt;=1"),"",(SUMIFS($J$5:$J$204,$B$5:$B$204,$B102,$C$5:$C$204,"Activity")+SUMIFS($J$5:$J$204,$B$5:$B$204,$B102,$C$5:$C$204,"Variation"))/(COUNTIFS($B$5:$B$204,$B102,$C$5:$C$204,"Activity")+COUNTIFS($B$5:$B$204,$B102,$C$5:$C$204,"Variation")))),IF($C102="Milestone",IF(COUNTIFS($D$5:$D$204,$A102,$C$5:$C$204,"Activity")+COUNTIFS($D$5:$D$204,$A102,$C$5:$C$204,"Variation")=0,"",IF(COUNTIFS($D$5:$D$204,$A102,$C$5:$C$204,"Activity")+COUNTIFS($D$5:$D$204,$A102,$C$5:$C$204,"Variation")&lt;&gt;COUNTIFS($D$5:$D$204,$A102,$C$5:$C$204,"Activity",$J$5:$J$204,"&lt;&gt;",$J$5:$J$204,"&gt;=0",$J$5:$J$204,"&lt;=1")+COUNTIFS($D$5:$D$204,$A102,$C$5:$C$204,"Variation",$J$5:$J$204,"&lt;&gt;",$J$5:$J$204,"&gt;=0",$J$5:$J$204,"&lt;=1"),"",(SUMIFS($J$5:$J$204,$D$5:$D$204,$A102,$C$5:$C$204,"Activity")+SUMIFS($J$5:$J$204,$D$5:$D$204,$A102,$C$5:$C$204,"Variation"))/(COUNTIFS($D$5:$D$204,$A102,$C$5:$C$204,"Activity")+COUNTIFS($D$5:$D$204,$A102,$C$5:$C$204,"Variation")))),IF(OR($C102="Activity",$C102="Variation"),IF(AND(ISNUMBER($J102),$J102&gt;=0,$J102&lt;=1),$J102,""),""))))</x:f>
      </x:c>
      <x:c r="M102" s="7" t="str">
        <x:f t="shared" si="4">IF(OR($K102="",$L102=""),"",$L102-$K102)</x:f>
      </x:c>
      <x:c r="N102" s="6" t="str">
        <x:f>IF(OR($B102="",$I102="",$L102=""),"",IF(AND($L102&lt;1,$I102&lt;TODAY()),"Late",IF(AND($H102&lt;&gt;"",$I102&gt;$H102),"Forecast Slip","On Plan")))</x:f>
      </x:c>
      <x:c r="O102" s="19"/>
      <x:c r="P102" s="6" t="str">
        <x:f t="shared" si="5">IF($B102="","",IF($A102="","Enter item ID",IF(COUNTIF($A$5:$A$204,$A102)&gt;1,"Duplicate item ID",IF($C102="Initiative",IF($D102&lt;&gt;"","Parent must be blank",IF(COUNTIFS($B$5:$B$204,$B102,$C$5:$C$204,"Initiative")&lt;&gt;1,"One Initiative row required",IF(COUNTIFS($D$5:$D$204,$A102,$C$5:$C$204,"Milestone")=0,"Add milestone","OK"))),IF($C102="Milestone",IF(COUNTIFS($A$5:$A$204,$D102,$B$5:$B$204,$B102,$C$5:$C$204,"Initiative")&lt;&gt;1,"Parent must be Initiative",IF(COUNTIFS($D$5:$D$204,$A102,$C$5:$C$204,"Activity")+COUNTIFS($D$5:$D$204,$A102,$C$5:$C$204,"Variation")=0,"Add activity or variation","OK")),IF(OR($C102="Activity",$C102="Variation"),IF(COUNTIFS($A$5:$A$204,$D102,$B$5:$B$204,$B102,$C$5:$C$204,"Milestone")&lt;&gt;1,"Parent must be Milestone",IF(OR($G102="",$H102=""),"Enter baseline dates",IF($H102&lt;$G102,"Baseline finish before start",IF($I102="","Enter forecast finish",IF(COUNT($J102)=0,"Enter actual %",IF(OR(NOT(ISNUMBER($J102)),$J102&lt;0,$J102&gt;1),"Actual % must be 0–100%","OK")))))),"Select level"))))))</x:f>
      </x:c>
    </x:row>
    <x:row r="103">
      <x:c r="A103" s="66" t="str" cm="1">
        <x:f t="array" ref="A103">IF(OR(B103="",C103=""),"",IF(C103="Initiative",COUNTIF($C$5:C103,"Initiative"),IF(C103="Milestone",IF(D103="","",D103&amp;"."&amp;COUNTIFS($D$5:D103,D103,$C$5:C103,"Milestone")),IF(OR(C103="Activity",C103="Variation"),IF(D103="","",D103&amp;"."&amp;(COUNTIFS($D$5:D103,D103,$C$5:C103,"Activity")+COUNTIFS($D$5:D103,D103,$C$5:C103,"Variation"))),""))))</x:f>
      </x:c>
      <x:c r="B103" s="19"/>
      <x:c r="C103" s="19"/>
      <x:c r="D103" s="20"/>
      <x:c r="E103" s="21"/>
      <x:c r="F103" s="21"/>
      <x:c r="G103" s="102"/>
      <x:c r="H103" s="102"/>
      <x:c r="I103" s="102"/>
      <x:c r="J103" s="100"/>
      <x:c r="K103" s="7" t="str">
        <x:f>IF($B103="","",IF($C103="Initiative",IF(COUNTIFS($B$104:$B$204,$B103,$C$104:$C$204,"Activity")+COUNTIFS($B$104:$B$204,$B103,$C$104:$C$204,"Variation")=0,"",IF(COUNTIFS($B$104:$B$204,$B103,$C$104:$C$204,"Activity")+COUNTIFS($B$104:$B$204,$B103,$C$104:$C$204,"Variation")&lt;&gt;COUNTIFS($B$104:$B$204,$B103,$C$104:$C$204,"Activity",$G$104:$G$204,"&lt;&gt;",$H$104:$H$204,"&lt;&gt;")+COUNTIFS($B$104:$B$204,$B103,$C$104:$C$204,"Variation",$G$104:$G$204,"&lt;&gt;",$H$104:$H$204,"&lt;&gt;"),"",(SUMIFS($K$104:$K$204,$B$104:$B$204,$B103,$C$104:$C$204,"Activity")+SUMIFS($K$104:$K$204,$B$104:$B$204,$B103,$C$104:$C$204,"Variation"))/(COUNTIFS($B$104:$B$204,$B103,$C$104:$C$204,"Activity")+COUNTIFS($B$104:$B$204,$B103,$C$104:$C$204,"Variation")))),IF($C103="Milestone",IF(COUNTIFS($D$104:$D$204,$A103,$C$104:$C$204,"Activity")+COUNTIFS($D$104:$D$204,$A103,$C$104:$C$204,"Variation")=0,"",IF(COUNTIFS($D$104:$D$204,$A103,$C$104:$C$204,"Activity")+COUNTIFS($D$104:$D$204,$A103,$C$104:$C$204,"Variation")&lt;&gt;COUNTIFS($D$104:$D$204,$A103,$C$104:$C$204,"Activity",$G$104:$G$204,"&lt;&gt;",$H$104:$H$204,"&lt;&gt;")+COUNTIFS($D$104:$D$204,$A103,$C$104:$C$204,"Variation",$G$104:$G$204,"&lt;&gt;",$H$104:$H$204,"&lt;&gt;"),"",(SUMIFS($K$104:$K$204,$D$104:$D$204,$A103,$C$104:$C$204,"Activity")+SUMIFS($K$104:$K$204,$D$104:$D$204,$A103,$C$104:$C$204,"Variation"))/(COUNTIFS($D$104:$D$204,$A103,$C$104:$C$204,"Activity")+COUNTIFS($D$104:$D$204,$A103,$C$104:$C$204,"Variation")))),IF(OR($C103="Activity",$C103="Variation"),IF(OR($G103="",$H103=""),"",IF($H103&lt;$G103,"",IF($H103=$G103,--(TODAY()&gt;=$H103),MAX(0,MIN(1,(TODAY()-$G103)/($H103-$G103)))))),""))))</x:f>
      </x:c>
      <x:c r="L103" s="7" t="str">
        <x:f t="shared" si="3">IF($B103="","",IF($C103="Initiative",IF(COUNTIFS($B$5:$B$204,$B103,$C$5:$C$204,"Activity")+COUNTIFS($B$5:$B$204,$B103,$C$5:$C$204,"Variation")=0,"",IF(COUNTIFS($B$5:$B$204,$B103,$C$5:$C$204,"Activity")+COUNTIFS($B$5:$B$204,$B103,$C$5:$C$204,"Variation")&lt;&gt;COUNTIFS($B$5:$B$204,$B103,$C$5:$C$204,"Activity",$J$5:$J$204,"&lt;&gt;",$J$5:$J$204,"&gt;=0",$J$5:$J$204,"&lt;=1")+COUNTIFS($B$5:$B$204,$B103,$C$5:$C$204,"Variation",$J$5:$J$204,"&lt;&gt;",$J$5:$J$204,"&gt;=0",$J$5:$J$204,"&lt;=1"),"",(SUMIFS($J$5:$J$204,$B$5:$B$204,$B103,$C$5:$C$204,"Activity")+SUMIFS($J$5:$J$204,$B$5:$B$204,$B103,$C$5:$C$204,"Variation"))/(COUNTIFS($B$5:$B$204,$B103,$C$5:$C$204,"Activity")+COUNTIFS($B$5:$B$204,$B103,$C$5:$C$204,"Variation")))),IF($C103="Milestone",IF(COUNTIFS($D$5:$D$204,$A103,$C$5:$C$204,"Activity")+COUNTIFS($D$5:$D$204,$A103,$C$5:$C$204,"Variation")=0,"",IF(COUNTIFS($D$5:$D$204,$A103,$C$5:$C$204,"Activity")+COUNTIFS($D$5:$D$204,$A103,$C$5:$C$204,"Variation")&lt;&gt;COUNTIFS($D$5:$D$204,$A103,$C$5:$C$204,"Activity",$J$5:$J$204,"&lt;&gt;",$J$5:$J$204,"&gt;=0",$J$5:$J$204,"&lt;=1")+COUNTIFS($D$5:$D$204,$A103,$C$5:$C$204,"Variation",$J$5:$J$204,"&lt;&gt;",$J$5:$J$204,"&gt;=0",$J$5:$J$204,"&lt;=1"),"",(SUMIFS($J$5:$J$204,$D$5:$D$204,$A103,$C$5:$C$204,"Activity")+SUMIFS($J$5:$J$204,$D$5:$D$204,$A103,$C$5:$C$204,"Variation"))/(COUNTIFS($D$5:$D$204,$A103,$C$5:$C$204,"Activity")+COUNTIFS($D$5:$D$204,$A103,$C$5:$C$204,"Variation")))),IF(OR($C103="Activity",$C103="Variation"),IF(AND(ISNUMBER($J103),$J103&gt;=0,$J103&lt;=1),$J103,""),""))))</x:f>
      </x:c>
      <x:c r="M103" s="7" t="str">
        <x:f t="shared" si="4">IF(OR($K103="",$L103=""),"",$L103-$K103)</x:f>
      </x:c>
      <x:c r="N103" s="6" t="str">
        <x:f>IF(OR($B103="",$I103="",$L103=""),"",IF(AND($L103&lt;1,$I103&lt;TODAY()),"Late",IF(AND($H103&lt;&gt;"",$I103&gt;$H103),"Forecast Slip","On Plan")))</x:f>
      </x:c>
      <x:c r="O103" s="19"/>
      <x:c r="P103" s="6" t="str">
        <x:f t="shared" si="5">IF($B103="","",IF($A103="","Enter item ID",IF(COUNTIF($A$5:$A$204,$A103)&gt;1,"Duplicate item ID",IF($C103="Initiative",IF($D103&lt;&gt;"","Parent must be blank",IF(COUNTIFS($B$5:$B$204,$B103,$C$5:$C$204,"Initiative")&lt;&gt;1,"One Initiative row required",IF(COUNTIFS($D$5:$D$204,$A103,$C$5:$C$204,"Milestone")=0,"Add milestone","OK"))),IF($C103="Milestone",IF(COUNTIFS($A$5:$A$204,$D103,$B$5:$B$204,$B103,$C$5:$C$204,"Initiative")&lt;&gt;1,"Parent must be Initiative",IF(COUNTIFS($D$5:$D$204,$A103,$C$5:$C$204,"Activity")+COUNTIFS($D$5:$D$204,$A103,$C$5:$C$204,"Variation")=0,"Add activity or variation","OK")),IF(OR($C103="Activity",$C103="Variation"),IF(COUNTIFS($A$5:$A$204,$D103,$B$5:$B$204,$B103,$C$5:$C$204,"Milestone")&lt;&gt;1,"Parent must be Milestone",IF(OR($G103="",$H103=""),"Enter baseline dates",IF($H103&lt;$G103,"Baseline finish before start",IF($I103="","Enter forecast finish",IF(COUNT($J103)=0,"Enter actual %",IF(OR(NOT(ISNUMBER($J103)),$J103&lt;0,$J103&gt;1),"Actual % must be 0–100%","OK")))))),"Select level"))))))</x:f>
      </x:c>
    </x:row>
    <x:row r="104">
      <x:c r="A104" s="66" t="str" cm="1">
        <x:f t="array" ref="A104">IF(OR(B104="",C104=""),"",IF(C104="Initiative",COUNTIF($C$5:C104,"Initiative"),IF(C104="Milestone",IF(D104="","",D104&amp;"."&amp;COUNTIFS($D$5:D104,D104,$C$5:C104,"Milestone")),IF(OR(C104="Activity",C104="Variation"),IF(D104="","",D104&amp;"."&amp;(COUNTIFS($D$5:D104,D104,$C$5:C104,"Activity")+COUNTIFS($D$5:D104,D104,$C$5:C104,"Variation"))),""))))</x:f>
      </x:c>
      <x:c r="B104" s="19"/>
      <x:c r="C104" s="19"/>
      <x:c r="D104" s="20"/>
      <x:c r="E104" s="21"/>
      <x:c r="F104" s="21"/>
      <x:c r="G104" s="102"/>
      <x:c r="H104" s="102"/>
      <x:c r="I104" s="102"/>
      <x:c r="J104" s="100"/>
      <x:c r="K104" s="7" t="str">
        <x:f>IF($B104="","",IF($C104="Initiative",IF(COUNTIFS($B$105:$B$204,$B104,$C$105:$C$204,"Activity")+COUNTIFS($B$105:$B$204,$B104,$C$105:$C$204,"Variation")=0,"",IF(COUNTIFS($B$105:$B$204,$B104,$C$105:$C$204,"Activity")+COUNTIFS($B$105:$B$204,$B104,$C$105:$C$204,"Variation")&lt;&gt;COUNTIFS($B$105:$B$204,$B104,$C$105:$C$204,"Activity",$G$105:$G$204,"&lt;&gt;",$H$105:$H$204,"&lt;&gt;")+COUNTIFS($B$105:$B$204,$B104,$C$105:$C$204,"Variation",$G$105:$G$204,"&lt;&gt;",$H$105:$H$204,"&lt;&gt;"),"",(SUMIFS($K$105:$K$204,$B$105:$B$204,$B104,$C$105:$C$204,"Activity")+SUMIFS($K$105:$K$204,$B$105:$B$204,$B104,$C$105:$C$204,"Variation"))/(COUNTIFS($B$105:$B$204,$B104,$C$105:$C$204,"Activity")+COUNTIFS($B$105:$B$204,$B104,$C$105:$C$204,"Variation")))),IF($C104="Milestone",IF(COUNTIFS($D$105:$D$204,$A104,$C$105:$C$204,"Activity")+COUNTIFS($D$105:$D$204,$A104,$C$105:$C$204,"Variation")=0,"",IF(COUNTIFS($D$105:$D$204,$A104,$C$105:$C$204,"Activity")+COUNTIFS($D$105:$D$204,$A104,$C$105:$C$204,"Variation")&lt;&gt;COUNTIFS($D$105:$D$204,$A104,$C$105:$C$204,"Activity",$G$105:$G$204,"&lt;&gt;",$H$105:$H$204,"&lt;&gt;")+COUNTIFS($D$105:$D$204,$A104,$C$105:$C$204,"Variation",$G$105:$G$204,"&lt;&gt;",$H$105:$H$204,"&lt;&gt;"),"",(SUMIFS($K$105:$K$204,$D$105:$D$204,$A104,$C$105:$C$204,"Activity")+SUMIFS($K$105:$K$204,$D$105:$D$204,$A104,$C$105:$C$204,"Variation"))/(COUNTIFS($D$105:$D$204,$A104,$C$105:$C$204,"Activity")+COUNTIFS($D$105:$D$204,$A104,$C$105:$C$204,"Variation")))),IF(OR($C104="Activity",$C104="Variation"),IF(OR($G104="",$H104=""),"",IF($H104&lt;$G104,"",IF($H104=$G104,--(TODAY()&gt;=$H104),MAX(0,MIN(1,(TODAY()-$G104)/($H104-$G104)))))),""))))</x:f>
      </x:c>
      <x:c r="L104" s="7" t="str">
        <x:f t="shared" si="3">IF($B104="","",IF($C104="Initiative",IF(COUNTIFS($B$5:$B$204,$B104,$C$5:$C$204,"Activity")+COUNTIFS($B$5:$B$204,$B104,$C$5:$C$204,"Variation")=0,"",IF(COUNTIFS($B$5:$B$204,$B104,$C$5:$C$204,"Activity")+COUNTIFS($B$5:$B$204,$B104,$C$5:$C$204,"Variation")&lt;&gt;COUNTIFS($B$5:$B$204,$B104,$C$5:$C$204,"Activity",$J$5:$J$204,"&lt;&gt;",$J$5:$J$204,"&gt;=0",$J$5:$J$204,"&lt;=1")+COUNTIFS($B$5:$B$204,$B104,$C$5:$C$204,"Variation",$J$5:$J$204,"&lt;&gt;",$J$5:$J$204,"&gt;=0",$J$5:$J$204,"&lt;=1"),"",(SUMIFS($J$5:$J$204,$B$5:$B$204,$B104,$C$5:$C$204,"Activity")+SUMIFS($J$5:$J$204,$B$5:$B$204,$B104,$C$5:$C$204,"Variation"))/(COUNTIFS($B$5:$B$204,$B104,$C$5:$C$204,"Activity")+COUNTIFS($B$5:$B$204,$B104,$C$5:$C$204,"Variation")))),IF($C104="Milestone",IF(COUNTIFS($D$5:$D$204,$A104,$C$5:$C$204,"Activity")+COUNTIFS($D$5:$D$204,$A104,$C$5:$C$204,"Variation")=0,"",IF(COUNTIFS($D$5:$D$204,$A104,$C$5:$C$204,"Activity")+COUNTIFS($D$5:$D$204,$A104,$C$5:$C$204,"Variation")&lt;&gt;COUNTIFS($D$5:$D$204,$A104,$C$5:$C$204,"Activity",$J$5:$J$204,"&lt;&gt;",$J$5:$J$204,"&gt;=0",$J$5:$J$204,"&lt;=1")+COUNTIFS($D$5:$D$204,$A104,$C$5:$C$204,"Variation",$J$5:$J$204,"&lt;&gt;",$J$5:$J$204,"&gt;=0",$J$5:$J$204,"&lt;=1"),"",(SUMIFS($J$5:$J$204,$D$5:$D$204,$A104,$C$5:$C$204,"Activity")+SUMIFS($J$5:$J$204,$D$5:$D$204,$A104,$C$5:$C$204,"Variation"))/(COUNTIFS($D$5:$D$204,$A104,$C$5:$C$204,"Activity")+COUNTIFS($D$5:$D$204,$A104,$C$5:$C$204,"Variation")))),IF(OR($C104="Activity",$C104="Variation"),IF(AND(ISNUMBER($J104),$J104&gt;=0,$J104&lt;=1),$J104,""),""))))</x:f>
      </x:c>
      <x:c r="M104" s="7" t="str">
        <x:f t="shared" si="4">IF(OR($K104="",$L104=""),"",$L104-$K104)</x:f>
      </x:c>
      <x:c r="N104" s="6" t="str">
        <x:f>IF(OR($B104="",$I104="",$L104=""),"",IF(AND($L104&lt;1,$I104&lt;TODAY()),"Late",IF(AND($H104&lt;&gt;"",$I104&gt;$H104),"Forecast Slip","On Plan")))</x:f>
      </x:c>
      <x:c r="O104" s="19"/>
      <x:c r="P104" s="6" t="str">
        <x:f t="shared" si="5">IF($B104="","",IF($A104="","Enter item ID",IF(COUNTIF($A$5:$A$204,$A104)&gt;1,"Duplicate item ID",IF($C104="Initiative",IF($D104&lt;&gt;"","Parent must be blank",IF(COUNTIFS($B$5:$B$204,$B104,$C$5:$C$204,"Initiative")&lt;&gt;1,"One Initiative row required",IF(COUNTIFS($D$5:$D$204,$A104,$C$5:$C$204,"Milestone")=0,"Add milestone","OK"))),IF($C104="Milestone",IF(COUNTIFS($A$5:$A$204,$D104,$B$5:$B$204,$B104,$C$5:$C$204,"Initiative")&lt;&gt;1,"Parent must be Initiative",IF(COUNTIFS($D$5:$D$204,$A104,$C$5:$C$204,"Activity")+COUNTIFS($D$5:$D$204,$A104,$C$5:$C$204,"Variation")=0,"Add activity or variation","OK")),IF(OR($C104="Activity",$C104="Variation"),IF(COUNTIFS($A$5:$A$204,$D104,$B$5:$B$204,$B104,$C$5:$C$204,"Milestone")&lt;&gt;1,"Parent must be Milestone",IF(OR($G104="",$H104=""),"Enter baseline dates",IF($H104&lt;$G104,"Baseline finish before start",IF($I104="","Enter forecast finish",IF(COUNT($J104)=0,"Enter actual %",IF(OR(NOT(ISNUMBER($J104)),$J104&lt;0,$J104&gt;1),"Actual % must be 0–100%","OK")))))),"Select level"))))))</x:f>
      </x:c>
    </x:row>
    <x:row r="105">
      <x:c r="A105" s="66" t="str" cm="1">
        <x:f t="array" ref="A105">IF(OR(B105="",C105=""),"",IF(C105="Initiative",COUNTIF($C$5:C105,"Initiative"),IF(C105="Milestone",IF(D105="","",D105&amp;"."&amp;COUNTIFS($D$5:D105,D105,$C$5:C105,"Milestone")),IF(OR(C105="Activity",C105="Variation"),IF(D105="","",D105&amp;"."&amp;(COUNTIFS($D$5:D105,D105,$C$5:C105,"Activity")+COUNTIFS($D$5:D105,D105,$C$5:C105,"Variation"))),""))))</x:f>
      </x:c>
      <x:c r="B105" s="19"/>
      <x:c r="C105" s="19"/>
      <x:c r="D105" s="20"/>
      <x:c r="E105" s="21"/>
      <x:c r="F105" s="21"/>
      <x:c r="G105" s="102"/>
      <x:c r="H105" s="102"/>
      <x:c r="I105" s="102"/>
      <x:c r="J105" s="100"/>
      <x:c r="K105" s="7" t="str">
        <x:f>IF($B105="","",IF($C105="Initiative",IF(COUNTIFS($B$106:$B$204,$B105,$C$106:$C$204,"Activity")+COUNTIFS($B$106:$B$204,$B105,$C$106:$C$204,"Variation")=0,"",IF(COUNTIFS($B$106:$B$204,$B105,$C$106:$C$204,"Activity")+COUNTIFS($B$106:$B$204,$B105,$C$106:$C$204,"Variation")&lt;&gt;COUNTIFS($B$106:$B$204,$B105,$C$106:$C$204,"Activity",$G$106:$G$204,"&lt;&gt;",$H$106:$H$204,"&lt;&gt;")+COUNTIFS($B$106:$B$204,$B105,$C$106:$C$204,"Variation",$G$106:$G$204,"&lt;&gt;",$H$106:$H$204,"&lt;&gt;"),"",(SUMIFS($K$106:$K$204,$B$106:$B$204,$B105,$C$106:$C$204,"Activity")+SUMIFS($K$106:$K$204,$B$106:$B$204,$B105,$C$106:$C$204,"Variation"))/(COUNTIFS($B$106:$B$204,$B105,$C$106:$C$204,"Activity")+COUNTIFS($B$106:$B$204,$B105,$C$106:$C$204,"Variation")))),IF($C105="Milestone",IF(COUNTIFS($D$106:$D$204,$A105,$C$106:$C$204,"Activity")+COUNTIFS($D$106:$D$204,$A105,$C$106:$C$204,"Variation")=0,"",IF(COUNTIFS($D$106:$D$204,$A105,$C$106:$C$204,"Activity")+COUNTIFS($D$106:$D$204,$A105,$C$106:$C$204,"Variation")&lt;&gt;COUNTIFS($D$106:$D$204,$A105,$C$106:$C$204,"Activity",$G$106:$G$204,"&lt;&gt;",$H$106:$H$204,"&lt;&gt;")+COUNTIFS($D$106:$D$204,$A105,$C$106:$C$204,"Variation",$G$106:$G$204,"&lt;&gt;",$H$106:$H$204,"&lt;&gt;"),"",(SUMIFS($K$106:$K$204,$D$106:$D$204,$A105,$C$106:$C$204,"Activity")+SUMIFS($K$106:$K$204,$D$106:$D$204,$A105,$C$106:$C$204,"Variation"))/(COUNTIFS($D$106:$D$204,$A105,$C$106:$C$204,"Activity")+COUNTIFS($D$106:$D$204,$A105,$C$106:$C$204,"Variation")))),IF(OR($C105="Activity",$C105="Variation"),IF(OR($G105="",$H105=""),"",IF($H105&lt;$G105,"",IF($H105=$G105,--(TODAY()&gt;=$H105),MAX(0,MIN(1,(TODAY()-$G105)/($H105-$G105)))))),""))))</x:f>
      </x:c>
      <x:c r="L105" s="7" t="str">
        <x:f t="shared" si="3">IF($B105="","",IF($C105="Initiative",IF(COUNTIFS($B$5:$B$204,$B105,$C$5:$C$204,"Activity")+COUNTIFS($B$5:$B$204,$B105,$C$5:$C$204,"Variation")=0,"",IF(COUNTIFS($B$5:$B$204,$B105,$C$5:$C$204,"Activity")+COUNTIFS($B$5:$B$204,$B105,$C$5:$C$204,"Variation")&lt;&gt;COUNTIFS($B$5:$B$204,$B105,$C$5:$C$204,"Activity",$J$5:$J$204,"&lt;&gt;",$J$5:$J$204,"&gt;=0",$J$5:$J$204,"&lt;=1")+COUNTIFS($B$5:$B$204,$B105,$C$5:$C$204,"Variation",$J$5:$J$204,"&lt;&gt;",$J$5:$J$204,"&gt;=0",$J$5:$J$204,"&lt;=1"),"",(SUMIFS($J$5:$J$204,$B$5:$B$204,$B105,$C$5:$C$204,"Activity")+SUMIFS($J$5:$J$204,$B$5:$B$204,$B105,$C$5:$C$204,"Variation"))/(COUNTIFS($B$5:$B$204,$B105,$C$5:$C$204,"Activity")+COUNTIFS($B$5:$B$204,$B105,$C$5:$C$204,"Variation")))),IF($C105="Milestone",IF(COUNTIFS($D$5:$D$204,$A105,$C$5:$C$204,"Activity")+COUNTIFS($D$5:$D$204,$A105,$C$5:$C$204,"Variation")=0,"",IF(COUNTIFS($D$5:$D$204,$A105,$C$5:$C$204,"Activity")+COUNTIFS($D$5:$D$204,$A105,$C$5:$C$204,"Variation")&lt;&gt;COUNTIFS($D$5:$D$204,$A105,$C$5:$C$204,"Activity",$J$5:$J$204,"&lt;&gt;",$J$5:$J$204,"&gt;=0",$J$5:$J$204,"&lt;=1")+COUNTIFS($D$5:$D$204,$A105,$C$5:$C$204,"Variation",$J$5:$J$204,"&lt;&gt;",$J$5:$J$204,"&gt;=0",$J$5:$J$204,"&lt;=1"),"",(SUMIFS($J$5:$J$204,$D$5:$D$204,$A105,$C$5:$C$204,"Activity")+SUMIFS($J$5:$J$204,$D$5:$D$204,$A105,$C$5:$C$204,"Variation"))/(COUNTIFS($D$5:$D$204,$A105,$C$5:$C$204,"Activity")+COUNTIFS($D$5:$D$204,$A105,$C$5:$C$204,"Variation")))),IF(OR($C105="Activity",$C105="Variation"),IF(AND(ISNUMBER($J105),$J105&gt;=0,$J105&lt;=1),$J105,""),""))))</x:f>
      </x:c>
      <x:c r="M105" s="7" t="str">
        <x:f t="shared" si="4">IF(OR($K105="",$L105=""),"",$L105-$K105)</x:f>
      </x:c>
      <x:c r="N105" s="6" t="str">
        <x:f>IF(OR($B105="",$I105="",$L105=""),"",IF(AND($L105&lt;1,$I105&lt;TODAY()),"Late",IF(AND($H105&lt;&gt;"",$I105&gt;$H105),"Forecast Slip","On Plan")))</x:f>
      </x:c>
      <x:c r="O105" s="19"/>
      <x:c r="P105" s="6" t="str">
        <x:f t="shared" si="5">IF($B105="","",IF($A105="","Enter item ID",IF(COUNTIF($A$5:$A$204,$A105)&gt;1,"Duplicate item ID",IF($C105="Initiative",IF($D105&lt;&gt;"","Parent must be blank",IF(COUNTIFS($B$5:$B$204,$B105,$C$5:$C$204,"Initiative")&lt;&gt;1,"One Initiative row required",IF(COUNTIFS($D$5:$D$204,$A105,$C$5:$C$204,"Milestone")=0,"Add milestone","OK"))),IF($C105="Milestone",IF(COUNTIFS($A$5:$A$204,$D105,$B$5:$B$204,$B105,$C$5:$C$204,"Initiative")&lt;&gt;1,"Parent must be Initiative",IF(COUNTIFS($D$5:$D$204,$A105,$C$5:$C$204,"Activity")+COUNTIFS($D$5:$D$204,$A105,$C$5:$C$204,"Variation")=0,"Add activity or variation","OK")),IF(OR($C105="Activity",$C105="Variation"),IF(COUNTIFS($A$5:$A$204,$D105,$B$5:$B$204,$B105,$C$5:$C$204,"Milestone")&lt;&gt;1,"Parent must be Milestone",IF(OR($G105="",$H105=""),"Enter baseline dates",IF($H105&lt;$G105,"Baseline finish before start",IF($I105="","Enter forecast finish",IF(COUNT($J105)=0,"Enter actual %",IF(OR(NOT(ISNUMBER($J105)),$J105&lt;0,$J105&gt;1),"Actual % must be 0–100%","OK")))))),"Select level"))))))</x:f>
      </x:c>
    </x:row>
    <x:row r="106">
      <x:c r="A106" s="66" t="str" cm="1">
        <x:f t="array" ref="A106">IF(OR(B106="",C106=""),"",IF(C106="Initiative",COUNTIF($C$5:C106,"Initiative"),IF(C106="Milestone",IF(D106="","",D106&amp;"."&amp;COUNTIFS($D$5:D106,D106,$C$5:C106,"Milestone")),IF(OR(C106="Activity",C106="Variation"),IF(D106="","",D106&amp;"."&amp;(COUNTIFS($D$5:D106,D106,$C$5:C106,"Activity")+COUNTIFS($D$5:D106,D106,$C$5:C106,"Variation"))),""))))</x:f>
      </x:c>
      <x:c r="B106" s="19"/>
      <x:c r="C106" s="19"/>
      <x:c r="D106" s="20"/>
      <x:c r="E106" s="21"/>
      <x:c r="F106" s="21"/>
      <x:c r="G106" s="102"/>
      <x:c r="H106" s="102"/>
      <x:c r="I106" s="102"/>
      <x:c r="J106" s="100"/>
      <x:c r="K106" s="7" t="str">
        <x:f>IF($B106="","",IF($C106="Initiative",IF(COUNTIFS($B$107:$B$204,$B106,$C$107:$C$204,"Activity")+COUNTIFS($B$107:$B$204,$B106,$C$107:$C$204,"Variation")=0,"",IF(COUNTIFS($B$107:$B$204,$B106,$C$107:$C$204,"Activity")+COUNTIFS($B$107:$B$204,$B106,$C$107:$C$204,"Variation")&lt;&gt;COUNTIFS($B$107:$B$204,$B106,$C$107:$C$204,"Activity",$G$107:$G$204,"&lt;&gt;",$H$107:$H$204,"&lt;&gt;")+COUNTIFS($B$107:$B$204,$B106,$C$107:$C$204,"Variation",$G$107:$G$204,"&lt;&gt;",$H$107:$H$204,"&lt;&gt;"),"",(SUMIFS($K$107:$K$204,$B$107:$B$204,$B106,$C$107:$C$204,"Activity")+SUMIFS($K$107:$K$204,$B$107:$B$204,$B106,$C$107:$C$204,"Variation"))/(COUNTIFS($B$107:$B$204,$B106,$C$107:$C$204,"Activity")+COUNTIFS($B$107:$B$204,$B106,$C$107:$C$204,"Variation")))),IF($C106="Milestone",IF(COUNTIFS($D$107:$D$204,$A106,$C$107:$C$204,"Activity")+COUNTIFS($D$107:$D$204,$A106,$C$107:$C$204,"Variation")=0,"",IF(COUNTIFS($D$107:$D$204,$A106,$C$107:$C$204,"Activity")+COUNTIFS($D$107:$D$204,$A106,$C$107:$C$204,"Variation")&lt;&gt;COUNTIFS($D$107:$D$204,$A106,$C$107:$C$204,"Activity",$G$107:$G$204,"&lt;&gt;",$H$107:$H$204,"&lt;&gt;")+COUNTIFS($D$107:$D$204,$A106,$C$107:$C$204,"Variation",$G$107:$G$204,"&lt;&gt;",$H$107:$H$204,"&lt;&gt;"),"",(SUMIFS($K$107:$K$204,$D$107:$D$204,$A106,$C$107:$C$204,"Activity")+SUMIFS($K$107:$K$204,$D$107:$D$204,$A106,$C$107:$C$204,"Variation"))/(COUNTIFS($D$107:$D$204,$A106,$C$107:$C$204,"Activity")+COUNTIFS($D$107:$D$204,$A106,$C$107:$C$204,"Variation")))),IF(OR($C106="Activity",$C106="Variation"),IF(OR($G106="",$H106=""),"",IF($H106&lt;$G106,"",IF($H106=$G106,--(TODAY()&gt;=$H106),MAX(0,MIN(1,(TODAY()-$G106)/($H106-$G106)))))),""))))</x:f>
      </x:c>
      <x:c r="L106" s="7" t="str">
        <x:f t="shared" si="3">IF($B106="","",IF($C106="Initiative",IF(COUNTIFS($B$5:$B$204,$B106,$C$5:$C$204,"Activity")+COUNTIFS($B$5:$B$204,$B106,$C$5:$C$204,"Variation")=0,"",IF(COUNTIFS($B$5:$B$204,$B106,$C$5:$C$204,"Activity")+COUNTIFS($B$5:$B$204,$B106,$C$5:$C$204,"Variation")&lt;&gt;COUNTIFS($B$5:$B$204,$B106,$C$5:$C$204,"Activity",$J$5:$J$204,"&lt;&gt;",$J$5:$J$204,"&gt;=0",$J$5:$J$204,"&lt;=1")+COUNTIFS($B$5:$B$204,$B106,$C$5:$C$204,"Variation",$J$5:$J$204,"&lt;&gt;",$J$5:$J$204,"&gt;=0",$J$5:$J$204,"&lt;=1"),"",(SUMIFS($J$5:$J$204,$B$5:$B$204,$B106,$C$5:$C$204,"Activity")+SUMIFS($J$5:$J$204,$B$5:$B$204,$B106,$C$5:$C$204,"Variation"))/(COUNTIFS($B$5:$B$204,$B106,$C$5:$C$204,"Activity")+COUNTIFS($B$5:$B$204,$B106,$C$5:$C$204,"Variation")))),IF($C106="Milestone",IF(COUNTIFS($D$5:$D$204,$A106,$C$5:$C$204,"Activity")+COUNTIFS($D$5:$D$204,$A106,$C$5:$C$204,"Variation")=0,"",IF(COUNTIFS($D$5:$D$204,$A106,$C$5:$C$204,"Activity")+COUNTIFS($D$5:$D$204,$A106,$C$5:$C$204,"Variation")&lt;&gt;COUNTIFS($D$5:$D$204,$A106,$C$5:$C$204,"Activity",$J$5:$J$204,"&lt;&gt;",$J$5:$J$204,"&gt;=0",$J$5:$J$204,"&lt;=1")+COUNTIFS($D$5:$D$204,$A106,$C$5:$C$204,"Variation",$J$5:$J$204,"&lt;&gt;",$J$5:$J$204,"&gt;=0",$J$5:$J$204,"&lt;=1"),"",(SUMIFS($J$5:$J$204,$D$5:$D$204,$A106,$C$5:$C$204,"Activity")+SUMIFS($J$5:$J$204,$D$5:$D$204,$A106,$C$5:$C$204,"Variation"))/(COUNTIFS($D$5:$D$204,$A106,$C$5:$C$204,"Activity")+COUNTIFS($D$5:$D$204,$A106,$C$5:$C$204,"Variation")))),IF(OR($C106="Activity",$C106="Variation"),IF(AND(ISNUMBER($J106),$J106&gt;=0,$J106&lt;=1),$J106,""),""))))</x:f>
      </x:c>
      <x:c r="M106" s="7" t="str">
        <x:f t="shared" si="4">IF(OR($K106="",$L106=""),"",$L106-$K106)</x:f>
      </x:c>
      <x:c r="N106" s="6" t="str">
        <x:f>IF(OR($B106="",$I106="",$L106=""),"",IF(AND($L106&lt;1,$I106&lt;TODAY()),"Late",IF(AND($H106&lt;&gt;"",$I106&gt;$H106),"Forecast Slip","On Plan")))</x:f>
      </x:c>
      <x:c r="O106" s="19"/>
      <x:c r="P106" s="6" t="str">
        <x:f t="shared" si="5">IF($B106="","",IF($A106="","Enter item ID",IF(COUNTIF($A$5:$A$204,$A106)&gt;1,"Duplicate item ID",IF($C106="Initiative",IF($D106&lt;&gt;"","Parent must be blank",IF(COUNTIFS($B$5:$B$204,$B106,$C$5:$C$204,"Initiative")&lt;&gt;1,"One Initiative row required",IF(COUNTIFS($D$5:$D$204,$A106,$C$5:$C$204,"Milestone")=0,"Add milestone","OK"))),IF($C106="Milestone",IF(COUNTIFS($A$5:$A$204,$D106,$B$5:$B$204,$B106,$C$5:$C$204,"Initiative")&lt;&gt;1,"Parent must be Initiative",IF(COUNTIFS($D$5:$D$204,$A106,$C$5:$C$204,"Activity")+COUNTIFS($D$5:$D$204,$A106,$C$5:$C$204,"Variation")=0,"Add activity or variation","OK")),IF(OR($C106="Activity",$C106="Variation"),IF(COUNTIFS($A$5:$A$204,$D106,$B$5:$B$204,$B106,$C$5:$C$204,"Milestone")&lt;&gt;1,"Parent must be Milestone",IF(OR($G106="",$H106=""),"Enter baseline dates",IF($H106&lt;$G106,"Baseline finish before start",IF($I106="","Enter forecast finish",IF(COUNT($J106)=0,"Enter actual %",IF(OR(NOT(ISNUMBER($J106)),$J106&lt;0,$J106&gt;1),"Actual % must be 0–100%","OK")))))),"Select level"))))))</x:f>
      </x:c>
    </x:row>
    <x:row r="107">
      <x:c r="A107" s="66" t="str" cm="1">
        <x:f t="array" ref="A107">IF(OR(B107="",C107=""),"",IF(C107="Initiative",COUNTIF($C$5:C107,"Initiative"),IF(C107="Milestone",IF(D107="","",D107&amp;"."&amp;COUNTIFS($D$5:D107,D107,$C$5:C107,"Milestone")),IF(OR(C107="Activity",C107="Variation"),IF(D107="","",D107&amp;"."&amp;(COUNTIFS($D$5:D107,D107,$C$5:C107,"Activity")+COUNTIFS($D$5:D107,D107,$C$5:C107,"Variation"))),""))))</x:f>
      </x:c>
      <x:c r="B107" s="19"/>
      <x:c r="C107" s="19"/>
      <x:c r="D107" s="20"/>
      <x:c r="E107" s="21"/>
      <x:c r="F107" s="21"/>
      <x:c r="G107" s="102"/>
      <x:c r="H107" s="102"/>
      <x:c r="I107" s="102"/>
      <x:c r="J107" s="100"/>
      <x:c r="K107" s="7" t="str">
        <x:f>IF($B107="","",IF($C107="Initiative",IF(COUNTIFS($B$108:$B$204,$B107,$C$108:$C$204,"Activity")+COUNTIFS($B$108:$B$204,$B107,$C$108:$C$204,"Variation")=0,"",IF(COUNTIFS($B$108:$B$204,$B107,$C$108:$C$204,"Activity")+COUNTIFS($B$108:$B$204,$B107,$C$108:$C$204,"Variation")&lt;&gt;COUNTIFS($B$108:$B$204,$B107,$C$108:$C$204,"Activity",$G$108:$G$204,"&lt;&gt;",$H$108:$H$204,"&lt;&gt;")+COUNTIFS($B$108:$B$204,$B107,$C$108:$C$204,"Variation",$G$108:$G$204,"&lt;&gt;",$H$108:$H$204,"&lt;&gt;"),"",(SUMIFS($K$108:$K$204,$B$108:$B$204,$B107,$C$108:$C$204,"Activity")+SUMIFS($K$108:$K$204,$B$108:$B$204,$B107,$C$108:$C$204,"Variation"))/(COUNTIFS($B$108:$B$204,$B107,$C$108:$C$204,"Activity")+COUNTIFS($B$108:$B$204,$B107,$C$108:$C$204,"Variation")))),IF($C107="Milestone",IF(COUNTIFS($D$108:$D$204,$A107,$C$108:$C$204,"Activity")+COUNTIFS($D$108:$D$204,$A107,$C$108:$C$204,"Variation")=0,"",IF(COUNTIFS($D$108:$D$204,$A107,$C$108:$C$204,"Activity")+COUNTIFS($D$108:$D$204,$A107,$C$108:$C$204,"Variation")&lt;&gt;COUNTIFS($D$108:$D$204,$A107,$C$108:$C$204,"Activity",$G$108:$G$204,"&lt;&gt;",$H$108:$H$204,"&lt;&gt;")+COUNTIFS($D$108:$D$204,$A107,$C$108:$C$204,"Variation",$G$108:$G$204,"&lt;&gt;",$H$108:$H$204,"&lt;&gt;"),"",(SUMIFS($K$108:$K$204,$D$108:$D$204,$A107,$C$108:$C$204,"Activity")+SUMIFS($K$108:$K$204,$D$108:$D$204,$A107,$C$108:$C$204,"Variation"))/(COUNTIFS($D$108:$D$204,$A107,$C$108:$C$204,"Activity")+COUNTIFS($D$108:$D$204,$A107,$C$108:$C$204,"Variation")))),IF(OR($C107="Activity",$C107="Variation"),IF(OR($G107="",$H107=""),"",IF($H107&lt;$G107,"",IF($H107=$G107,--(TODAY()&gt;=$H107),MAX(0,MIN(1,(TODAY()-$G107)/($H107-$G107)))))),""))))</x:f>
      </x:c>
      <x:c r="L107" s="7" t="str">
        <x:f t="shared" si="3">IF($B107="","",IF($C107="Initiative",IF(COUNTIFS($B$5:$B$204,$B107,$C$5:$C$204,"Activity")+COUNTIFS($B$5:$B$204,$B107,$C$5:$C$204,"Variation")=0,"",IF(COUNTIFS($B$5:$B$204,$B107,$C$5:$C$204,"Activity")+COUNTIFS($B$5:$B$204,$B107,$C$5:$C$204,"Variation")&lt;&gt;COUNTIFS($B$5:$B$204,$B107,$C$5:$C$204,"Activity",$J$5:$J$204,"&lt;&gt;",$J$5:$J$204,"&gt;=0",$J$5:$J$204,"&lt;=1")+COUNTIFS($B$5:$B$204,$B107,$C$5:$C$204,"Variation",$J$5:$J$204,"&lt;&gt;",$J$5:$J$204,"&gt;=0",$J$5:$J$204,"&lt;=1"),"",(SUMIFS($J$5:$J$204,$B$5:$B$204,$B107,$C$5:$C$204,"Activity")+SUMIFS($J$5:$J$204,$B$5:$B$204,$B107,$C$5:$C$204,"Variation"))/(COUNTIFS($B$5:$B$204,$B107,$C$5:$C$204,"Activity")+COUNTIFS($B$5:$B$204,$B107,$C$5:$C$204,"Variation")))),IF($C107="Milestone",IF(COUNTIFS($D$5:$D$204,$A107,$C$5:$C$204,"Activity")+COUNTIFS($D$5:$D$204,$A107,$C$5:$C$204,"Variation")=0,"",IF(COUNTIFS($D$5:$D$204,$A107,$C$5:$C$204,"Activity")+COUNTIFS($D$5:$D$204,$A107,$C$5:$C$204,"Variation")&lt;&gt;COUNTIFS($D$5:$D$204,$A107,$C$5:$C$204,"Activity",$J$5:$J$204,"&lt;&gt;",$J$5:$J$204,"&gt;=0",$J$5:$J$204,"&lt;=1")+COUNTIFS($D$5:$D$204,$A107,$C$5:$C$204,"Variation",$J$5:$J$204,"&lt;&gt;",$J$5:$J$204,"&gt;=0",$J$5:$J$204,"&lt;=1"),"",(SUMIFS($J$5:$J$204,$D$5:$D$204,$A107,$C$5:$C$204,"Activity")+SUMIFS($J$5:$J$204,$D$5:$D$204,$A107,$C$5:$C$204,"Variation"))/(COUNTIFS($D$5:$D$204,$A107,$C$5:$C$204,"Activity")+COUNTIFS($D$5:$D$204,$A107,$C$5:$C$204,"Variation")))),IF(OR($C107="Activity",$C107="Variation"),IF(AND(ISNUMBER($J107),$J107&gt;=0,$J107&lt;=1),$J107,""),""))))</x:f>
      </x:c>
      <x:c r="M107" s="7" t="str">
        <x:f t="shared" si="4">IF(OR($K107="",$L107=""),"",$L107-$K107)</x:f>
      </x:c>
      <x:c r="N107" s="6" t="str">
        <x:f>IF(OR($B107="",$I107="",$L107=""),"",IF(AND($L107&lt;1,$I107&lt;TODAY()),"Late",IF(AND($H107&lt;&gt;"",$I107&gt;$H107),"Forecast Slip","On Plan")))</x:f>
      </x:c>
      <x:c r="O107" s="19"/>
      <x:c r="P107" s="6" t="str">
        <x:f t="shared" si="5">IF($B107="","",IF($A107="","Enter item ID",IF(COUNTIF($A$5:$A$204,$A107)&gt;1,"Duplicate item ID",IF($C107="Initiative",IF($D107&lt;&gt;"","Parent must be blank",IF(COUNTIFS($B$5:$B$204,$B107,$C$5:$C$204,"Initiative")&lt;&gt;1,"One Initiative row required",IF(COUNTIFS($D$5:$D$204,$A107,$C$5:$C$204,"Milestone")=0,"Add milestone","OK"))),IF($C107="Milestone",IF(COUNTIFS($A$5:$A$204,$D107,$B$5:$B$204,$B107,$C$5:$C$204,"Initiative")&lt;&gt;1,"Parent must be Initiative",IF(COUNTIFS($D$5:$D$204,$A107,$C$5:$C$204,"Activity")+COUNTIFS($D$5:$D$204,$A107,$C$5:$C$204,"Variation")=0,"Add activity or variation","OK")),IF(OR($C107="Activity",$C107="Variation"),IF(COUNTIFS($A$5:$A$204,$D107,$B$5:$B$204,$B107,$C$5:$C$204,"Milestone")&lt;&gt;1,"Parent must be Milestone",IF(OR($G107="",$H107=""),"Enter baseline dates",IF($H107&lt;$G107,"Baseline finish before start",IF($I107="","Enter forecast finish",IF(COUNT($J107)=0,"Enter actual %",IF(OR(NOT(ISNUMBER($J107)),$J107&lt;0,$J107&gt;1),"Actual % must be 0–100%","OK")))))),"Select level"))))))</x:f>
      </x:c>
    </x:row>
    <x:row r="108">
      <x:c r="A108" s="66" t="str" cm="1">
        <x:f t="array" ref="A108">IF(OR(B108="",C108=""),"",IF(C108="Initiative",COUNTIF($C$5:C108,"Initiative"),IF(C108="Milestone",IF(D108="","",D108&amp;"."&amp;COUNTIFS($D$5:D108,D108,$C$5:C108,"Milestone")),IF(OR(C108="Activity",C108="Variation"),IF(D108="","",D108&amp;"."&amp;(COUNTIFS($D$5:D108,D108,$C$5:C108,"Activity")+COUNTIFS($D$5:D108,D108,$C$5:C108,"Variation"))),""))))</x:f>
      </x:c>
      <x:c r="B108" s="19"/>
      <x:c r="C108" s="19"/>
      <x:c r="D108" s="20"/>
      <x:c r="E108" s="21"/>
      <x:c r="F108" s="21"/>
      <x:c r="G108" s="102"/>
      <x:c r="H108" s="102"/>
      <x:c r="I108" s="102"/>
      <x:c r="J108" s="100"/>
      <x:c r="K108" s="7" t="str">
        <x:f>IF($B108="","",IF($C108="Initiative",IF(COUNTIFS($B$109:$B$204,$B108,$C$109:$C$204,"Activity")+COUNTIFS($B$109:$B$204,$B108,$C$109:$C$204,"Variation")=0,"",IF(COUNTIFS($B$109:$B$204,$B108,$C$109:$C$204,"Activity")+COUNTIFS($B$109:$B$204,$B108,$C$109:$C$204,"Variation")&lt;&gt;COUNTIFS($B$109:$B$204,$B108,$C$109:$C$204,"Activity",$G$109:$G$204,"&lt;&gt;",$H$109:$H$204,"&lt;&gt;")+COUNTIFS($B$109:$B$204,$B108,$C$109:$C$204,"Variation",$G$109:$G$204,"&lt;&gt;",$H$109:$H$204,"&lt;&gt;"),"",(SUMIFS($K$109:$K$204,$B$109:$B$204,$B108,$C$109:$C$204,"Activity")+SUMIFS($K$109:$K$204,$B$109:$B$204,$B108,$C$109:$C$204,"Variation"))/(COUNTIFS($B$109:$B$204,$B108,$C$109:$C$204,"Activity")+COUNTIFS($B$109:$B$204,$B108,$C$109:$C$204,"Variation")))),IF($C108="Milestone",IF(COUNTIFS($D$109:$D$204,$A108,$C$109:$C$204,"Activity")+COUNTIFS($D$109:$D$204,$A108,$C$109:$C$204,"Variation")=0,"",IF(COUNTIFS($D$109:$D$204,$A108,$C$109:$C$204,"Activity")+COUNTIFS($D$109:$D$204,$A108,$C$109:$C$204,"Variation")&lt;&gt;COUNTIFS($D$109:$D$204,$A108,$C$109:$C$204,"Activity",$G$109:$G$204,"&lt;&gt;",$H$109:$H$204,"&lt;&gt;")+COUNTIFS($D$109:$D$204,$A108,$C$109:$C$204,"Variation",$G$109:$G$204,"&lt;&gt;",$H$109:$H$204,"&lt;&gt;"),"",(SUMIFS($K$109:$K$204,$D$109:$D$204,$A108,$C$109:$C$204,"Activity")+SUMIFS($K$109:$K$204,$D$109:$D$204,$A108,$C$109:$C$204,"Variation"))/(COUNTIFS($D$109:$D$204,$A108,$C$109:$C$204,"Activity")+COUNTIFS($D$109:$D$204,$A108,$C$109:$C$204,"Variation")))),IF(OR($C108="Activity",$C108="Variation"),IF(OR($G108="",$H108=""),"",IF($H108&lt;$G108,"",IF($H108=$G108,--(TODAY()&gt;=$H108),MAX(0,MIN(1,(TODAY()-$G108)/($H108-$G108)))))),""))))</x:f>
      </x:c>
      <x:c r="L108" s="7" t="str">
        <x:f t="shared" si="3">IF($B108="","",IF($C108="Initiative",IF(COUNTIFS($B$5:$B$204,$B108,$C$5:$C$204,"Activity")+COUNTIFS($B$5:$B$204,$B108,$C$5:$C$204,"Variation")=0,"",IF(COUNTIFS($B$5:$B$204,$B108,$C$5:$C$204,"Activity")+COUNTIFS($B$5:$B$204,$B108,$C$5:$C$204,"Variation")&lt;&gt;COUNTIFS($B$5:$B$204,$B108,$C$5:$C$204,"Activity",$J$5:$J$204,"&lt;&gt;",$J$5:$J$204,"&gt;=0",$J$5:$J$204,"&lt;=1")+COUNTIFS($B$5:$B$204,$B108,$C$5:$C$204,"Variation",$J$5:$J$204,"&lt;&gt;",$J$5:$J$204,"&gt;=0",$J$5:$J$204,"&lt;=1"),"",(SUMIFS($J$5:$J$204,$B$5:$B$204,$B108,$C$5:$C$204,"Activity")+SUMIFS($J$5:$J$204,$B$5:$B$204,$B108,$C$5:$C$204,"Variation"))/(COUNTIFS($B$5:$B$204,$B108,$C$5:$C$204,"Activity")+COUNTIFS($B$5:$B$204,$B108,$C$5:$C$204,"Variation")))),IF($C108="Milestone",IF(COUNTIFS($D$5:$D$204,$A108,$C$5:$C$204,"Activity")+COUNTIFS($D$5:$D$204,$A108,$C$5:$C$204,"Variation")=0,"",IF(COUNTIFS($D$5:$D$204,$A108,$C$5:$C$204,"Activity")+COUNTIFS($D$5:$D$204,$A108,$C$5:$C$204,"Variation")&lt;&gt;COUNTIFS($D$5:$D$204,$A108,$C$5:$C$204,"Activity",$J$5:$J$204,"&lt;&gt;",$J$5:$J$204,"&gt;=0",$J$5:$J$204,"&lt;=1")+COUNTIFS($D$5:$D$204,$A108,$C$5:$C$204,"Variation",$J$5:$J$204,"&lt;&gt;",$J$5:$J$204,"&gt;=0",$J$5:$J$204,"&lt;=1"),"",(SUMIFS($J$5:$J$204,$D$5:$D$204,$A108,$C$5:$C$204,"Activity")+SUMIFS($J$5:$J$204,$D$5:$D$204,$A108,$C$5:$C$204,"Variation"))/(COUNTIFS($D$5:$D$204,$A108,$C$5:$C$204,"Activity")+COUNTIFS($D$5:$D$204,$A108,$C$5:$C$204,"Variation")))),IF(OR($C108="Activity",$C108="Variation"),IF(AND(ISNUMBER($J108),$J108&gt;=0,$J108&lt;=1),$J108,""),""))))</x:f>
      </x:c>
      <x:c r="M108" s="7" t="str">
        <x:f t="shared" si="4">IF(OR($K108="",$L108=""),"",$L108-$K108)</x:f>
      </x:c>
      <x:c r="N108" s="6" t="str">
        <x:f>IF(OR($B108="",$I108="",$L108=""),"",IF(AND($L108&lt;1,$I108&lt;TODAY()),"Late",IF(AND($H108&lt;&gt;"",$I108&gt;$H108),"Forecast Slip","On Plan")))</x:f>
      </x:c>
      <x:c r="O108" s="19"/>
      <x:c r="P108" s="6" t="str">
        <x:f t="shared" si="5">IF($B108="","",IF($A108="","Enter item ID",IF(COUNTIF($A$5:$A$204,$A108)&gt;1,"Duplicate item ID",IF($C108="Initiative",IF($D108&lt;&gt;"","Parent must be blank",IF(COUNTIFS($B$5:$B$204,$B108,$C$5:$C$204,"Initiative")&lt;&gt;1,"One Initiative row required",IF(COUNTIFS($D$5:$D$204,$A108,$C$5:$C$204,"Milestone")=0,"Add milestone","OK"))),IF($C108="Milestone",IF(COUNTIFS($A$5:$A$204,$D108,$B$5:$B$204,$B108,$C$5:$C$204,"Initiative")&lt;&gt;1,"Parent must be Initiative",IF(COUNTIFS($D$5:$D$204,$A108,$C$5:$C$204,"Activity")+COUNTIFS($D$5:$D$204,$A108,$C$5:$C$204,"Variation")=0,"Add activity or variation","OK")),IF(OR($C108="Activity",$C108="Variation"),IF(COUNTIFS($A$5:$A$204,$D108,$B$5:$B$204,$B108,$C$5:$C$204,"Milestone")&lt;&gt;1,"Parent must be Milestone",IF(OR($G108="",$H108=""),"Enter baseline dates",IF($H108&lt;$G108,"Baseline finish before start",IF($I108="","Enter forecast finish",IF(COUNT($J108)=0,"Enter actual %",IF(OR(NOT(ISNUMBER($J108)),$J108&lt;0,$J108&gt;1),"Actual % must be 0–100%","OK")))))),"Select level"))))))</x:f>
      </x:c>
    </x:row>
    <x:row r="109">
      <x:c r="A109" s="66" t="str" cm="1">
        <x:f t="array" ref="A109">IF(OR(B109="",C109=""),"",IF(C109="Initiative",COUNTIF($C$5:C109,"Initiative"),IF(C109="Milestone",IF(D109="","",D109&amp;"."&amp;COUNTIFS($D$5:D109,D109,$C$5:C109,"Milestone")),IF(OR(C109="Activity",C109="Variation"),IF(D109="","",D109&amp;"."&amp;(COUNTIFS($D$5:D109,D109,$C$5:C109,"Activity")+COUNTIFS($D$5:D109,D109,$C$5:C109,"Variation"))),""))))</x:f>
      </x:c>
      <x:c r="B109" s="19"/>
      <x:c r="C109" s="19"/>
      <x:c r="D109" s="20"/>
      <x:c r="E109" s="21"/>
      <x:c r="F109" s="21"/>
      <x:c r="G109" s="102"/>
      <x:c r="H109" s="102"/>
      <x:c r="I109" s="102"/>
      <x:c r="J109" s="100"/>
      <x:c r="K109" s="7" t="str">
        <x:f>IF($B109="","",IF($C109="Initiative",IF(COUNTIFS($B$110:$B$204,$B109,$C$110:$C$204,"Activity")+COUNTIFS($B$110:$B$204,$B109,$C$110:$C$204,"Variation")=0,"",IF(COUNTIFS($B$110:$B$204,$B109,$C$110:$C$204,"Activity")+COUNTIFS($B$110:$B$204,$B109,$C$110:$C$204,"Variation")&lt;&gt;COUNTIFS($B$110:$B$204,$B109,$C$110:$C$204,"Activity",$G$110:$G$204,"&lt;&gt;",$H$110:$H$204,"&lt;&gt;")+COUNTIFS($B$110:$B$204,$B109,$C$110:$C$204,"Variation",$G$110:$G$204,"&lt;&gt;",$H$110:$H$204,"&lt;&gt;"),"",(SUMIFS($K$110:$K$204,$B$110:$B$204,$B109,$C$110:$C$204,"Activity")+SUMIFS($K$110:$K$204,$B$110:$B$204,$B109,$C$110:$C$204,"Variation"))/(COUNTIFS($B$110:$B$204,$B109,$C$110:$C$204,"Activity")+COUNTIFS($B$110:$B$204,$B109,$C$110:$C$204,"Variation")))),IF($C109="Milestone",IF(COUNTIFS($D$110:$D$204,$A109,$C$110:$C$204,"Activity")+COUNTIFS($D$110:$D$204,$A109,$C$110:$C$204,"Variation")=0,"",IF(COUNTIFS($D$110:$D$204,$A109,$C$110:$C$204,"Activity")+COUNTIFS($D$110:$D$204,$A109,$C$110:$C$204,"Variation")&lt;&gt;COUNTIFS($D$110:$D$204,$A109,$C$110:$C$204,"Activity",$G$110:$G$204,"&lt;&gt;",$H$110:$H$204,"&lt;&gt;")+COUNTIFS($D$110:$D$204,$A109,$C$110:$C$204,"Variation",$G$110:$G$204,"&lt;&gt;",$H$110:$H$204,"&lt;&gt;"),"",(SUMIFS($K$110:$K$204,$D$110:$D$204,$A109,$C$110:$C$204,"Activity")+SUMIFS($K$110:$K$204,$D$110:$D$204,$A109,$C$110:$C$204,"Variation"))/(COUNTIFS($D$110:$D$204,$A109,$C$110:$C$204,"Activity")+COUNTIFS($D$110:$D$204,$A109,$C$110:$C$204,"Variation")))),IF(OR($C109="Activity",$C109="Variation"),IF(OR($G109="",$H109=""),"",IF($H109&lt;$G109,"",IF($H109=$G109,--(TODAY()&gt;=$H109),MAX(0,MIN(1,(TODAY()-$G109)/($H109-$G109)))))),""))))</x:f>
      </x:c>
      <x:c r="L109" s="7" t="str">
        <x:f t="shared" si="3">IF($B109="","",IF($C109="Initiative",IF(COUNTIFS($B$5:$B$204,$B109,$C$5:$C$204,"Activity")+COUNTIFS($B$5:$B$204,$B109,$C$5:$C$204,"Variation")=0,"",IF(COUNTIFS($B$5:$B$204,$B109,$C$5:$C$204,"Activity")+COUNTIFS($B$5:$B$204,$B109,$C$5:$C$204,"Variation")&lt;&gt;COUNTIFS($B$5:$B$204,$B109,$C$5:$C$204,"Activity",$J$5:$J$204,"&lt;&gt;",$J$5:$J$204,"&gt;=0",$J$5:$J$204,"&lt;=1")+COUNTIFS($B$5:$B$204,$B109,$C$5:$C$204,"Variation",$J$5:$J$204,"&lt;&gt;",$J$5:$J$204,"&gt;=0",$J$5:$J$204,"&lt;=1"),"",(SUMIFS($J$5:$J$204,$B$5:$B$204,$B109,$C$5:$C$204,"Activity")+SUMIFS($J$5:$J$204,$B$5:$B$204,$B109,$C$5:$C$204,"Variation"))/(COUNTIFS($B$5:$B$204,$B109,$C$5:$C$204,"Activity")+COUNTIFS($B$5:$B$204,$B109,$C$5:$C$204,"Variation")))),IF($C109="Milestone",IF(COUNTIFS($D$5:$D$204,$A109,$C$5:$C$204,"Activity")+COUNTIFS($D$5:$D$204,$A109,$C$5:$C$204,"Variation")=0,"",IF(COUNTIFS($D$5:$D$204,$A109,$C$5:$C$204,"Activity")+COUNTIFS($D$5:$D$204,$A109,$C$5:$C$204,"Variation")&lt;&gt;COUNTIFS($D$5:$D$204,$A109,$C$5:$C$204,"Activity",$J$5:$J$204,"&lt;&gt;",$J$5:$J$204,"&gt;=0",$J$5:$J$204,"&lt;=1")+COUNTIFS($D$5:$D$204,$A109,$C$5:$C$204,"Variation",$J$5:$J$204,"&lt;&gt;",$J$5:$J$204,"&gt;=0",$J$5:$J$204,"&lt;=1"),"",(SUMIFS($J$5:$J$204,$D$5:$D$204,$A109,$C$5:$C$204,"Activity")+SUMIFS($J$5:$J$204,$D$5:$D$204,$A109,$C$5:$C$204,"Variation"))/(COUNTIFS($D$5:$D$204,$A109,$C$5:$C$204,"Activity")+COUNTIFS($D$5:$D$204,$A109,$C$5:$C$204,"Variation")))),IF(OR($C109="Activity",$C109="Variation"),IF(AND(ISNUMBER($J109),$J109&gt;=0,$J109&lt;=1),$J109,""),""))))</x:f>
      </x:c>
      <x:c r="M109" s="7" t="str">
        <x:f t="shared" si="4">IF(OR($K109="",$L109=""),"",$L109-$K109)</x:f>
      </x:c>
      <x:c r="N109" s="6" t="str">
        <x:f>IF(OR($B109="",$I109="",$L109=""),"",IF(AND($L109&lt;1,$I109&lt;TODAY()),"Late",IF(AND($H109&lt;&gt;"",$I109&gt;$H109),"Forecast Slip","On Plan")))</x:f>
      </x:c>
      <x:c r="O109" s="19"/>
      <x:c r="P109" s="6" t="str">
        <x:f t="shared" si="5">IF($B109="","",IF($A109="","Enter item ID",IF(COUNTIF($A$5:$A$204,$A109)&gt;1,"Duplicate item ID",IF($C109="Initiative",IF($D109&lt;&gt;"","Parent must be blank",IF(COUNTIFS($B$5:$B$204,$B109,$C$5:$C$204,"Initiative")&lt;&gt;1,"One Initiative row required",IF(COUNTIFS($D$5:$D$204,$A109,$C$5:$C$204,"Milestone")=0,"Add milestone","OK"))),IF($C109="Milestone",IF(COUNTIFS($A$5:$A$204,$D109,$B$5:$B$204,$B109,$C$5:$C$204,"Initiative")&lt;&gt;1,"Parent must be Initiative",IF(COUNTIFS($D$5:$D$204,$A109,$C$5:$C$204,"Activity")+COUNTIFS($D$5:$D$204,$A109,$C$5:$C$204,"Variation")=0,"Add activity or variation","OK")),IF(OR($C109="Activity",$C109="Variation"),IF(COUNTIFS($A$5:$A$204,$D109,$B$5:$B$204,$B109,$C$5:$C$204,"Milestone")&lt;&gt;1,"Parent must be Milestone",IF(OR($G109="",$H109=""),"Enter baseline dates",IF($H109&lt;$G109,"Baseline finish before start",IF($I109="","Enter forecast finish",IF(COUNT($J109)=0,"Enter actual %",IF(OR(NOT(ISNUMBER($J109)),$J109&lt;0,$J109&gt;1),"Actual % must be 0–100%","OK")))))),"Select level"))))))</x:f>
      </x:c>
    </x:row>
    <x:row r="110">
      <x:c r="A110" s="66" t="str" cm="1">
        <x:f t="array" ref="A110">IF(OR(B110="",C110=""),"",IF(C110="Initiative",COUNTIF($C$5:C110,"Initiative"),IF(C110="Milestone",IF(D110="","",D110&amp;"."&amp;COUNTIFS($D$5:D110,D110,$C$5:C110,"Milestone")),IF(OR(C110="Activity",C110="Variation"),IF(D110="","",D110&amp;"."&amp;(COUNTIFS($D$5:D110,D110,$C$5:C110,"Activity")+COUNTIFS($D$5:D110,D110,$C$5:C110,"Variation"))),""))))</x:f>
      </x:c>
      <x:c r="B110" s="19"/>
      <x:c r="C110" s="19"/>
      <x:c r="D110" s="20"/>
      <x:c r="E110" s="21"/>
      <x:c r="F110" s="21"/>
      <x:c r="G110" s="102"/>
      <x:c r="H110" s="102"/>
      <x:c r="I110" s="102"/>
      <x:c r="J110" s="100"/>
      <x:c r="K110" s="7" t="str">
        <x:f>IF($B110="","",IF($C110="Initiative",IF(COUNTIFS($B$111:$B$204,$B110,$C$111:$C$204,"Activity")+COUNTIFS($B$111:$B$204,$B110,$C$111:$C$204,"Variation")=0,"",IF(COUNTIFS($B$111:$B$204,$B110,$C$111:$C$204,"Activity")+COUNTIFS($B$111:$B$204,$B110,$C$111:$C$204,"Variation")&lt;&gt;COUNTIFS($B$111:$B$204,$B110,$C$111:$C$204,"Activity",$G$111:$G$204,"&lt;&gt;",$H$111:$H$204,"&lt;&gt;")+COUNTIFS($B$111:$B$204,$B110,$C$111:$C$204,"Variation",$G$111:$G$204,"&lt;&gt;",$H$111:$H$204,"&lt;&gt;"),"",(SUMIFS($K$111:$K$204,$B$111:$B$204,$B110,$C$111:$C$204,"Activity")+SUMIFS($K$111:$K$204,$B$111:$B$204,$B110,$C$111:$C$204,"Variation"))/(COUNTIFS($B$111:$B$204,$B110,$C$111:$C$204,"Activity")+COUNTIFS($B$111:$B$204,$B110,$C$111:$C$204,"Variation")))),IF($C110="Milestone",IF(COUNTIFS($D$111:$D$204,$A110,$C$111:$C$204,"Activity")+COUNTIFS($D$111:$D$204,$A110,$C$111:$C$204,"Variation")=0,"",IF(COUNTIFS($D$111:$D$204,$A110,$C$111:$C$204,"Activity")+COUNTIFS($D$111:$D$204,$A110,$C$111:$C$204,"Variation")&lt;&gt;COUNTIFS($D$111:$D$204,$A110,$C$111:$C$204,"Activity",$G$111:$G$204,"&lt;&gt;",$H$111:$H$204,"&lt;&gt;")+COUNTIFS($D$111:$D$204,$A110,$C$111:$C$204,"Variation",$G$111:$G$204,"&lt;&gt;",$H$111:$H$204,"&lt;&gt;"),"",(SUMIFS($K$111:$K$204,$D$111:$D$204,$A110,$C$111:$C$204,"Activity")+SUMIFS($K$111:$K$204,$D$111:$D$204,$A110,$C$111:$C$204,"Variation"))/(COUNTIFS($D$111:$D$204,$A110,$C$111:$C$204,"Activity")+COUNTIFS($D$111:$D$204,$A110,$C$111:$C$204,"Variation")))),IF(OR($C110="Activity",$C110="Variation"),IF(OR($G110="",$H110=""),"",IF($H110&lt;$G110,"",IF($H110=$G110,--(TODAY()&gt;=$H110),MAX(0,MIN(1,(TODAY()-$G110)/($H110-$G110)))))),""))))</x:f>
      </x:c>
      <x:c r="L110" s="7" t="str">
        <x:f t="shared" si="3">IF($B110="","",IF($C110="Initiative",IF(COUNTIFS($B$5:$B$204,$B110,$C$5:$C$204,"Activity")+COUNTIFS($B$5:$B$204,$B110,$C$5:$C$204,"Variation")=0,"",IF(COUNTIFS($B$5:$B$204,$B110,$C$5:$C$204,"Activity")+COUNTIFS($B$5:$B$204,$B110,$C$5:$C$204,"Variation")&lt;&gt;COUNTIFS($B$5:$B$204,$B110,$C$5:$C$204,"Activity",$J$5:$J$204,"&lt;&gt;",$J$5:$J$204,"&gt;=0",$J$5:$J$204,"&lt;=1")+COUNTIFS($B$5:$B$204,$B110,$C$5:$C$204,"Variation",$J$5:$J$204,"&lt;&gt;",$J$5:$J$204,"&gt;=0",$J$5:$J$204,"&lt;=1"),"",(SUMIFS($J$5:$J$204,$B$5:$B$204,$B110,$C$5:$C$204,"Activity")+SUMIFS($J$5:$J$204,$B$5:$B$204,$B110,$C$5:$C$204,"Variation"))/(COUNTIFS($B$5:$B$204,$B110,$C$5:$C$204,"Activity")+COUNTIFS($B$5:$B$204,$B110,$C$5:$C$204,"Variation")))),IF($C110="Milestone",IF(COUNTIFS($D$5:$D$204,$A110,$C$5:$C$204,"Activity")+COUNTIFS($D$5:$D$204,$A110,$C$5:$C$204,"Variation")=0,"",IF(COUNTIFS($D$5:$D$204,$A110,$C$5:$C$204,"Activity")+COUNTIFS($D$5:$D$204,$A110,$C$5:$C$204,"Variation")&lt;&gt;COUNTIFS($D$5:$D$204,$A110,$C$5:$C$204,"Activity",$J$5:$J$204,"&lt;&gt;",$J$5:$J$204,"&gt;=0",$J$5:$J$204,"&lt;=1")+COUNTIFS($D$5:$D$204,$A110,$C$5:$C$204,"Variation",$J$5:$J$204,"&lt;&gt;",$J$5:$J$204,"&gt;=0",$J$5:$J$204,"&lt;=1"),"",(SUMIFS($J$5:$J$204,$D$5:$D$204,$A110,$C$5:$C$204,"Activity")+SUMIFS($J$5:$J$204,$D$5:$D$204,$A110,$C$5:$C$204,"Variation"))/(COUNTIFS($D$5:$D$204,$A110,$C$5:$C$204,"Activity")+COUNTIFS($D$5:$D$204,$A110,$C$5:$C$204,"Variation")))),IF(OR($C110="Activity",$C110="Variation"),IF(AND(ISNUMBER($J110),$J110&gt;=0,$J110&lt;=1),$J110,""),""))))</x:f>
      </x:c>
      <x:c r="M110" s="7" t="str">
        <x:f t="shared" si="4">IF(OR($K110="",$L110=""),"",$L110-$K110)</x:f>
      </x:c>
      <x:c r="N110" s="6" t="str">
        <x:f>IF(OR($B110="",$I110="",$L110=""),"",IF(AND($L110&lt;1,$I110&lt;TODAY()),"Late",IF(AND($H110&lt;&gt;"",$I110&gt;$H110),"Forecast Slip","On Plan")))</x:f>
      </x:c>
      <x:c r="O110" s="19"/>
      <x:c r="P110" s="6" t="str">
        <x:f t="shared" si="5">IF($B110="","",IF($A110="","Enter item ID",IF(COUNTIF($A$5:$A$204,$A110)&gt;1,"Duplicate item ID",IF($C110="Initiative",IF($D110&lt;&gt;"","Parent must be blank",IF(COUNTIFS($B$5:$B$204,$B110,$C$5:$C$204,"Initiative")&lt;&gt;1,"One Initiative row required",IF(COUNTIFS($D$5:$D$204,$A110,$C$5:$C$204,"Milestone")=0,"Add milestone","OK"))),IF($C110="Milestone",IF(COUNTIFS($A$5:$A$204,$D110,$B$5:$B$204,$B110,$C$5:$C$204,"Initiative")&lt;&gt;1,"Parent must be Initiative",IF(COUNTIFS($D$5:$D$204,$A110,$C$5:$C$204,"Activity")+COUNTIFS($D$5:$D$204,$A110,$C$5:$C$204,"Variation")=0,"Add activity or variation","OK")),IF(OR($C110="Activity",$C110="Variation"),IF(COUNTIFS($A$5:$A$204,$D110,$B$5:$B$204,$B110,$C$5:$C$204,"Milestone")&lt;&gt;1,"Parent must be Milestone",IF(OR($G110="",$H110=""),"Enter baseline dates",IF($H110&lt;$G110,"Baseline finish before start",IF($I110="","Enter forecast finish",IF(COUNT($J110)=0,"Enter actual %",IF(OR(NOT(ISNUMBER($J110)),$J110&lt;0,$J110&gt;1),"Actual % must be 0–100%","OK")))))),"Select level"))))))</x:f>
      </x:c>
    </x:row>
    <x:row r="111">
      <x:c r="A111" s="66" t="str" cm="1">
        <x:f t="array" ref="A111">IF(OR(B111="",C111=""),"",IF(C111="Initiative",COUNTIF($C$5:C111,"Initiative"),IF(C111="Milestone",IF(D111="","",D111&amp;"."&amp;COUNTIFS($D$5:D111,D111,$C$5:C111,"Milestone")),IF(OR(C111="Activity",C111="Variation"),IF(D111="","",D111&amp;"."&amp;(COUNTIFS($D$5:D111,D111,$C$5:C111,"Activity")+COUNTIFS($D$5:D111,D111,$C$5:C111,"Variation"))),""))))</x:f>
      </x:c>
      <x:c r="B111" s="19"/>
      <x:c r="C111" s="19"/>
      <x:c r="D111" s="20"/>
      <x:c r="E111" s="21"/>
      <x:c r="F111" s="21"/>
      <x:c r="G111" s="102"/>
      <x:c r="H111" s="102"/>
      <x:c r="I111" s="102"/>
      <x:c r="J111" s="100"/>
      <x:c r="K111" s="7" t="str">
        <x:f>IF($B111="","",IF($C111="Initiative",IF(COUNTIFS($B$112:$B$204,$B111,$C$112:$C$204,"Activity")+COUNTIFS($B$112:$B$204,$B111,$C$112:$C$204,"Variation")=0,"",IF(COUNTIFS($B$112:$B$204,$B111,$C$112:$C$204,"Activity")+COUNTIFS($B$112:$B$204,$B111,$C$112:$C$204,"Variation")&lt;&gt;COUNTIFS($B$112:$B$204,$B111,$C$112:$C$204,"Activity",$G$112:$G$204,"&lt;&gt;",$H$112:$H$204,"&lt;&gt;")+COUNTIFS($B$112:$B$204,$B111,$C$112:$C$204,"Variation",$G$112:$G$204,"&lt;&gt;",$H$112:$H$204,"&lt;&gt;"),"",(SUMIFS($K$112:$K$204,$B$112:$B$204,$B111,$C$112:$C$204,"Activity")+SUMIFS($K$112:$K$204,$B$112:$B$204,$B111,$C$112:$C$204,"Variation"))/(COUNTIFS($B$112:$B$204,$B111,$C$112:$C$204,"Activity")+COUNTIFS($B$112:$B$204,$B111,$C$112:$C$204,"Variation")))),IF($C111="Milestone",IF(COUNTIFS($D$112:$D$204,$A111,$C$112:$C$204,"Activity")+COUNTIFS($D$112:$D$204,$A111,$C$112:$C$204,"Variation")=0,"",IF(COUNTIFS($D$112:$D$204,$A111,$C$112:$C$204,"Activity")+COUNTIFS($D$112:$D$204,$A111,$C$112:$C$204,"Variation")&lt;&gt;COUNTIFS($D$112:$D$204,$A111,$C$112:$C$204,"Activity",$G$112:$G$204,"&lt;&gt;",$H$112:$H$204,"&lt;&gt;")+COUNTIFS($D$112:$D$204,$A111,$C$112:$C$204,"Variation",$G$112:$G$204,"&lt;&gt;",$H$112:$H$204,"&lt;&gt;"),"",(SUMIFS($K$112:$K$204,$D$112:$D$204,$A111,$C$112:$C$204,"Activity")+SUMIFS($K$112:$K$204,$D$112:$D$204,$A111,$C$112:$C$204,"Variation"))/(COUNTIFS($D$112:$D$204,$A111,$C$112:$C$204,"Activity")+COUNTIFS($D$112:$D$204,$A111,$C$112:$C$204,"Variation")))),IF(OR($C111="Activity",$C111="Variation"),IF(OR($G111="",$H111=""),"",IF($H111&lt;$G111,"",IF($H111=$G111,--(TODAY()&gt;=$H111),MAX(0,MIN(1,(TODAY()-$G111)/($H111-$G111)))))),""))))</x:f>
      </x:c>
      <x:c r="L111" s="7" t="str">
        <x:f t="shared" si="3">IF($B111="","",IF($C111="Initiative",IF(COUNTIFS($B$5:$B$204,$B111,$C$5:$C$204,"Activity")+COUNTIFS($B$5:$B$204,$B111,$C$5:$C$204,"Variation")=0,"",IF(COUNTIFS($B$5:$B$204,$B111,$C$5:$C$204,"Activity")+COUNTIFS($B$5:$B$204,$B111,$C$5:$C$204,"Variation")&lt;&gt;COUNTIFS($B$5:$B$204,$B111,$C$5:$C$204,"Activity",$J$5:$J$204,"&lt;&gt;",$J$5:$J$204,"&gt;=0",$J$5:$J$204,"&lt;=1")+COUNTIFS($B$5:$B$204,$B111,$C$5:$C$204,"Variation",$J$5:$J$204,"&lt;&gt;",$J$5:$J$204,"&gt;=0",$J$5:$J$204,"&lt;=1"),"",(SUMIFS($J$5:$J$204,$B$5:$B$204,$B111,$C$5:$C$204,"Activity")+SUMIFS($J$5:$J$204,$B$5:$B$204,$B111,$C$5:$C$204,"Variation"))/(COUNTIFS($B$5:$B$204,$B111,$C$5:$C$204,"Activity")+COUNTIFS($B$5:$B$204,$B111,$C$5:$C$204,"Variation")))),IF($C111="Milestone",IF(COUNTIFS($D$5:$D$204,$A111,$C$5:$C$204,"Activity")+COUNTIFS($D$5:$D$204,$A111,$C$5:$C$204,"Variation")=0,"",IF(COUNTIFS($D$5:$D$204,$A111,$C$5:$C$204,"Activity")+COUNTIFS($D$5:$D$204,$A111,$C$5:$C$204,"Variation")&lt;&gt;COUNTIFS($D$5:$D$204,$A111,$C$5:$C$204,"Activity",$J$5:$J$204,"&lt;&gt;",$J$5:$J$204,"&gt;=0",$J$5:$J$204,"&lt;=1")+COUNTIFS($D$5:$D$204,$A111,$C$5:$C$204,"Variation",$J$5:$J$204,"&lt;&gt;",$J$5:$J$204,"&gt;=0",$J$5:$J$204,"&lt;=1"),"",(SUMIFS($J$5:$J$204,$D$5:$D$204,$A111,$C$5:$C$204,"Activity")+SUMIFS($J$5:$J$204,$D$5:$D$204,$A111,$C$5:$C$204,"Variation"))/(COUNTIFS($D$5:$D$204,$A111,$C$5:$C$204,"Activity")+COUNTIFS($D$5:$D$204,$A111,$C$5:$C$204,"Variation")))),IF(OR($C111="Activity",$C111="Variation"),IF(AND(ISNUMBER($J111),$J111&gt;=0,$J111&lt;=1),$J111,""),""))))</x:f>
      </x:c>
      <x:c r="M111" s="7" t="str">
        <x:f t="shared" si="4">IF(OR($K111="",$L111=""),"",$L111-$K111)</x:f>
      </x:c>
      <x:c r="N111" s="6" t="str">
        <x:f>IF(OR($B111="",$I111="",$L111=""),"",IF(AND($L111&lt;1,$I111&lt;TODAY()),"Late",IF(AND($H111&lt;&gt;"",$I111&gt;$H111),"Forecast Slip","On Plan")))</x:f>
      </x:c>
      <x:c r="O111" s="19"/>
      <x:c r="P111" s="6" t="str">
        <x:f t="shared" si="5">IF($B111="","",IF($A111="","Enter item ID",IF(COUNTIF($A$5:$A$204,$A111)&gt;1,"Duplicate item ID",IF($C111="Initiative",IF($D111&lt;&gt;"","Parent must be blank",IF(COUNTIFS($B$5:$B$204,$B111,$C$5:$C$204,"Initiative")&lt;&gt;1,"One Initiative row required",IF(COUNTIFS($D$5:$D$204,$A111,$C$5:$C$204,"Milestone")=0,"Add milestone","OK"))),IF($C111="Milestone",IF(COUNTIFS($A$5:$A$204,$D111,$B$5:$B$204,$B111,$C$5:$C$204,"Initiative")&lt;&gt;1,"Parent must be Initiative",IF(COUNTIFS($D$5:$D$204,$A111,$C$5:$C$204,"Activity")+COUNTIFS($D$5:$D$204,$A111,$C$5:$C$204,"Variation")=0,"Add activity or variation","OK")),IF(OR($C111="Activity",$C111="Variation"),IF(COUNTIFS($A$5:$A$204,$D111,$B$5:$B$204,$B111,$C$5:$C$204,"Milestone")&lt;&gt;1,"Parent must be Milestone",IF(OR($G111="",$H111=""),"Enter baseline dates",IF($H111&lt;$G111,"Baseline finish before start",IF($I111="","Enter forecast finish",IF(COUNT($J111)=0,"Enter actual %",IF(OR(NOT(ISNUMBER($J111)),$J111&lt;0,$J111&gt;1),"Actual % must be 0–100%","OK")))))),"Select level"))))))</x:f>
      </x:c>
    </x:row>
    <x:row r="112">
      <x:c r="A112" s="66" t="str" cm="1">
        <x:f t="array" ref="A112">IF(OR(B112="",C112=""),"",IF(C112="Initiative",COUNTIF($C$5:C112,"Initiative"),IF(C112="Milestone",IF(D112="","",D112&amp;"."&amp;COUNTIFS($D$5:D112,D112,$C$5:C112,"Milestone")),IF(OR(C112="Activity",C112="Variation"),IF(D112="","",D112&amp;"."&amp;(COUNTIFS($D$5:D112,D112,$C$5:C112,"Activity")+COUNTIFS($D$5:D112,D112,$C$5:C112,"Variation"))),""))))</x:f>
      </x:c>
      <x:c r="B112" s="19"/>
      <x:c r="C112" s="19"/>
      <x:c r="D112" s="20"/>
      <x:c r="E112" s="21"/>
      <x:c r="F112" s="21"/>
      <x:c r="G112" s="102"/>
      <x:c r="H112" s="102"/>
      <x:c r="I112" s="102"/>
      <x:c r="J112" s="100"/>
      <x:c r="K112" s="7" t="str">
        <x:f>IF($B112="","",IF($C112="Initiative",IF(COUNTIFS($B$113:$B$204,$B112,$C$113:$C$204,"Activity")+COUNTIFS($B$113:$B$204,$B112,$C$113:$C$204,"Variation")=0,"",IF(COUNTIFS($B$113:$B$204,$B112,$C$113:$C$204,"Activity")+COUNTIFS($B$113:$B$204,$B112,$C$113:$C$204,"Variation")&lt;&gt;COUNTIFS($B$113:$B$204,$B112,$C$113:$C$204,"Activity",$G$113:$G$204,"&lt;&gt;",$H$113:$H$204,"&lt;&gt;")+COUNTIFS($B$113:$B$204,$B112,$C$113:$C$204,"Variation",$G$113:$G$204,"&lt;&gt;",$H$113:$H$204,"&lt;&gt;"),"",(SUMIFS($K$113:$K$204,$B$113:$B$204,$B112,$C$113:$C$204,"Activity")+SUMIFS($K$113:$K$204,$B$113:$B$204,$B112,$C$113:$C$204,"Variation"))/(COUNTIFS($B$113:$B$204,$B112,$C$113:$C$204,"Activity")+COUNTIFS($B$113:$B$204,$B112,$C$113:$C$204,"Variation")))),IF($C112="Milestone",IF(COUNTIFS($D$113:$D$204,$A112,$C$113:$C$204,"Activity")+COUNTIFS($D$113:$D$204,$A112,$C$113:$C$204,"Variation")=0,"",IF(COUNTIFS($D$113:$D$204,$A112,$C$113:$C$204,"Activity")+COUNTIFS($D$113:$D$204,$A112,$C$113:$C$204,"Variation")&lt;&gt;COUNTIFS($D$113:$D$204,$A112,$C$113:$C$204,"Activity",$G$113:$G$204,"&lt;&gt;",$H$113:$H$204,"&lt;&gt;")+COUNTIFS($D$113:$D$204,$A112,$C$113:$C$204,"Variation",$G$113:$G$204,"&lt;&gt;",$H$113:$H$204,"&lt;&gt;"),"",(SUMIFS($K$113:$K$204,$D$113:$D$204,$A112,$C$113:$C$204,"Activity")+SUMIFS($K$113:$K$204,$D$113:$D$204,$A112,$C$113:$C$204,"Variation"))/(COUNTIFS($D$113:$D$204,$A112,$C$113:$C$204,"Activity")+COUNTIFS($D$113:$D$204,$A112,$C$113:$C$204,"Variation")))),IF(OR($C112="Activity",$C112="Variation"),IF(OR($G112="",$H112=""),"",IF($H112&lt;$G112,"",IF($H112=$G112,--(TODAY()&gt;=$H112),MAX(0,MIN(1,(TODAY()-$G112)/($H112-$G112)))))),""))))</x:f>
      </x:c>
      <x:c r="L112" s="7" t="str">
        <x:f t="shared" si="3">IF($B112="","",IF($C112="Initiative",IF(COUNTIFS($B$5:$B$204,$B112,$C$5:$C$204,"Activity")+COUNTIFS($B$5:$B$204,$B112,$C$5:$C$204,"Variation")=0,"",IF(COUNTIFS($B$5:$B$204,$B112,$C$5:$C$204,"Activity")+COUNTIFS($B$5:$B$204,$B112,$C$5:$C$204,"Variation")&lt;&gt;COUNTIFS($B$5:$B$204,$B112,$C$5:$C$204,"Activity",$J$5:$J$204,"&lt;&gt;",$J$5:$J$204,"&gt;=0",$J$5:$J$204,"&lt;=1")+COUNTIFS($B$5:$B$204,$B112,$C$5:$C$204,"Variation",$J$5:$J$204,"&lt;&gt;",$J$5:$J$204,"&gt;=0",$J$5:$J$204,"&lt;=1"),"",(SUMIFS($J$5:$J$204,$B$5:$B$204,$B112,$C$5:$C$204,"Activity")+SUMIFS($J$5:$J$204,$B$5:$B$204,$B112,$C$5:$C$204,"Variation"))/(COUNTIFS($B$5:$B$204,$B112,$C$5:$C$204,"Activity")+COUNTIFS($B$5:$B$204,$B112,$C$5:$C$204,"Variation")))),IF($C112="Milestone",IF(COUNTIFS($D$5:$D$204,$A112,$C$5:$C$204,"Activity")+COUNTIFS($D$5:$D$204,$A112,$C$5:$C$204,"Variation")=0,"",IF(COUNTIFS($D$5:$D$204,$A112,$C$5:$C$204,"Activity")+COUNTIFS($D$5:$D$204,$A112,$C$5:$C$204,"Variation")&lt;&gt;COUNTIFS($D$5:$D$204,$A112,$C$5:$C$204,"Activity",$J$5:$J$204,"&lt;&gt;",$J$5:$J$204,"&gt;=0",$J$5:$J$204,"&lt;=1")+COUNTIFS($D$5:$D$204,$A112,$C$5:$C$204,"Variation",$J$5:$J$204,"&lt;&gt;",$J$5:$J$204,"&gt;=0",$J$5:$J$204,"&lt;=1"),"",(SUMIFS($J$5:$J$204,$D$5:$D$204,$A112,$C$5:$C$204,"Activity")+SUMIFS($J$5:$J$204,$D$5:$D$204,$A112,$C$5:$C$204,"Variation"))/(COUNTIFS($D$5:$D$204,$A112,$C$5:$C$204,"Activity")+COUNTIFS($D$5:$D$204,$A112,$C$5:$C$204,"Variation")))),IF(OR($C112="Activity",$C112="Variation"),IF(AND(ISNUMBER($J112),$J112&gt;=0,$J112&lt;=1),$J112,""),""))))</x:f>
      </x:c>
      <x:c r="M112" s="7" t="str">
        <x:f t="shared" si="4">IF(OR($K112="",$L112=""),"",$L112-$K112)</x:f>
      </x:c>
      <x:c r="N112" s="6" t="str">
        <x:f>IF(OR($B112="",$I112="",$L112=""),"",IF(AND($L112&lt;1,$I112&lt;TODAY()),"Late",IF(AND($H112&lt;&gt;"",$I112&gt;$H112),"Forecast Slip","On Plan")))</x:f>
      </x:c>
      <x:c r="O112" s="19"/>
      <x:c r="P112" s="6" t="str">
        <x:f t="shared" si="5">IF($B112="","",IF($A112="","Enter item ID",IF(COUNTIF($A$5:$A$204,$A112)&gt;1,"Duplicate item ID",IF($C112="Initiative",IF($D112&lt;&gt;"","Parent must be blank",IF(COUNTIFS($B$5:$B$204,$B112,$C$5:$C$204,"Initiative")&lt;&gt;1,"One Initiative row required",IF(COUNTIFS($D$5:$D$204,$A112,$C$5:$C$204,"Milestone")=0,"Add milestone","OK"))),IF($C112="Milestone",IF(COUNTIFS($A$5:$A$204,$D112,$B$5:$B$204,$B112,$C$5:$C$204,"Initiative")&lt;&gt;1,"Parent must be Initiative",IF(COUNTIFS($D$5:$D$204,$A112,$C$5:$C$204,"Activity")+COUNTIFS($D$5:$D$204,$A112,$C$5:$C$204,"Variation")=0,"Add activity or variation","OK")),IF(OR($C112="Activity",$C112="Variation"),IF(COUNTIFS($A$5:$A$204,$D112,$B$5:$B$204,$B112,$C$5:$C$204,"Milestone")&lt;&gt;1,"Parent must be Milestone",IF(OR($G112="",$H112=""),"Enter baseline dates",IF($H112&lt;$G112,"Baseline finish before start",IF($I112="","Enter forecast finish",IF(COUNT($J112)=0,"Enter actual %",IF(OR(NOT(ISNUMBER($J112)),$J112&lt;0,$J112&gt;1),"Actual % must be 0–100%","OK")))))),"Select level"))))))</x:f>
      </x:c>
    </x:row>
    <x:row r="113">
      <x:c r="A113" s="66" t="str" cm="1">
        <x:f t="array" ref="A113">IF(OR(B113="",C113=""),"",IF(C113="Initiative",COUNTIF($C$5:C113,"Initiative"),IF(C113="Milestone",IF(D113="","",D113&amp;"."&amp;COUNTIFS($D$5:D113,D113,$C$5:C113,"Milestone")),IF(OR(C113="Activity",C113="Variation"),IF(D113="","",D113&amp;"."&amp;(COUNTIFS($D$5:D113,D113,$C$5:C113,"Activity")+COUNTIFS($D$5:D113,D113,$C$5:C113,"Variation"))),""))))</x:f>
      </x:c>
      <x:c r="B113" s="19"/>
      <x:c r="C113" s="19"/>
      <x:c r="D113" s="20"/>
      <x:c r="E113" s="21"/>
      <x:c r="F113" s="21"/>
      <x:c r="G113" s="102"/>
      <x:c r="H113" s="102"/>
      <x:c r="I113" s="102"/>
      <x:c r="J113" s="100"/>
      <x:c r="K113" s="7" t="str">
        <x:f>IF($B113="","",IF($C113="Initiative",IF(COUNTIFS($B$114:$B$204,$B113,$C$114:$C$204,"Activity")+COUNTIFS($B$114:$B$204,$B113,$C$114:$C$204,"Variation")=0,"",IF(COUNTIFS($B$114:$B$204,$B113,$C$114:$C$204,"Activity")+COUNTIFS($B$114:$B$204,$B113,$C$114:$C$204,"Variation")&lt;&gt;COUNTIFS($B$114:$B$204,$B113,$C$114:$C$204,"Activity",$G$114:$G$204,"&lt;&gt;",$H$114:$H$204,"&lt;&gt;")+COUNTIFS($B$114:$B$204,$B113,$C$114:$C$204,"Variation",$G$114:$G$204,"&lt;&gt;",$H$114:$H$204,"&lt;&gt;"),"",(SUMIFS($K$114:$K$204,$B$114:$B$204,$B113,$C$114:$C$204,"Activity")+SUMIFS($K$114:$K$204,$B$114:$B$204,$B113,$C$114:$C$204,"Variation"))/(COUNTIFS($B$114:$B$204,$B113,$C$114:$C$204,"Activity")+COUNTIFS($B$114:$B$204,$B113,$C$114:$C$204,"Variation")))),IF($C113="Milestone",IF(COUNTIFS($D$114:$D$204,$A113,$C$114:$C$204,"Activity")+COUNTIFS($D$114:$D$204,$A113,$C$114:$C$204,"Variation")=0,"",IF(COUNTIFS($D$114:$D$204,$A113,$C$114:$C$204,"Activity")+COUNTIFS($D$114:$D$204,$A113,$C$114:$C$204,"Variation")&lt;&gt;COUNTIFS($D$114:$D$204,$A113,$C$114:$C$204,"Activity",$G$114:$G$204,"&lt;&gt;",$H$114:$H$204,"&lt;&gt;")+COUNTIFS($D$114:$D$204,$A113,$C$114:$C$204,"Variation",$G$114:$G$204,"&lt;&gt;",$H$114:$H$204,"&lt;&gt;"),"",(SUMIFS($K$114:$K$204,$D$114:$D$204,$A113,$C$114:$C$204,"Activity")+SUMIFS($K$114:$K$204,$D$114:$D$204,$A113,$C$114:$C$204,"Variation"))/(COUNTIFS($D$114:$D$204,$A113,$C$114:$C$204,"Activity")+COUNTIFS($D$114:$D$204,$A113,$C$114:$C$204,"Variation")))),IF(OR($C113="Activity",$C113="Variation"),IF(OR($G113="",$H113=""),"",IF($H113&lt;$G113,"",IF($H113=$G113,--(TODAY()&gt;=$H113),MAX(0,MIN(1,(TODAY()-$G113)/($H113-$G113)))))),""))))</x:f>
      </x:c>
      <x:c r="L113" s="7" t="str">
        <x:f t="shared" si="3">IF($B113="","",IF($C113="Initiative",IF(COUNTIFS($B$5:$B$204,$B113,$C$5:$C$204,"Activity")+COUNTIFS($B$5:$B$204,$B113,$C$5:$C$204,"Variation")=0,"",IF(COUNTIFS($B$5:$B$204,$B113,$C$5:$C$204,"Activity")+COUNTIFS($B$5:$B$204,$B113,$C$5:$C$204,"Variation")&lt;&gt;COUNTIFS($B$5:$B$204,$B113,$C$5:$C$204,"Activity",$J$5:$J$204,"&lt;&gt;",$J$5:$J$204,"&gt;=0",$J$5:$J$204,"&lt;=1")+COUNTIFS($B$5:$B$204,$B113,$C$5:$C$204,"Variation",$J$5:$J$204,"&lt;&gt;",$J$5:$J$204,"&gt;=0",$J$5:$J$204,"&lt;=1"),"",(SUMIFS($J$5:$J$204,$B$5:$B$204,$B113,$C$5:$C$204,"Activity")+SUMIFS($J$5:$J$204,$B$5:$B$204,$B113,$C$5:$C$204,"Variation"))/(COUNTIFS($B$5:$B$204,$B113,$C$5:$C$204,"Activity")+COUNTIFS($B$5:$B$204,$B113,$C$5:$C$204,"Variation")))),IF($C113="Milestone",IF(COUNTIFS($D$5:$D$204,$A113,$C$5:$C$204,"Activity")+COUNTIFS($D$5:$D$204,$A113,$C$5:$C$204,"Variation")=0,"",IF(COUNTIFS($D$5:$D$204,$A113,$C$5:$C$204,"Activity")+COUNTIFS($D$5:$D$204,$A113,$C$5:$C$204,"Variation")&lt;&gt;COUNTIFS($D$5:$D$204,$A113,$C$5:$C$204,"Activity",$J$5:$J$204,"&lt;&gt;",$J$5:$J$204,"&gt;=0",$J$5:$J$204,"&lt;=1")+COUNTIFS($D$5:$D$204,$A113,$C$5:$C$204,"Variation",$J$5:$J$204,"&lt;&gt;",$J$5:$J$204,"&gt;=0",$J$5:$J$204,"&lt;=1"),"",(SUMIFS($J$5:$J$204,$D$5:$D$204,$A113,$C$5:$C$204,"Activity")+SUMIFS($J$5:$J$204,$D$5:$D$204,$A113,$C$5:$C$204,"Variation"))/(COUNTIFS($D$5:$D$204,$A113,$C$5:$C$204,"Activity")+COUNTIFS($D$5:$D$204,$A113,$C$5:$C$204,"Variation")))),IF(OR($C113="Activity",$C113="Variation"),IF(AND(ISNUMBER($J113),$J113&gt;=0,$J113&lt;=1),$J113,""),""))))</x:f>
      </x:c>
      <x:c r="M113" s="7" t="str">
        <x:f t="shared" si="4">IF(OR($K113="",$L113=""),"",$L113-$K113)</x:f>
      </x:c>
      <x:c r="N113" s="6" t="str">
        <x:f>IF(OR($B113="",$I113="",$L113=""),"",IF(AND($L113&lt;1,$I113&lt;TODAY()),"Late",IF(AND($H113&lt;&gt;"",$I113&gt;$H113),"Forecast Slip","On Plan")))</x:f>
      </x:c>
      <x:c r="O113" s="19"/>
      <x:c r="P113" s="6" t="str">
        <x:f t="shared" si="5">IF($B113="","",IF($A113="","Enter item ID",IF(COUNTIF($A$5:$A$204,$A113)&gt;1,"Duplicate item ID",IF($C113="Initiative",IF($D113&lt;&gt;"","Parent must be blank",IF(COUNTIFS($B$5:$B$204,$B113,$C$5:$C$204,"Initiative")&lt;&gt;1,"One Initiative row required",IF(COUNTIFS($D$5:$D$204,$A113,$C$5:$C$204,"Milestone")=0,"Add milestone","OK"))),IF($C113="Milestone",IF(COUNTIFS($A$5:$A$204,$D113,$B$5:$B$204,$B113,$C$5:$C$204,"Initiative")&lt;&gt;1,"Parent must be Initiative",IF(COUNTIFS($D$5:$D$204,$A113,$C$5:$C$204,"Activity")+COUNTIFS($D$5:$D$204,$A113,$C$5:$C$204,"Variation")=0,"Add activity or variation","OK")),IF(OR($C113="Activity",$C113="Variation"),IF(COUNTIFS($A$5:$A$204,$D113,$B$5:$B$204,$B113,$C$5:$C$204,"Milestone")&lt;&gt;1,"Parent must be Milestone",IF(OR($G113="",$H113=""),"Enter baseline dates",IF($H113&lt;$G113,"Baseline finish before start",IF($I113="","Enter forecast finish",IF(COUNT($J113)=0,"Enter actual %",IF(OR(NOT(ISNUMBER($J113)),$J113&lt;0,$J113&gt;1),"Actual % must be 0–100%","OK")))))),"Select level"))))))</x:f>
      </x:c>
    </x:row>
    <x:row r="114">
      <x:c r="A114" s="66" t="str" cm="1">
        <x:f t="array" ref="A114">IF(OR(B114="",C114=""),"",IF(C114="Initiative",COUNTIF($C$5:C114,"Initiative"),IF(C114="Milestone",IF(D114="","",D114&amp;"."&amp;COUNTIFS($D$5:D114,D114,$C$5:C114,"Milestone")),IF(OR(C114="Activity",C114="Variation"),IF(D114="","",D114&amp;"."&amp;(COUNTIFS($D$5:D114,D114,$C$5:C114,"Activity")+COUNTIFS($D$5:D114,D114,$C$5:C114,"Variation"))),""))))</x:f>
      </x:c>
      <x:c r="B114" s="19"/>
      <x:c r="C114" s="19"/>
      <x:c r="D114" s="20"/>
      <x:c r="E114" s="21"/>
      <x:c r="F114" s="21"/>
      <x:c r="G114" s="102"/>
      <x:c r="H114" s="102"/>
      <x:c r="I114" s="102"/>
      <x:c r="J114" s="100"/>
      <x:c r="K114" s="7" t="str">
        <x:f>IF($B114="","",IF($C114="Initiative",IF(COUNTIFS($B$115:$B$204,$B114,$C$115:$C$204,"Activity")+COUNTIFS($B$115:$B$204,$B114,$C$115:$C$204,"Variation")=0,"",IF(COUNTIFS($B$115:$B$204,$B114,$C$115:$C$204,"Activity")+COUNTIFS($B$115:$B$204,$B114,$C$115:$C$204,"Variation")&lt;&gt;COUNTIFS($B$115:$B$204,$B114,$C$115:$C$204,"Activity",$G$115:$G$204,"&lt;&gt;",$H$115:$H$204,"&lt;&gt;")+COUNTIFS($B$115:$B$204,$B114,$C$115:$C$204,"Variation",$G$115:$G$204,"&lt;&gt;",$H$115:$H$204,"&lt;&gt;"),"",(SUMIFS($K$115:$K$204,$B$115:$B$204,$B114,$C$115:$C$204,"Activity")+SUMIFS($K$115:$K$204,$B$115:$B$204,$B114,$C$115:$C$204,"Variation"))/(COUNTIFS($B$115:$B$204,$B114,$C$115:$C$204,"Activity")+COUNTIFS($B$115:$B$204,$B114,$C$115:$C$204,"Variation")))),IF($C114="Milestone",IF(COUNTIFS($D$115:$D$204,$A114,$C$115:$C$204,"Activity")+COUNTIFS($D$115:$D$204,$A114,$C$115:$C$204,"Variation")=0,"",IF(COUNTIFS($D$115:$D$204,$A114,$C$115:$C$204,"Activity")+COUNTIFS($D$115:$D$204,$A114,$C$115:$C$204,"Variation")&lt;&gt;COUNTIFS($D$115:$D$204,$A114,$C$115:$C$204,"Activity",$G$115:$G$204,"&lt;&gt;",$H$115:$H$204,"&lt;&gt;")+COUNTIFS($D$115:$D$204,$A114,$C$115:$C$204,"Variation",$G$115:$G$204,"&lt;&gt;",$H$115:$H$204,"&lt;&gt;"),"",(SUMIFS($K$115:$K$204,$D$115:$D$204,$A114,$C$115:$C$204,"Activity")+SUMIFS($K$115:$K$204,$D$115:$D$204,$A114,$C$115:$C$204,"Variation"))/(COUNTIFS($D$115:$D$204,$A114,$C$115:$C$204,"Activity")+COUNTIFS($D$115:$D$204,$A114,$C$115:$C$204,"Variation")))),IF(OR($C114="Activity",$C114="Variation"),IF(OR($G114="",$H114=""),"",IF($H114&lt;$G114,"",IF($H114=$G114,--(TODAY()&gt;=$H114),MAX(0,MIN(1,(TODAY()-$G114)/($H114-$G114)))))),""))))</x:f>
      </x:c>
      <x:c r="L114" s="7" t="str">
        <x:f t="shared" si="3">IF($B114="","",IF($C114="Initiative",IF(COUNTIFS($B$5:$B$204,$B114,$C$5:$C$204,"Activity")+COUNTIFS($B$5:$B$204,$B114,$C$5:$C$204,"Variation")=0,"",IF(COUNTIFS($B$5:$B$204,$B114,$C$5:$C$204,"Activity")+COUNTIFS($B$5:$B$204,$B114,$C$5:$C$204,"Variation")&lt;&gt;COUNTIFS($B$5:$B$204,$B114,$C$5:$C$204,"Activity",$J$5:$J$204,"&lt;&gt;",$J$5:$J$204,"&gt;=0",$J$5:$J$204,"&lt;=1")+COUNTIFS($B$5:$B$204,$B114,$C$5:$C$204,"Variation",$J$5:$J$204,"&lt;&gt;",$J$5:$J$204,"&gt;=0",$J$5:$J$204,"&lt;=1"),"",(SUMIFS($J$5:$J$204,$B$5:$B$204,$B114,$C$5:$C$204,"Activity")+SUMIFS($J$5:$J$204,$B$5:$B$204,$B114,$C$5:$C$204,"Variation"))/(COUNTIFS($B$5:$B$204,$B114,$C$5:$C$204,"Activity")+COUNTIFS($B$5:$B$204,$B114,$C$5:$C$204,"Variation")))),IF($C114="Milestone",IF(COUNTIFS($D$5:$D$204,$A114,$C$5:$C$204,"Activity")+COUNTIFS($D$5:$D$204,$A114,$C$5:$C$204,"Variation")=0,"",IF(COUNTIFS($D$5:$D$204,$A114,$C$5:$C$204,"Activity")+COUNTIFS($D$5:$D$204,$A114,$C$5:$C$204,"Variation")&lt;&gt;COUNTIFS($D$5:$D$204,$A114,$C$5:$C$204,"Activity",$J$5:$J$204,"&lt;&gt;",$J$5:$J$204,"&gt;=0",$J$5:$J$204,"&lt;=1")+COUNTIFS($D$5:$D$204,$A114,$C$5:$C$204,"Variation",$J$5:$J$204,"&lt;&gt;",$J$5:$J$204,"&gt;=0",$J$5:$J$204,"&lt;=1"),"",(SUMIFS($J$5:$J$204,$D$5:$D$204,$A114,$C$5:$C$204,"Activity")+SUMIFS($J$5:$J$204,$D$5:$D$204,$A114,$C$5:$C$204,"Variation"))/(COUNTIFS($D$5:$D$204,$A114,$C$5:$C$204,"Activity")+COUNTIFS($D$5:$D$204,$A114,$C$5:$C$204,"Variation")))),IF(OR($C114="Activity",$C114="Variation"),IF(AND(ISNUMBER($J114),$J114&gt;=0,$J114&lt;=1),$J114,""),""))))</x:f>
      </x:c>
      <x:c r="M114" s="7" t="str">
        <x:f t="shared" si="4">IF(OR($K114="",$L114=""),"",$L114-$K114)</x:f>
      </x:c>
      <x:c r="N114" s="6" t="str">
        <x:f>IF(OR($B114="",$I114="",$L114=""),"",IF(AND($L114&lt;1,$I114&lt;TODAY()),"Late",IF(AND($H114&lt;&gt;"",$I114&gt;$H114),"Forecast Slip","On Plan")))</x:f>
      </x:c>
      <x:c r="O114" s="19"/>
      <x:c r="P114" s="6" t="str">
        <x:f t="shared" si="5">IF($B114="","",IF($A114="","Enter item ID",IF(COUNTIF($A$5:$A$204,$A114)&gt;1,"Duplicate item ID",IF($C114="Initiative",IF($D114&lt;&gt;"","Parent must be blank",IF(COUNTIFS($B$5:$B$204,$B114,$C$5:$C$204,"Initiative")&lt;&gt;1,"One Initiative row required",IF(COUNTIFS($D$5:$D$204,$A114,$C$5:$C$204,"Milestone")=0,"Add milestone","OK"))),IF($C114="Milestone",IF(COUNTIFS($A$5:$A$204,$D114,$B$5:$B$204,$B114,$C$5:$C$204,"Initiative")&lt;&gt;1,"Parent must be Initiative",IF(COUNTIFS($D$5:$D$204,$A114,$C$5:$C$204,"Activity")+COUNTIFS($D$5:$D$204,$A114,$C$5:$C$204,"Variation")=0,"Add activity or variation","OK")),IF(OR($C114="Activity",$C114="Variation"),IF(COUNTIFS($A$5:$A$204,$D114,$B$5:$B$204,$B114,$C$5:$C$204,"Milestone")&lt;&gt;1,"Parent must be Milestone",IF(OR($G114="",$H114=""),"Enter baseline dates",IF($H114&lt;$G114,"Baseline finish before start",IF($I114="","Enter forecast finish",IF(COUNT($J114)=0,"Enter actual %",IF(OR(NOT(ISNUMBER($J114)),$J114&lt;0,$J114&gt;1),"Actual % must be 0–100%","OK")))))),"Select level"))))))</x:f>
      </x:c>
    </x:row>
    <x:row r="115">
      <x:c r="A115" s="66" t="str" cm="1">
        <x:f t="array" ref="A115">IF(OR(B115="",C115=""),"",IF(C115="Initiative",COUNTIF($C$5:C115,"Initiative"),IF(C115="Milestone",IF(D115="","",D115&amp;"."&amp;COUNTIFS($D$5:D115,D115,$C$5:C115,"Milestone")),IF(OR(C115="Activity",C115="Variation"),IF(D115="","",D115&amp;"."&amp;(COUNTIFS($D$5:D115,D115,$C$5:C115,"Activity")+COUNTIFS($D$5:D115,D115,$C$5:C115,"Variation"))),""))))</x:f>
      </x:c>
      <x:c r="B115" s="19"/>
      <x:c r="C115" s="19"/>
      <x:c r="D115" s="20"/>
      <x:c r="E115" s="21"/>
      <x:c r="F115" s="21"/>
      <x:c r="G115" s="102"/>
      <x:c r="H115" s="102"/>
      <x:c r="I115" s="102"/>
      <x:c r="J115" s="100"/>
      <x:c r="K115" s="7" t="str">
        <x:f>IF($B115="","",IF($C115="Initiative",IF(COUNTIFS($B$116:$B$204,$B115,$C$116:$C$204,"Activity")+COUNTIFS($B$116:$B$204,$B115,$C$116:$C$204,"Variation")=0,"",IF(COUNTIFS($B$116:$B$204,$B115,$C$116:$C$204,"Activity")+COUNTIFS($B$116:$B$204,$B115,$C$116:$C$204,"Variation")&lt;&gt;COUNTIFS($B$116:$B$204,$B115,$C$116:$C$204,"Activity",$G$116:$G$204,"&lt;&gt;",$H$116:$H$204,"&lt;&gt;")+COUNTIFS($B$116:$B$204,$B115,$C$116:$C$204,"Variation",$G$116:$G$204,"&lt;&gt;",$H$116:$H$204,"&lt;&gt;"),"",(SUMIFS($K$116:$K$204,$B$116:$B$204,$B115,$C$116:$C$204,"Activity")+SUMIFS($K$116:$K$204,$B$116:$B$204,$B115,$C$116:$C$204,"Variation"))/(COUNTIFS($B$116:$B$204,$B115,$C$116:$C$204,"Activity")+COUNTIFS($B$116:$B$204,$B115,$C$116:$C$204,"Variation")))),IF($C115="Milestone",IF(COUNTIFS($D$116:$D$204,$A115,$C$116:$C$204,"Activity")+COUNTIFS($D$116:$D$204,$A115,$C$116:$C$204,"Variation")=0,"",IF(COUNTIFS($D$116:$D$204,$A115,$C$116:$C$204,"Activity")+COUNTIFS($D$116:$D$204,$A115,$C$116:$C$204,"Variation")&lt;&gt;COUNTIFS($D$116:$D$204,$A115,$C$116:$C$204,"Activity",$G$116:$G$204,"&lt;&gt;",$H$116:$H$204,"&lt;&gt;")+COUNTIFS($D$116:$D$204,$A115,$C$116:$C$204,"Variation",$G$116:$G$204,"&lt;&gt;",$H$116:$H$204,"&lt;&gt;"),"",(SUMIFS($K$116:$K$204,$D$116:$D$204,$A115,$C$116:$C$204,"Activity")+SUMIFS($K$116:$K$204,$D$116:$D$204,$A115,$C$116:$C$204,"Variation"))/(COUNTIFS($D$116:$D$204,$A115,$C$116:$C$204,"Activity")+COUNTIFS($D$116:$D$204,$A115,$C$116:$C$204,"Variation")))),IF(OR($C115="Activity",$C115="Variation"),IF(OR($G115="",$H115=""),"",IF($H115&lt;$G115,"",IF($H115=$G115,--(TODAY()&gt;=$H115),MAX(0,MIN(1,(TODAY()-$G115)/($H115-$G115)))))),""))))</x:f>
      </x:c>
      <x:c r="L115" s="7" t="str">
        <x:f t="shared" si="3">IF($B115="","",IF($C115="Initiative",IF(COUNTIFS($B$5:$B$204,$B115,$C$5:$C$204,"Activity")+COUNTIFS($B$5:$B$204,$B115,$C$5:$C$204,"Variation")=0,"",IF(COUNTIFS($B$5:$B$204,$B115,$C$5:$C$204,"Activity")+COUNTIFS($B$5:$B$204,$B115,$C$5:$C$204,"Variation")&lt;&gt;COUNTIFS($B$5:$B$204,$B115,$C$5:$C$204,"Activity",$J$5:$J$204,"&lt;&gt;",$J$5:$J$204,"&gt;=0",$J$5:$J$204,"&lt;=1")+COUNTIFS($B$5:$B$204,$B115,$C$5:$C$204,"Variation",$J$5:$J$204,"&lt;&gt;",$J$5:$J$204,"&gt;=0",$J$5:$J$204,"&lt;=1"),"",(SUMIFS($J$5:$J$204,$B$5:$B$204,$B115,$C$5:$C$204,"Activity")+SUMIFS($J$5:$J$204,$B$5:$B$204,$B115,$C$5:$C$204,"Variation"))/(COUNTIFS($B$5:$B$204,$B115,$C$5:$C$204,"Activity")+COUNTIFS($B$5:$B$204,$B115,$C$5:$C$204,"Variation")))),IF($C115="Milestone",IF(COUNTIFS($D$5:$D$204,$A115,$C$5:$C$204,"Activity")+COUNTIFS($D$5:$D$204,$A115,$C$5:$C$204,"Variation")=0,"",IF(COUNTIFS($D$5:$D$204,$A115,$C$5:$C$204,"Activity")+COUNTIFS($D$5:$D$204,$A115,$C$5:$C$204,"Variation")&lt;&gt;COUNTIFS($D$5:$D$204,$A115,$C$5:$C$204,"Activity",$J$5:$J$204,"&lt;&gt;",$J$5:$J$204,"&gt;=0",$J$5:$J$204,"&lt;=1")+COUNTIFS($D$5:$D$204,$A115,$C$5:$C$204,"Variation",$J$5:$J$204,"&lt;&gt;",$J$5:$J$204,"&gt;=0",$J$5:$J$204,"&lt;=1"),"",(SUMIFS($J$5:$J$204,$D$5:$D$204,$A115,$C$5:$C$204,"Activity")+SUMIFS($J$5:$J$204,$D$5:$D$204,$A115,$C$5:$C$204,"Variation"))/(COUNTIFS($D$5:$D$204,$A115,$C$5:$C$204,"Activity")+COUNTIFS($D$5:$D$204,$A115,$C$5:$C$204,"Variation")))),IF(OR($C115="Activity",$C115="Variation"),IF(AND(ISNUMBER($J115),$J115&gt;=0,$J115&lt;=1),$J115,""),""))))</x:f>
      </x:c>
      <x:c r="M115" s="7" t="str">
        <x:f t="shared" si="4">IF(OR($K115="",$L115=""),"",$L115-$K115)</x:f>
      </x:c>
      <x:c r="N115" s="6" t="str">
        <x:f>IF(OR($B115="",$I115="",$L115=""),"",IF(AND($L115&lt;1,$I115&lt;TODAY()),"Late",IF(AND($H115&lt;&gt;"",$I115&gt;$H115),"Forecast Slip","On Plan")))</x:f>
      </x:c>
      <x:c r="O115" s="19"/>
      <x:c r="P115" s="6" t="str">
        <x:f t="shared" si="5">IF($B115="","",IF($A115="","Enter item ID",IF(COUNTIF($A$5:$A$204,$A115)&gt;1,"Duplicate item ID",IF($C115="Initiative",IF($D115&lt;&gt;"","Parent must be blank",IF(COUNTIFS($B$5:$B$204,$B115,$C$5:$C$204,"Initiative")&lt;&gt;1,"One Initiative row required",IF(COUNTIFS($D$5:$D$204,$A115,$C$5:$C$204,"Milestone")=0,"Add milestone","OK"))),IF($C115="Milestone",IF(COUNTIFS($A$5:$A$204,$D115,$B$5:$B$204,$B115,$C$5:$C$204,"Initiative")&lt;&gt;1,"Parent must be Initiative",IF(COUNTIFS($D$5:$D$204,$A115,$C$5:$C$204,"Activity")+COUNTIFS($D$5:$D$204,$A115,$C$5:$C$204,"Variation")=0,"Add activity or variation","OK")),IF(OR($C115="Activity",$C115="Variation"),IF(COUNTIFS($A$5:$A$204,$D115,$B$5:$B$204,$B115,$C$5:$C$204,"Milestone")&lt;&gt;1,"Parent must be Milestone",IF(OR($G115="",$H115=""),"Enter baseline dates",IF($H115&lt;$G115,"Baseline finish before start",IF($I115="","Enter forecast finish",IF(COUNT($J115)=0,"Enter actual %",IF(OR(NOT(ISNUMBER($J115)),$J115&lt;0,$J115&gt;1),"Actual % must be 0–100%","OK")))))),"Select level"))))))</x:f>
      </x:c>
    </x:row>
    <x:row r="116">
      <x:c r="A116" s="66" t="str" cm="1">
        <x:f t="array" ref="A116">IF(OR(B116="",C116=""),"",IF(C116="Initiative",COUNTIF($C$5:C116,"Initiative"),IF(C116="Milestone",IF(D116="","",D116&amp;"."&amp;COUNTIFS($D$5:D116,D116,$C$5:C116,"Milestone")),IF(OR(C116="Activity",C116="Variation"),IF(D116="","",D116&amp;"."&amp;(COUNTIFS($D$5:D116,D116,$C$5:C116,"Activity")+COUNTIFS($D$5:D116,D116,$C$5:C116,"Variation"))),""))))</x:f>
      </x:c>
      <x:c r="B116" s="19"/>
      <x:c r="C116" s="19"/>
      <x:c r="D116" s="20"/>
      <x:c r="E116" s="21"/>
      <x:c r="F116" s="21"/>
      <x:c r="G116" s="102"/>
      <x:c r="H116" s="102"/>
      <x:c r="I116" s="102"/>
      <x:c r="J116" s="100"/>
      <x:c r="K116" s="7" t="str">
        <x:f>IF($B116="","",IF($C116="Initiative",IF(COUNTIFS($B$117:$B$204,$B116,$C$117:$C$204,"Activity")+COUNTIFS($B$117:$B$204,$B116,$C$117:$C$204,"Variation")=0,"",IF(COUNTIFS($B$117:$B$204,$B116,$C$117:$C$204,"Activity")+COUNTIFS($B$117:$B$204,$B116,$C$117:$C$204,"Variation")&lt;&gt;COUNTIFS($B$117:$B$204,$B116,$C$117:$C$204,"Activity",$G$117:$G$204,"&lt;&gt;",$H$117:$H$204,"&lt;&gt;")+COUNTIFS($B$117:$B$204,$B116,$C$117:$C$204,"Variation",$G$117:$G$204,"&lt;&gt;",$H$117:$H$204,"&lt;&gt;"),"",(SUMIFS($K$117:$K$204,$B$117:$B$204,$B116,$C$117:$C$204,"Activity")+SUMIFS($K$117:$K$204,$B$117:$B$204,$B116,$C$117:$C$204,"Variation"))/(COUNTIFS($B$117:$B$204,$B116,$C$117:$C$204,"Activity")+COUNTIFS($B$117:$B$204,$B116,$C$117:$C$204,"Variation")))),IF($C116="Milestone",IF(COUNTIFS($D$117:$D$204,$A116,$C$117:$C$204,"Activity")+COUNTIFS($D$117:$D$204,$A116,$C$117:$C$204,"Variation")=0,"",IF(COUNTIFS($D$117:$D$204,$A116,$C$117:$C$204,"Activity")+COUNTIFS($D$117:$D$204,$A116,$C$117:$C$204,"Variation")&lt;&gt;COUNTIFS($D$117:$D$204,$A116,$C$117:$C$204,"Activity",$G$117:$G$204,"&lt;&gt;",$H$117:$H$204,"&lt;&gt;")+COUNTIFS($D$117:$D$204,$A116,$C$117:$C$204,"Variation",$G$117:$G$204,"&lt;&gt;",$H$117:$H$204,"&lt;&gt;"),"",(SUMIFS($K$117:$K$204,$D$117:$D$204,$A116,$C$117:$C$204,"Activity")+SUMIFS($K$117:$K$204,$D$117:$D$204,$A116,$C$117:$C$204,"Variation"))/(COUNTIFS($D$117:$D$204,$A116,$C$117:$C$204,"Activity")+COUNTIFS($D$117:$D$204,$A116,$C$117:$C$204,"Variation")))),IF(OR($C116="Activity",$C116="Variation"),IF(OR($G116="",$H116=""),"",IF($H116&lt;$G116,"",IF($H116=$G116,--(TODAY()&gt;=$H116),MAX(0,MIN(1,(TODAY()-$G116)/($H116-$G116)))))),""))))</x:f>
      </x:c>
      <x:c r="L116" s="7" t="str">
        <x:f t="shared" si="3">IF($B116="","",IF($C116="Initiative",IF(COUNTIFS($B$5:$B$204,$B116,$C$5:$C$204,"Activity")+COUNTIFS($B$5:$B$204,$B116,$C$5:$C$204,"Variation")=0,"",IF(COUNTIFS($B$5:$B$204,$B116,$C$5:$C$204,"Activity")+COUNTIFS($B$5:$B$204,$B116,$C$5:$C$204,"Variation")&lt;&gt;COUNTIFS($B$5:$B$204,$B116,$C$5:$C$204,"Activity",$J$5:$J$204,"&lt;&gt;",$J$5:$J$204,"&gt;=0",$J$5:$J$204,"&lt;=1")+COUNTIFS($B$5:$B$204,$B116,$C$5:$C$204,"Variation",$J$5:$J$204,"&lt;&gt;",$J$5:$J$204,"&gt;=0",$J$5:$J$204,"&lt;=1"),"",(SUMIFS($J$5:$J$204,$B$5:$B$204,$B116,$C$5:$C$204,"Activity")+SUMIFS($J$5:$J$204,$B$5:$B$204,$B116,$C$5:$C$204,"Variation"))/(COUNTIFS($B$5:$B$204,$B116,$C$5:$C$204,"Activity")+COUNTIFS($B$5:$B$204,$B116,$C$5:$C$204,"Variation")))),IF($C116="Milestone",IF(COUNTIFS($D$5:$D$204,$A116,$C$5:$C$204,"Activity")+COUNTIFS($D$5:$D$204,$A116,$C$5:$C$204,"Variation")=0,"",IF(COUNTIFS($D$5:$D$204,$A116,$C$5:$C$204,"Activity")+COUNTIFS($D$5:$D$204,$A116,$C$5:$C$204,"Variation")&lt;&gt;COUNTIFS($D$5:$D$204,$A116,$C$5:$C$204,"Activity",$J$5:$J$204,"&lt;&gt;",$J$5:$J$204,"&gt;=0",$J$5:$J$204,"&lt;=1")+COUNTIFS($D$5:$D$204,$A116,$C$5:$C$204,"Variation",$J$5:$J$204,"&lt;&gt;",$J$5:$J$204,"&gt;=0",$J$5:$J$204,"&lt;=1"),"",(SUMIFS($J$5:$J$204,$D$5:$D$204,$A116,$C$5:$C$204,"Activity")+SUMIFS($J$5:$J$204,$D$5:$D$204,$A116,$C$5:$C$204,"Variation"))/(COUNTIFS($D$5:$D$204,$A116,$C$5:$C$204,"Activity")+COUNTIFS($D$5:$D$204,$A116,$C$5:$C$204,"Variation")))),IF(OR($C116="Activity",$C116="Variation"),IF(AND(ISNUMBER($J116),$J116&gt;=0,$J116&lt;=1),$J116,""),""))))</x:f>
      </x:c>
      <x:c r="M116" s="7" t="str">
        <x:f t="shared" si="4">IF(OR($K116="",$L116=""),"",$L116-$K116)</x:f>
      </x:c>
      <x:c r="N116" s="6" t="str">
        <x:f>IF(OR($B116="",$I116="",$L116=""),"",IF(AND($L116&lt;1,$I116&lt;TODAY()),"Late",IF(AND($H116&lt;&gt;"",$I116&gt;$H116),"Forecast Slip","On Plan")))</x:f>
      </x:c>
      <x:c r="O116" s="19"/>
      <x:c r="P116" s="6" t="str">
        <x:f t="shared" si="5">IF($B116="","",IF($A116="","Enter item ID",IF(COUNTIF($A$5:$A$204,$A116)&gt;1,"Duplicate item ID",IF($C116="Initiative",IF($D116&lt;&gt;"","Parent must be blank",IF(COUNTIFS($B$5:$B$204,$B116,$C$5:$C$204,"Initiative")&lt;&gt;1,"One Initiative row required",IF(COUNTIFS($D$5:$D$204,$A116,$C$5:$C$204,"Milestone")=0,"Add milestone","OK"))),IF($C116="Milestone",IF(COUNTIFS($A$5:$A$204,$D116,$B$5:$B$204,$B116,$C$5:$C$204,"Initiative")&lt;&gt;1,"Parent must be Initiative",IF(COUNTIFS($D$5:$D$204,$A116,$C$5:$C$204,"Activity")+COUNTIFS($D$5:$D$204,$A116,$C$5:$C$204,"Variation")=0,"Add activity or variation","OK")),IF(OR($C116="Activity",$C116="Variation"),IF(COUNTIFS($A$5:$A$204,$D116,$B$5:$B$204,$B116,$C$5:$C$204,"Milestone")&lt;&gt;1,"Parent must be Milestone",IF(OR($G116="",$H116=""),"Enter baseline dates",IF($H116&lt;$G116,"Baseline finish before start",IF($I116="","Enter forecast finish",IF(COUNT($J116)=0,"Enter actual %",IF(OR(NOT(ISNUMBER($J116)),$J116&lt;0,$J116&gt;1),"Actual % must be 0–100%","OK")))))),"Select level"))))))</x:f>
      </x:c>
    </x:row>
    <x:row r="117">
      <x:c r="A117" s="66" t="str" cm="1">
        <x:f t="array" ref="A117">IF(OR(B117="",C117=""),"",IF(C117="Initiative",COUNTIF($C$5:C117,"Initiative"),IF(C117="Milestone",IF(D117="","",D117&amp;"."&amp;COUNTIFS($D$5:D117,D117,$C$5:C117,"Milestone")),IF(OR(C117="Activity",C117="Variation"),IF(D117="","",D117&amp;"."&amp;(COUNTIFS($D$5:D117,D117,$C$5:C117,"Activity")+COUNTIFS($D$5:D117,D117,$C$5:C117,"Variation"))),""))))</x:f>
      </x:c>
      <x:c r="B117" s="19"/>
      <x:c r="C117" s="19"/>
      <x:c r="D117" s="20"/>
      <x:c r="E117" s="21"/>
      <x:c r="F117" s="21"/>
      <x:c r="G117" s="102"/>
      <x:c r="H117" s="102"/>
      <x:c r="I117" s="102"/>
      <x:c r="J117" s="100"/>
      <x:c r="K117" s="7" t="str">
        <x:f>IF($B117="","",IF($C117="Initiative",IF(COUNTIFS($B$118:$B$204,$B117,$C$118:$C$204,"Activity")+COUNTIFS($B$118:$B$204,$B117,$C$118:$C$204,"Variation")=0,"",IF(COUNTIFS($B$118:$B$204,$B117,$C$118:$C$204,"Activity")+COUNTIFS($B$118:$B$204,$B117,$C$118:$C$204,"Variation")&lt;&gt;COUNTIFS($B$118:$B$204,$B117,$C$118:$C$204,"Activity",$G$118:$G$204,"&lt;&gt;",$H$118:$H$204,"&lt;&gt;")+COUNTIFS($B$118:$B$204,$B117,$C$118:$C$204,"Variation",$G$118:$G$204,"&lt;&gt;",$H$118:$H$204,"&lt;&gt;"),"",(SUMIFS($K$118:$K$204,$B$118:$B$204,$B117,$C$118:$C$204,"Activity")+SUMIFS($K$118:$K$204,$B$118:$B$204,$B117,$C$118:$C$204,"Variation"))/(COUNTIFS($B$118:$B$204,$B117,$C$118:$C$204,"Activity")+COUNTIFS($B$118:$B$204,$B117,$C$118:$C$204,"Variation")))),IF($C117="Milestone",IF(COUNTIFS($D$118:$D$204,$A117,$C$118:$C$204,"Activity")+COUNTIFS($D$118:$D$204,$A117,$C$118:$C$204,"Variation")=0,"",IF(COUNTIFS($D$118:$D$204,$A117,$C$118:$C$204,"Activity")+COUNTIFS($D$118:$D$204,$A117,$C$118:$C$204,"Variation")&lt;&gt;COUNTIFS($D$118:$D$204,$A117,$C$118:$C$204,"Activity",$G$118:$G$204,"&lt;&gt;",$H$118:$H$204,"&lt;&gt;")+COUNTIFS($D$118:$D$204,$A117,$C$118:$C$204,"Variation",$G$118:$G$204,"&lt;&gt;",$H$118:$H$204,"&lt;&gt;"),"",(SUMIFS($K$118:$K$204,$D$118:$D$204,$A117,$C$118:$C$204,"Activity")+SUMIFS($K$118:$K$204,$D$118:$D$204,$A117,$C$118:$C$204,"Variation"))/(COUNTIFS($D$118:$D$204,$A117,$C$118:$C$204,"Activity")+COUNTIFS($D$118:$D$204,$A117,$C$118:$C$204,"Variation")))),IF(OR($C117="Activity",$C117="Variation"),IF(OR($G117="",$H117=""),"",IF($H117&lt;$G117,"",IF($H117=$G117,--(TODAY()&gt;=$H117),MAX(0,MIN(1,(TODAY()-$G117)/($H117-$G117)))))),""))))</x:f>
      </x:c>
      <x:c r="L117" s="7" t="str">
        <x:f t="shared" si="3">IF($B117="","",IF($C117="Initiative",IF(COUNTIFS($B$5:$B$204,$B117,$C$5:$C$204,"Activity")+COUNTIFS($B$5:$B$204,$B117,$C$5:$C$204,"Variation")=0,"",IF(COUNTIFS($B$5:$B$204,$B117,$C$5:$C$204,"Activity")+COUNTIFS($B$5:$B$204,$B117,$C$5:$C$204,"Variation")&lt;&gt;COUNTIFS($B$5:$B$204,$B117,$C$5:$C$204,"Activity",$J$5:$J$204,"&lt;&gt;",$J$5:$J$204,"&gt;=0",$J$5:$J$204,"&lt;=1")+COUNTIFS($B$5:$B$204,$B117,$C$5:$C$204,"Variation",$J$5:$J$204,"&lt;&gt;",$J$5:$J$204,"&gt;=0",$J$5:$J$204,"&lt;=1"),"",(SUMIFS($J$5:$J$204,$B$5:$B$204,$B117,$C$5:$C$204,"Activity")+SUMIFS($J$5:$J$204,$B$5:$B$204,$B117,$C$5:$C$204,"Variation"))/(COUNTIFS($B$5:$B$204,$B117,$C$5:$C$204,"Activity")+COUNTIFS($B$5:$B$204,$B117,$C$5:$C$204,"Variation")))),IF($C117="Milestone",IF(COUNTIFS($D$5:$D$204,$A117,$C$5:$C$204,"Activity")+COUNTIFS($D$5:$D$204,$A117,$C$5:$C$204,"Variation")=0,"",IF(COUNTIFS($D$5:$D$204,$A117,$C$5:$C$204,"Activity")+COUNTIFS($D$5:$D$204,$A117,$C$5:$C$204,"Variation")&lt;&gt;COUNTIFS($D$5:$D$204,$A117,$C$5:$C$204,"Activity",$J$5:$J$204,"&lt;&gt;",$J$5:$J$204,"&gt;=0",$J$5:$J$204,"&lt;=1")+COUNTIFS($D$5:$D$204,$A117,$C$5:$C$204,"Variation",$J$5:$J$204,"&lt;&gt;",$J$5:$J$204,"&gt;=0",$J$5:$J$204,"&lt;=1"),"",(SUMIFS($J$5:$J$204,$D$5:$D$204,$A117,$C$5:$C$204,"Activity")+SUMIFS($J$5:$J$204,$D$5:$D$204,$A117,$C$5:$C$204,"Variation"))/(COUNTIFS($D$5:$D$204,$A117,$C$5:$C$204,"Activity")+COUNTIFS($D$5:$D$204,$A117,$C$5:$C$204,"Variation")))),IF(OR($C117="Activity",$C117="Variation"),IF(AND(ISNUMBER($J117),$J117&gt;=0,$J117&lt;=1),$J117,""),""))))</x:f>
      </x:c>
      <x:c r="M117" s="7" t="str">
        <x:f t="shared" si="4">IF(OR($K117="",$L117=""),"",$L117-$K117)</x:f>
      </x:c>
      <x:c r="N117" s="6" t="str">
        <x:f>IF(OR($B117="",$I117="",$L117=""),"",IF(AND($L117&lt;1,$I117&lt;TODAY()),"Late",IF(AND($H117&lt;&gt;"",$I117&gt;$H117),"Forecast Slip","On Plan")))</x:f>
      </x:c>
      <x:c r="O117" s="19"/>
      <x:c r="P117" s="6" t="str">
        <x:f t="shared" si="5">IF($B117="","",IF($A117="","Enter item ID",IF(COUNTIF($A$5:$A$204,$A117)&gt;1,"Duplicate item ID",IF($C117="Initiative",IF($D117&lt;&gt;"","Parent must be blank",IF(COUNTIFS($B$5:$B$204,$B117,$C$5:$C$204,"Initiative")&lt;&gt;1,"One Initiative row required",IF(COUNTIFS($D$5:$D$204,$A117,$C$5:$C$204,"Milestone")=0,"Add milestone","OK"))),IF($C117="Milestone",IF(COUNTIFS($A$5:$A$204,$D117,$B$5:$B$204,$B117,$C$5:$C$204,"Initiative")&lt;&gt;1,"Parent must be Initiative",IF(COUNTIFS($D$5:$D$204,$A117,$C$5:$C$204,"Activity")+COUNTIFS($D$5:$D$204,$A117,$C$5:$C$204,"Variation")=0,"Add activity or variation","OK")),IF(OR($C117="Activity",$C117="Variation"),IF(COUNTIFS($A$5:$A$204,$D117,$B$5:$B$204,$B117,$C$5:$C$204,"Milestone")&lt;&gt;1,"Parent must be Milestone",IF(OR($G117="",$H117=""),"Enter baseline dates",IF($H117&lt;$G117,"Baseline finish before start",IF($I117="","Enter forecast finish",IF(COUNT($J117)=0,"Enter actual %",IF(OR(NOT(ISNUMBER($J117)),$J117&lt;0,$J117&gt;1),"Actual % must be 0–100%","OK")))))),"Select level"))))))</x:f>
      </x:c>
    </x:row>
    <x:row r="118">
      <x:c r="A118" s="66" t="str" cm="1">
        <x:f t="array" ref="A118">IF(OR(B118="",C118=""),"",IF(C118="Initiative",COUNTIF($C$5:C118,"Initiative"),IF(C118="Milestone",IF(D118="","",D118&amp;"."&amp;COUNTIFS($D$5:D118,D118,$C$5:C118,"Milestone")),IF(OR(C118="Activity",C118="Variation"),IF(D118="","",D118&amp;"."&amp;(COUNTIFS($D$5:D118,D118,$C$5:C118,"Activity")+COUNTIFS($D$5:D118,D118,$C$5:C118,"Variation"))),""))))</x:f>
      </x:c>
      <x:c r="B118" s="19"/>
      <x:c r="C118" s="19"/>
      <x:c r="D118" s="20"/>
      <x:c r="E118" s="21"/>
      <x:c r="F118" s="21"/>
      <x:c r="G118" s="102"/>
      <x:c r="H118" s="102"/>
      <x:c r="I118" s="102"/>
      <x:c r="J118" s="100"/>
      <x:c r="K118" s="7" t="str">
        <x:f>IF($B118="","",IF($C118="Initiative",IF(COUNTIFS($B$119:$B$204,$B118,$C$119:$C$204,"Activity")+COUNTIFS($B$119:$B$204,$B118,$C$119:$C$204,"Variation")=0,"",IF(COUNTIFS($B$119:$B$204,$B118,$C$119:$C$204,"Activity")+COUNTIFS($B$119:$B$204,$B118,$C$119:$C$204,"Variation")&lt;&gt;COUNTIFS($B$119:$B$204,$B118,$C$119:$C$204,"Activity",$G$119:$G$204,"&lt;&gt;",$H$119:$H$204,"&lt;&gt;")+COUNTIFS($B$119:$B$204,$B118,$C$119:$C$204,"Variation",$G$119:$G$204,"&lt;&gt;",$H$119:$H$204,"&lt;&gt;"),"",(SUMIFS($K$119:$K$204,$B$119:$B$204,$B118,$C$119:$C$204,"Activity")+SUMIFS($K$119:$K$204,$B$119:$B$204,$B118,$C$119:$C$204,"Variation"))/(COUNTIFS($B$119:$B$204,$B118,$C$119:$C$204,"Activity")+COUNTIFS($B$119:$B$204,$B118,$C$119:$C$204,"Variation")))),IF($C118="Milestone",IF(COUNTIFS($D$119:$D$204,$A118,$C$119:$C$204,"Activity")+COUNTIFS($D$119:$D$204,$A118,$C$119:$C$204,"Variation")=0,"",IF(COUNTIFS($D$119:$D$204,$A118,$C$119:$C$204,"Activity")+COUNTIFS($D$119:$D$204,$A118,$C$119:$C$204,"Variation")&lt;&gt;COUNTIFS($D$119:$D$204,$A118,$C$119:$C$204,"Activity",$G$119:$G$204,"&lt;&gt;",$H$119:$H$204,"&lt;&gt;")+COUNTIFS($D$119:$D$204,$A118,$C$119:$C$204,"Variation",$G$119:$G$204,"&lt;&gt;",$H$119:$H$204,"&lt;&gt;"),"",(SUMIFS($K$119:$K$204,$D$119:$D$204,$A118,$C$119:$C$204,"Activity")+SUMIFS($K$119:$K$204,$D$119:$D$204,$A118,$C$119:$C$204,"Variation"))/(COUNTIFS($D$119:$D$204,$A118,$C$119:$C$204,"Activity")+COUNTIFS($D$119:$D$204,$A118,$C$119:$C$204,"Variation")))),IF(OR($C118="Activity",$C118="Variation"),IF(OR($G118="",$H118=""),"",IF($H118&lt;$G118,"",IF($H118=$G118,--(TODAY()&gt;=$H118),MAX(0,MIN(1,(TODAY()-$G118)/($H118-$G118)))))),""))))</x:f>
      </x:c>
      <x:c r="L118" s="7" t="str">
        <x:f t="shared" si="3">IF($B118="","",IF($C118="Initiative",IF(COUNTIFS($B$5:$B$204,$B118,$C$5:$C$204,"Activity")+COUNTIFS($B$5:$B$204,$B118,$C$5:$C$204,"Variation")=0,"",IF(COUNTIFS($B$5:$B$204,$B118,$C$5:$C$204,"Activity")+COUNTIFS($B$5:$B$204,$B118,$C$5:$C$204,"Variation")&lt;&gt;COUNTIFS($B$5:$B$204,$B118,$C$5:$C$204,"Activity",$J$5:$J$204,"&lt;&gt;",$J$5:$J$204,"&gt;=0",$J$5:$J$204,"&lt;=1")+COUNTIFS($B$5:$B$204,$B118,$C$5:$C$204,"Variation",$J$5:$J$204,"&lt;&gt;",$J$5:$J$204,"&gt;=0",$J$5:$J$204,"&lt;=1"),"",(SUMIFS($J$5:$J$204,$B$5:$B$204,$B118,$C$5:$C$204,"Activity")+SUMIFS($J$5:$J$204,$B$5:$B$204,$B118,$C$5:$C$204,"Variation"))/(COUNTIFS($B$5:$B$204,$B118,$C$5:$C$204,"Activity")+COUNTIFS($B$5:$B$204,$B118,$C$5:$C$204,"Variation")))),IF($C118="Milestone",IF(COUNTIFS($D$5:$D$204,$A118,$C$5:$C$204,"Activity")+COUNTIFS($D$5:$D$204,$A118,$C$5:$C$204,"Variation")=0,"",IF(COUNTIFS($D$5:$D$204,$A118,$C$5:$C$204,"Activity")+COUNTIFS($D$5:$D$204,$A118,$C$5:$C$204,"Variation")&lt;&gt;COUNTIFS($D$5:$D$204,$A118,$C$5:$C$204,"Activity",$J$5:$J$204,"&lt;&gt;",$J$5:$J$204,"&gt;=0",$J$5:$J$204,"&lt;=1")+COUNTIFS($D$5:$D$204,$A118,$C$5:$C$204,"Variation",$J$5:$J$204,"&lt;&gt;",$J$5:$J$204,"&gt;=0",$J$5:$J$204,"&lt;=1"),"",(SUMIFS($J$5:$J$204,$D$5:$D$204,$A118,$C$5:$C$204,"Activity")+SUMIFS($J$5:$J$204,$D$5:$D$204,$A118,$C$5:$C$204,"Variation"))/(COUNTIFS($D$5:$D$204,$A118,$C$5:$C$204,"Activity")+COUNTIFS($D$5:$D$204,$A118,$C$5:$C$204,"Variation")))),IF(OR($C118="Activity",$C118="Variation"),IF(AND(ISNUMBER($J118),$J118&gt;=0,$J118&lt;=1),$J118,""),""))))</x:f>
      </x:c>
      <x:c r="M118" s="7" t="str">
        <x:f t="shared" si="4">IF(OR($K118="",$L118=""),"",$L118-$K118)</x:f>
      </x:c>
      <x:c r="N118" s="6" t="str">
        <x:f>IF(OR($B118="",$I118="",$L118=""),"",IF(AND($L118&lt;1,$I118&lt;TODAY()),"Late",IF(AND($H118&lt;&gt;"",$I118&gt;$H118),"Forecast Slip","On Plan")))</x:f>
      </x:c>
      <x:c r="O118" s="19"/>
      <x:c r="P118" s="6" t="str">
        <x:f t="shared" si="5">IF($B118="","",IF($A118="","Enter item ID",IF(COUNTIF($A$5:$A$204,$A118)&gt;1,"Duplicate item ID",IF($C118="Initiative",IF($D118&lt;&gt;"","Parent must be blank",IF(COUNTIFS($B$5:$B$204,$B118,$C$5:$C$204,"Initiative")&lt;&gt;1,"One Initiative row required",IF(COUNTIFS($D$5:$D$204,$A118,$C$5:$C$204,"Milestone")=0,"Add milestone","OK"))),IF($C118="Milestone",IF(COUNTIFS($A$5:$A$204,$D118,$B$5:$B$204,$B118,$C$5:$C$204,"Initiative")&lt;&gt;1,"Parent must be Initiative",IF(COUNTIFS($D$5:$D$204,$A118,$C$5:$C$204,"Activity")+COUNTIFS($D$5:$D$204,$A118,$C$5:$C$204,"Variation")=0,"Add activity or variation","OK")),IF(OR($C118="Activity",$C118="Variation"),IF(COUNTIFS($A$5:$A$204,$D118,$B$5:$B$204,$B118,$C$5:$C$204,"Milestone")&lt;&gt;1,"Parent must be Milestone",IF(OR($G118="",$H118=""),"Enter baseline dates",IF($H118&lt;$G118,"Baseline finish before start",IF($I118="","Enter forecast finish",IF(COUNT($J118)=0,"Enter actual %",IF(OR(NOT(ISNUMBER($J118)),$J118&lt;0,$J118&gt;1),"Actual % must be 0–100%","OK")))))),"Select level"))))))</x:f>
      </x:c>
    </x:row>
    <x:row r="119">
      <x:c r="A119" s="66" t="str" cm="1">
        <x:f t="array" ref="A119">IF(OR(B119="",C119=""),"",IF(C119="Initiative",COUNTIF($C$5:C119,"Initiative"),IF(C119="Milestone",IF(D119="","",D119&amp;"."&amp;COUNTIFS($D$5:D119,D119,$C$5:C119,"Milestone")),IF(OR(C119="Activity",C119="Variation"),IF(D119="","",D119&amp;"."&amp;(COUNTIFS($D$5:D119,D119,$C$5:C119,"Activity")+COUNTIFS($D$5:D119,D119,$C$5:C119,"Variation"))),""))))</x:f>
      </x:c>
      <x:c r="B119" s="19"/>
      <x:c r="C119" s="19"/>
      <x:c r="D119" s="20"/>
      <x:c r="E119" s="21"/>
      <x:c r="F119" s="21"/>
      <x:c r="G119" s="102"/>
      <x:c r="H119" s="102"/>
      <x:c r="I119" s="102"/>
      <x:c r="J119" s="100"/>
      <x:c r="K119" s="7" t="str">
        <x:f>IF($B119="","",IF($C119="Initiative",IF(COUNTIFS($B$120:$B$204,$B119,$C$120:$C$204,"Activity")+COUNTIFS($B$120:$B$204,$B119,$C$120:$C$204,"Variation")=0,"",IF(COUNTIFS($B$120:$B$204,$B119,$C$120:$C$204,"Activity")+COUNTIFS($B$120:$B$204,$B119,$C$120:$C$204,"Variation")&lt;&gt;COUNTIFS($B$120:$B$204,$B119,$C$120:$C$204,"Activity",$G$120:$G$204,"&lt;&gt;",$H$120:$H$204,"&lt;&gt;")+COUNTIFS($B$120:$B$204,$B119,$C$120:$C$204,"Variation",$G$120:$G$204,"&lt;&gt;",$H$120:$H$204,"&lt;&gt;"),"",(SUMIFS($K$120:$K$204,$B$120:$B$204,$B119,$C$120:$C$204,"Activity")+SUMIFS($K$120:$K$204,$B$120:$B$204,$B119,$C$120:$C$204,"Variation"))/(COUNTIFS($B$120:$B$204,$B119,$C$120:$C$204,"Activity")+COUNTIFS($B$120:$B$204,$B119,$C$120:$C$204,"Variation")))),IF($C119="Milestone",IF(COUNTIFS($D$120:$D$204,$A119,$C$120:$C$204,"Activity")+COUNTIFS($D$120:$D$204,$A119,$C$120:$C$204,"Variation")=0,"",IF(COUNTIFS($D$120:$D$204,$A119,$C$120:$C$204,"Activity")+COUNTIFS($D$120:$D$204,$A119,$C$120:$C$204,"Variation")&lt;&gt;COUNTIFS($D$120:$D$204,$A119,$C$120:$C$204,"Activity",$G$120:$G$204,"&lt;&gt;",$H$120:$H$204,"&lt;&gt;")+COUNTIFS($D$120:$D$204,$A119,$C$120:$C$204,"Variation",$G$120:$G$204,"&lt;&gt;",$H$120:$H$204,"&lt;&gt;"),"",(SUMIFS($K$120:$K$204,$D$120:$D$204,$A119,$C$120:$C$204,"Activity")+SUMIFS($K$120:$K$204,$D$120:$D$204,$A119,$C$120:$C$204,"Variation"))/(COUNTIFS($D$120:$D$204,$A119,$C$120:$C$204,"Activity")+COUNTIFS($D$120:$D$204,$A119,$C$120:$C$204,"Variation")))),IF(OR($C119="Activity",$C119="Variation"),IF(OR($G119="",$H119=""),"",IF($H119&lt;$G119,"",IF($H119=$G119,--(TODAY()&gt;=$H119),MAX(0,MIN(1,(TODAY()-$G119)/($H119-$G119)))))),""))))</x:f>
      </x:c>
      <x:c r="L119" s="7" t="str">
        <x:f t="shared" si="3">IF($B119="","",IF($C119="Initiative",IF(COUNTIFS($B$5:$B$204,$B119,$C$5:$C$204,"Activity")+COUNTIFS($B$5:$B$204,$B119,$C$5:$C$204,"Variation")=0,"",IF(COUNTIFS($B$5:$B$204,$B119,$C$5:$C$204,"Activity")+COUNTIFS($B$5:$B$204,$B119,$C$5:$C$204,"Variation")&lt;&gt;COUNTIFS($B$5:$B$204,$B119,$C$5:$C$204,"Activity",$J$5:$J$204,"&lt;&gt;",$J$5:$J$204,"&gt;=0",$J$5:$J$204,"&lt;=1")+COUNTIFS($B$5:$B$204,$B119,$C$5:$C$204,"Variation",$J$5:$J$204,"&lt;&gt;",$J$5:$J$204,"&gt;=0",$J$5:$J$204,"&lt;=1"),"",(SUMIFS($J$5:$J$204,$B$5:$B$204,$B119,$C$5:$C$204,"Activity")+SUMIFS($J$5:$J$204,$B$5:$B$204,$B119,$C$5:$C$204,"Variation"))/(COUNTIFS($B$5:$B$204,$B119,$C$5:$C$204,"Activity")+COUNTIFS($B$5:$B$204,$B119,$C$5:$C$204,"Variation")))),IF($C119="Milestone",IF(COUNTIFS($D$5:$D$204,$A119,$C$5:$C$204,"Activity")+COUNTIFS($D$5:$D$204,$A119,$C$5:$C$204,"Variation")=0,"",IF(COUNTIFS($D$5:$D$204,$A119,$C$5:$C$204,"Activity")+COUNTIFS($D$5:$D$204,$A119,$C$5:$C$204,"Variation")&lt;&gt;COUNTIFS($D$5:$D$204,$A119,$C$5:$C$204,"Activity",$J$5:$J$204,"&lt;&gt;",$J$5:$J$204,"&gt;=0",$J$5:$J$204,"&lt;=1")+COUNTIFS($D$5:$D$204,$A119,$C$5:$C$204,"Variation",$J$5:$J$204,"&lt;&gt;",$J$5:$J$204,"&gt;=0",$J$5:$J$204,"&lt;=1"),"",(SUMIFS($J$5:$J$204,$D$5:$D$204,$A119,$C$5:$C$204,"Activity")+SUMIFS($J$5:$J$204,$D$5:$D$204,$A119,$C$5:$C$204,"Variation"))/(COUNTIFS($D$5:$D$204,$A119,$C$5:$C$204,"Activity")+COUNTIFS($D$5:$D$204,$A119,$C$5:$C$204,"Variation")))),IF(OR($C119="Activity",$C119="Variation"),IF(AND(ISNUMBER($J119),$J119&gt;=0,$J119&lt;=1),$J119,""),""))))</x:f>
      </x:c>
      <x:c r="M119" s="7" t="str">
        <x:f t="shared" si="4">IF(OR($K119="",$L119=""),"",$L119-$K119)</x:f>
      </x:c>
      <x:c r="N119" s="6" t="str">
        <x:f>IF(OR($B119="",$I119="",$L119=""),"",IF(AND($L119&lt;1,$I119&lt;TODAY()),"Late",IF(AND($H119&lt;&gt;"",$I119&gt;$H119),"Forecast Slip","On Plan")))</x:f>
      </x:c>
      <x:c r="O119" s="19"/>
      <x:c r="P119" s="6" t="str">
        <x:f t="shared" si="5">IF($B119="","",IF($A119="","Enter item ID",IF(COUNTIF($A$5:$A$204,$A119)&gt;1,"Duplicate item ID",IF($C119="Initiative",IF($D119&lt;&gt;"","Parent must be blank",IF(COUNTIFS($B$5:$B$204,$B119,$C$5:$C$204,"Initiative")&lt;&gt;1,"One Initiative row required",IF(COUNTIFS($D$5:$D$204,$A119,$C$5:$C$204,"Milestone")=0,"Add milestone","OK"))),IF($C119="Milestone",IF(COUNTIFS($A$5:$A$204,$D119,$B$5:$B$204,$B119,$C$5:$C$204,"Initiative")&lt;&gt;1,"Parent must be Initiative",IF(COUNTIFS($D$5:$D$204,$A119,$C$5:$C$204,"Activity")+COUNTIFS($D$5:$D$204,$A119,$C$5:$C$204,"Variation")=0,"Add activity or variation","OK")),IF(OR($C119="Activity",$C119="Variation"),IF(COUNTIFS($A$5:$A$204,$D119,$B$5:$B$204,$B119,$C$5:$C$204,"Milestone")&lt;&gt;1,"Parent must be Milestone",IF(OR($G119="",$H119=""),"Enter baseline dates",IF($H119&lt;$G119,"Baseline finish before start",IF($I119="","Enter forecast finish",IF(COUNT($J119)=0,"Enter actual %",IF(OR(NOT(ISNUMBER($J119)),$J119&lt;0,$J119&gt;1),"Actual % must be 0–100%","OK")))))),"Select level"))))))</x:f>
      </x:c>
    </x:row>
    <x:row r="120">
      <x:c r="A120" s="66" t="str" cm="1">
        <x:f t="array" ref="A120">IF(OR(B120="",C120=""),"",IF(C120="Initiative",COUNTIF($C$5:C120,"Initiative"),IF(C120="Milestone",IF(D120="","",D120&amp;"."&amp;COUNTIFS($D$5:D120,D120,$C$5:C120,"Milestone")),IF(OR(C120="Activity",C120="Variation"),IF(D120="","",D120&amp;"."&amp;(COUNTIFS($D$5:D120,D120,$C$5:C120,"Activity")+COUNTIFS($D$5:D120,D120,$C$5:C120,"Variation"))),""))))</x:f>
      </x:c>
      <x:c r="B120" s="19"/>
      <x:c r="C120" s="19"/>
      <x:c r="D120" s="20"/>
      <x:c r="E120" s="21"/>
      <x:c r="F120" s="21"/>
      <x:c r="G120" s="102"/>
      <x:c r="H120" s="102"/>
      <x:c r="I120" s="102"/>
      <x:c r="J120" s="100"/>
      <x:c r="K120" s="7" t="str">
        <x:f>IF($B120="","",IF($C120="Initiative",IF(COUNTIFS($B$121:$B$204,$B120,$C$121:$C$204,"Activity")+COUNTIFS($B$121:$B$204,$B120,$C$121:$C$204,"Variation")=0,"",IF(COUNTIFS($B$121:$B$204,$B120,$C$121:$C$204,"Activity")+COUNTIFS($B$121:$B$204,$B120,$C$121:$C$204,"Variation")&lt;&gt;COUNTIFS($B$121:$B$204,$B120,$C$121:$C$204,"Activity",$G$121:$G$204,"&lt;&gt;",$H$121:$H$204,"&lt;&gt;")+COUNTIFS($B$121:$B$204,$B120,$C$121:$C$204,"Variation",$G$121:$G$204,"&lt;&gt;",$H$121:$H$204,"&lt;&gt;"),"",(SUMIFS($K$121:$K$204,$B$121:$B$204,$B120,$C$121:$C$204,"Activity")+SUMIFS($K$121:$K$204,$B$121:$B$204,$B120,$C$121:$C$204,"Variation"))/(COUNTIFS($B$121:$B$204,$B120,$C$121:$C$204,"Activity")+COUNTIFS($B$121:$B$204,$B120,$C$121:$C$204,"Variation")))),IF($C120="Milestone",IF(COUNTIFS($D$121:$D$204,$A120,$C$121:$C$204,"Activity")+COUNTIFS($D$121:$D$204,$A120,$C$121:$C$204,"Variation")=0,"",IF(COUNTIFS($D$121:$D$204,$A120,$C$121:$C$204,"Activity")+COUNTIFS($D$121:$D$204,$A120,$C$121:$C$204,"Variation")&lt;&gt;COUNTIFS($D$121:$D$204,$A120,$C$121:$C$204,"Activity",$G$121:$G$204,"&lt;&gt;",$H$121:$H$204,"&lt;&gt;")+COUNTIFS($D$121:$D$204,$A120,$C$121:$C$204,"Variation",$G$121:$G$204,"&lt;&gt;",$H$121:$H$204,"&lt;&gt;"),"",(SUMIFS($K$121:$K$204,$D$121:$D$204,$A120,$C$121:$C$204,"Activity")+SUMIFS($K$121:$K$204,$D$121:$D$204,$A120,$C$121:$C$204,"Variation"))/(COUNTIFS($D$121:$D$204,$A120,$C$121:$C$204,"Activity")+COUNTIFS($D$121:$D$204,$A120,$C$121:$C$204,"Variation")))),IF(OR($C120="Activity",$C120="Variation"),IF(OR($G120="",$H120=""),"",IF($H120&lt;$G120,"",IF($H120=$G120,--(TODAY()&gt;=$H120),MAX(0,MIN(1,(TODAY()-$G120)/($H120-$G120)))))),""))))</x:f>
      </x:c>
      <x:c r="L120" s="7" t="str">
        <x:f t="shared" si="3">IF($B120="","",IF($C120="Initiative",IF(COUNTIFS($B$5:$B$204,$B120,$C$5:$C$204,"Activity")+COUNTIFS($B$5:$B$204,$B120,$C$5:$C$204,"Variation")=0,"",IF(COUNTIFS($B$5:$B$204,$B120,$C$5:$C$204,"Activity")+COUNTIFS($B$5:$B$204,$B120,$C$5:$C$204,"Variation")&lt;&gt;COUNTIFS($B$5:$B$204,$B120,$C$5:$C$204,"Activity",$J$5:$J$204,"&lt;&gt;",$J$5:$J$204,"&gt;=0",$J$5:$J$204,"&lt;=1")+COUNTIFS($B$5:$B$204,$B120,$C$5:$C$204,"Variation",$J$5:$J$204,"&lt;&gt;",$J$5:$J$204,"&gt;=0",$J$5:$J$204,"&lt;=1"),"",(SUMIFS($J$5:$J$204,$B$5:$B$204,$B120,$C$5:$C$204,"Activity")+SUMIFS($J$5:$J$204,$B$5:$B$204,$B120,$C$5:$C$204,"Variation"))/(COUNTIFS($B$5:$B$204,$B120,$C$5:$C$204,"Activity")+COUNTIFS($B$5:$B$204,$B120,$C$5:$C$204,"Variation")))),IF($C120="Milestone",IF(COUNTIFS($D$5:$D$204,$A120,$C$5:$C$204,"Activity")+COUNTIFS($D$5:$D$204,$A120,$C$5:$C$204,"Variation")=0,"",IF(COUNTIFS($D$5:$D$204,$A120,$C$5:$C$204,"Activity")+COUNTIFS($D$5:$D$204,$A120,$C$5:$C$204,"Variation")&lt;&gt;COUNTIFS($D$5:$D$204,$A120,$C$5:$C$204,"Activity",$J$5:$J$204,"&lt;&gt;",$J$5:$J$204,"&gt;=0",$J$5:$J$204,"&lt;=1")+COUNTIFS($D$5:$D$204,$A120,$C$5:$C$204,"Variation",$J$5:$J$204,"&lt;&gt;",$J$5:$J$204,"&gt;=0",$J$5:$J$204,"&lt;=1"),"",(SUMIFS($J$5:$J$204,$D$5:$D$204,$A120,$C$5:$C$204,"Activity")+SUMIFS($J$5:$J$204,$D$5:$D$204,$A120,$C$5:$C$204,"Variation"))/(COUNTIFS($D$5:$D$204,$A120,$C$5:$C$204,"Activity")+COUNTIFS($D$5:$D$204,$A120,$C$5:$C$204,"Variation")))),IF(OR($C120="Activity",$C120="Variation"),IF(AND(ISNUMBER($J120),$J120&gt;=0,$J120&lt;=1),$J120,""),""))))</x:f>
      </x:c>
      <x:c r="M120" s="7" t="str">
        <x:f t="shared" si="4">IF(OR($K120="",$L120=""),"",$L120-$K120)</x:f>
      </x:c>
      <x:c r="N120" s="6" t="str">
        <x:f>IF(OR($B120="",$I120="",$L120=""),"",IF(AND($L120&lt;1,$I120&lt;TODAY()),"Late",IF(AND($H120&lt;&gt;"",$I120&gt;$H120),"Forecast Slip","On Plan")))</x:f>
      </x:c>
      <x:c r="O120" s="19"/>
      <x:c r="P120" s="6" t="str">
        <x:f t="shared" si="5">IF($B120="","",IF($A120="","Enter item ID",IF(COUNTIF($A$5:$A$204,$A120)&gt;1,"Duplicate item ID",IF($C120="Initiative",IF($D120&lt;&gt;"","Parent must be blank",IF(COUNTIFS($B$5:$B$204,$B120,$C$5:$C$204,"Initiative")&lt;&gt;1,"One Initiative row required",IF(COUNTIFS($D$5:$D$204,$A120,$C$5:$C$204,"Milestone")=0,"Add milestone","OK"))),IF($C120="Milestone",IF(COUNTIFS($A$5:$A$204,$D120,$B$5:$B$204,$B120,$C$5:$C$204,"Initiative")&lt;&gt;1,"Parent must be Initiative",IF(COUNTIFS($D$5:$D$204,$A120,$C$5:$C$204,"Activity")+COUNTIFS($D$5:$D$204,$A120,$C$5:$C$204,"Variation")=0,"Add activity or variation","OK")),IF(OR($C120="Activity",$C120="Variation"),IF(COUNTIFS($A$5:$A$204,$D120,$B$5:$B$204,$B120,$C$5:$C$204,"Milestone")&lt;&gt;1,"Parent must be Milestone",IF(OR($G120="",$H120=""),"Enter baseline dates",IF($H120&lt;$G120,"Baseline finish before start",IF($I120="","Enter forecast finish",IF(COUNT($J120)=0,"Enter actual %",IF(OR(NOT(ISNUMBER($J120)),$J120&lt;0,$J120&gt;1),"Actual % must be 0–100%","OK")))))),"Select level"))))))</x:f>
      </x:c>
    </x:row>
    <x:row r="121">
      <x:c r="A121" s="66" t="str" cm="1">
        <x:f t="array" ref="A121">IF(OR(B121="",C121=""),"",IF(C121="Initiative",COUNTIF($C$5:C121,"Initiative"),IF(C121="Milestone",IF(D121="","",D121&amp;"."&amp;COUNTIFS($D$5:D121,D121,$C$5:C121,"Milestone")),IF(OR(C121="Activity",C121="Variation"),IF(D121="","",D121&amp;"."&amp;(COUNTIFS($D$5:D121,D121,$C$5:C121,"Activity")+COUNTIFS($D$5:D121,D121,$C$5:C121,"Variation"))),""))))</x:f>
      </x:c>
      <x:c r="B121" s="19"/>
      <x:c r="C121" s="19"/>
      <x:c r="D121" s="20"/>
      <x:c r="E121" s="21"/>
      <x:c r="F121" s="21"/>
      <x:c r="G121" s="102"/>
      <x:c r="H121" s="102"/>
      <x:c r="I121" s="102"/>
      <x:c r="J121" s="100"/>
      <x:c r="K121" s="7" t="str">
        <x:f>IF($B121="","",IF($C121="Initiative",IF(COUNTIFS($B$122:$B$204,$B121,$C$122:$C$204,"Activity")+COUNTIFS($B$122:$B$204,$B121,$C$122:$C$204,"Variation")=0,"",IF(COUNTIFS($B$122:$B$204,$B121,$C$122:$C$204,"Activity")+COUNTIFS($B$122:$B$204,$B121,$C$122:$C$204,"Variation")&lt;&gt;COUNTIFS($B$122:$B$204,$B121,$C$122:$C$204,"Activity",$G$122:$G$204,"&lt;&gt;",$H$122:$H$204,"&lt;&gt;")+COUNTIFS($B$122:$B$204,$B121,$C$122:$C$204,"Variation",$G$122:$G$204,"&lt;&gt;",$H$122:$H$204,"&lt;&gt;"),"",(SUMIFS($K$122:$K$204,$B$122:$B$204,$B121,$C$122:$C$204,"Activity")+SUMIFS($K$122:$K$204,$B$122:$B$204,$B121,$C$122:$C$204,"Variation"))/(COUNTIFS($B$122:$B$204,$B121,$C$122:$C$204,"Activity")+COUNTIFS($B$122:$B$204,$B121,$C$122:$C$204,"Variation")))),IF($C121="Milestone",IF(COUNTIFS($D$122:$D$204,$A121,$C$122:$C$204,"Activity")+COUNTIFS($D$122:$D$204,$A121,$C$122:$C$204,"Variation")=0,"",IF(COUNTIFS($D$122:$D$204,$A121,$C$122:$C$204,"Activity")+COUNTIFS($D$122:$D$204,$A121,$C$122:$C$204,"Variation")&lt;&gt;COUNTIFS($D$122:$D$204,$A121,$C$122:$C$204,"Activity",$G$122:$G$204,"&lt;&gt;",$H$122:$H$204,"&lt;&gt;")+COUNTIFS($D$122:$D$204,$A121,$C$122:$C$204,"Variation",$G$122:$G$204,"&lt;&gt;",$H$122:$H$204,"&lt;&gt;"),"",(SUMIFS($K$122:$K$204,$D$122:$D$204,$A121,$C$122:$C$204,"Activity")+SUMIFS($K$122:$K$204,$D$122:$D$204,$A121,$C$122:$C$204,"Variation"))/(COUNTIFS($D$122:$D$204,$A121,$C$122:$C$204,"Activity")+COUNTIFS($D$122:$D$204,$A121,$C$122:$C$204,"Variation")))),IF(OR($C121="Activity",$C121="Variation"),IF(OR($G121="",$H121=""),"",IF($H121&lt;$G121,"",IF($H121=$G121,--(TODAY()&gt;=$H121),MAX(0,MIN(1,(TODAY()-$G121)/($H121-$G121)))))),""))))</x:f>
      </x:c>
      <x:c r="L121" s="7" t="str">
        <x:f t="shared" si="3">IF($B121="","",IF($C121="Initiative",IF(COUNTIFS($B$5:$B$204,$B121,$C$5:$C$204,"Activity")+COUNTIFS($B$5:$B$204,$B121,$C$5:$C$204,"Variation")=0,"",IF(COUNTIFS($B$5:$B$204,$B121,$C$5:$C$204,"Activity")+COUNTIFS($B$5:$B$204,$B121,$C$5:$C$204,"Variation")&lt;&gt;COUNTIFS($B$5:$B$204,$B121,$C$5:$C$204,"Activity",$J$5:$J$204,"&lt;&gt;",$J$5:$J$204,"&gt;=0",$J$5:$J$204,"&lt;=1")+COUNTIFS($B$5:$B$204,$B121,$C$5:$C$204,"Variation",$J$5:$J$204,"&lt;&gt;",$J$5:$J$204,"&gt;=0",$J$5:$J$204,"&lt;=1"),"",(SUMIFS($J$5:$J$204,$B$5:$B$204,$B121,$C$5:$C$204,"Activity")+SUMIFS($J$5:$J$204,$B$5:$B$204,$B121,$C$5:$C$204,"Variation"))/(COUNTIFS($B$5:$B$204,$B121,$C$5:$C$204,"Activity")+COUNTIFS($B$5:$B$204,$B121,$C$5:$C$204,"Variation")))),IF($C121="Milestone",IF(COUNTIFS($D$5:$D$204,$A121,$C$5:$C$204,"Activity")+COUNTIFS($D$5:$D$204,$A121,$C$5:$C$204,"Variation")=0,"",IF(COUNTIFS($D$5:$D$204,$A121,$C$5:$C$204,"Activity")+COUNTIFS($D$5:$D$204,$A121,$C$5:$C$204,"Variation")&lt;&gt;COUNTIFS($D$5:$D$204,$A121,$C$5:$C$204,"Activity",$J$5:$J$204,"&lt;&gt;",$J$5:$J$204,"&gt;=0",$J$5:$J$204,"&lt;=1")+COUNTIFS($D$5:$D$204,$A121,$C$5:$C$204,"Variation",$J$5:$J$204,"&lt;&gt;",$J$5:$J$204,"&gt;=0",$J$5:$J$204,"&lt;=1"),"",(SUMIFS($J$5:$J$204,$D$5:$D$204,$A121,$C$5:$C$204,"Activity")+SUMIFS($J$5:$J$204,$D$5:$D$204,$A121,$C$5:$C$204,"Variation"))/(COUNTIFS($D$5:$D$204,$A121,$C$5:$C$204,"Activity")+COUNTIFS($D$5:$D$204,$A121,$C$5:$C$204,"Variation")))),IF(OR($C121="Activity",$C121="Variation"),IF(AND(ISNUMBER($J121),$J121&gt;=0,$J121&lt;=1),$J121,""),""))))</x:f>
      </x:c>
      <x:c r="M121" s="7" t="str">
        <x:f t="shared" si="4">IF(OR($K121="",$L121=""),"",$L121-$K121)</x:f>
      </x:c>
      <x:c r="N121" s="6" t="str">
        <x:f>IF(OR($B121="",$I121="",$L121=""),"",IF(AND($L121&lt;1,$I121&lt;TODAY()),"Late",IF(AND($H121&lt;&gt;"",$I121&gt;$H121),"Forecast Slip","On Plan")))</x:f>
      </x:c>
      <x:c r="O121" s="19"/>
      <x:c r="P121" s="6" t="str">
        <x:f t="shared" si="5">IF($B121="","",IF($A121="","Enter item ID",IF(COUNTIF($A$5:$A$204,$A121)&gt;1,"Duplicate item ID",IF($C121="Initiative",IF($D121&lt;&gt;"","Parent must be blank",IF(COUNTIFS($B$5:$B$204,$B121,$C$5:$C$204,"Initiative")&lt;&gt;1,"One Initiative row required",IF(COUNTIFS($D$5:$D$204,$A121,$C$5:$C$204,"Milestone")=0,"Add milestone","OK"))),IF($C121="Milestone",IF(COUNTIFS($A$5:$A$204,$D121,$B$5:$B$204,$B121,$C$5:$C$204,"Initiative")&lt;&gt;1,"Parent must be Initiative",IF(COUNTIFS($D$5:$D$204,$A121,$C$5:$C$204,"Activity")+COUNTIFS($D$5:$D$204,$A121,$C$5:$C$204,"Variation")=0,"Add activity or variation","OK")),IF(OR($C121="Activity",$C121="Variation"),IF(COUNTIFS($A$5:$A$204,$D121,$B$5:$B$204,$B121,$C$5:$C$204,"Milestone")&lt;&gt;1,"Parent must be Milestone",IF(OR($G121="",$H121=""),"Enter baseline dates",IF($H121&lt;$G121,"Baseline finish before start",IF($I121="","Enter forecast finish",IF(COUNT($J121)=0,"Enter actual %",IF(OR(NOT(ISNUMBER($J121)),$J121&lt;0,$J121&gt;1),"Actual % must be 0–100%","OK")))))),"Select level"))))))</x:f>
      </x:c>
    </x:row>
    <x:row r="122">
      <x:c r="A122" s="66" t="str" cm="1">
        <x:f t="array" ref="A122">IF(OR(B122="",C122=""),"",IF(C122="Initiative",COUNTIF($C$5:C122,"Initiative"),IF(C122="Milestone",IF(D122="","",D122&amp;"."&amp;COUNTIFS($D$5:D122,D122,$C$5:C122,"Milestone")),IF(OR(C122="Activity",C122="Variation"),IF(D122="","",D122&amp;"."&amp;(COUNTIFS($D$5:D122,D122,$C$5:C122,"Activity")+COUNTIFS($D$5:D122,D122,$C$5:C122,"Variation"))),""))))</x:f>
      </x:c>
      <x:c r="B122" s="19"/>
      <x:c r="C122" s="19"/>
      <x:c r="D122" s="20"/>
      <x:c r="E122" s="21"/>
      <x:c r="F122" s="21"/>
      <x:c r="G122" s="102"/>
      <x:c r="H122" s="102"/>
      <x:c r="I122" s="102"/>
      <x:c r="J122" s="100"/>
      <x:c r="K122" s="7" t="str">
        <x:f>IF($B122="","",IF($C122="Initiative",IF(COUNTIFS($B$123:$B$204,$B122,$C$123:$C$204,"Activity")+COUNTIFS($B$123:$B$204,$B122,$C$123:$C$204,"Variation")=0,"",IF(COUNTIFS($B$123:$B$204,$B122,$C$123:$C$204,"Activity")+COUNTIFS($B$123:$B$204,$B122,$C$123:$C$204,"Variation")&lt;&gt;COUNTIFS($B$123:$B$204,$B122,$C$123:$C$204,"Activity",$G$123:$G$204,"&lt;&gt;",$H$123:$H$204,"&lt;&gt;")+COUNTIFS($B$123:$B$204,$B122,$C$123:$C$204,"Variation",$G$123:$G$204,"&lt;&gt;",$H$123:$H$204,"&lt;&gt;"),"",(SUMIFS($K$123:$K$204,$B$123:$B$204,$B122,$C$123:$C$204,"Activity")+SUMIFS($K$123:$K$204,$B$123:$B$204,$B122,$C$123:$C$204,"Variation"))/(COUNTIFS($B$123:$B$204,$B122,$C$123:$C$204,"Activity")+COUNTIFS($B$123:$B$204,$B122,$C$123:$C$204,"Variation")))),IF($C122="Milestone",IF(COUNTIFS($D$123:$D$204,$A122,$C$123:$C$204,"Activity")+COUNTIFS($D$123:$D$204,$A122,$C$123:$C$204,"Variation")=0,"",IF(COUNTIFS($D$123:$D$204,$A122,$C$123:$C$204,"Activity")+COUNTIFS($D$123:$D$204,$A122,$C$123:$C$204,"Variation")&lt;&gt;COUNTIFS($D$123:$D$204,$A122,$C$123:$C$204,"Activity",$G$123:$G$204,"&lt;&gt;",$H$123:$H$204,"&lt;&gt;")+COUNTIFS($D$123:$D$204,$A122,$C$123:$C$204,"Variation",$G$123:$G$204,"&lt;&gt;",$H$123:$H$204,"&lt;&gt;"),"",(SUMIFS($K$123:$K$204,$D$123:$D$204,$A122,$C$123:$C$204,"Activity")+SUMIFS($K$123:$K$204,$D$123:$D$204,$A122,$C$123:$C$204,"Variation"))/(COUNTIFS($D$123:$D$204,$A122,$C$123:$C$204,"Activity")+COUNTIFS($D$123:$D$204,$A122,$C$123:$C$204,"Variation")))),IF(OR($C122="Activity",$C122="Variation"),IF(OR($G122="",$H122=""),"",IF($H122&lt;$G122,"",IF($H122=$G122,--(TODAY()&gt;=$H122),MAX(0,MIN(1,(TODAY()-$G122)/($H122-$G122)))))),""))))</x:f>
      </x:c>
      <x:c r="L122" s="7" t="str">
        <x:f t="shared" si="3">IF($B122="","",IF($C122="Initiative",IF(COUNTIFS($B$5:$B$204,$B122,$C$5:$C$204,"Activity")+COUNTIFS($B$5:$B$204,$B122,$C$5:$C$204,"Variation")=0,"",IF(COUNTIFS($B$5:$B$204,$B122,$C$5:$C$204,"Activity")+COUNTIFS($B$5:$B$204,$B122,$C$5:$C$204,"Variation")&lt;&gt;COUNTIFS($B$5:$B$204,$B122,$C$5:$C$204,"Activity",$J$5:$J$204,"&lt;&gt;",$J$5:$J$204,"&gt;=0",$J$5:$J$204,"&lt;=1")+COUNTIFS($B$5:$B$204,$B122,$C$5:$C$204,"Variation",$J$5:$J$204,"&lt;&gt;",$J$5:$J$204,"&gt;=0",$J$5:$J$204,"&lt;=1"),"",(SUMIFS($J$5:$J$204,$B$5:$B$204,$B122,$C$5:$C$204,"Activity")+SUMIFS($J$5:$J$204,$B$5:$B$204,$B122,$C$5:$C$204,"Variation"))/(COUNTIFS($B$5:$B$204,$B122,$C$5:$C$204,"Activity")+COUNTIFS($B$5:$B$204,$B122,$C$5:$C$204,"Variation")))),IF($C122="Milestone",IF(COUNTIFS($D$5:$D$204,$A122,$C$5:$C$204,"Activity")+COUNTIFS($D$5:$D$204,$A122,$C$5:$C$204,"Variation")=0,"",IF(COUNTIFS($D$5:$D$204,$A122,$C$5:$C$204,"Activity")+COUNTIFS($D$5:$D$204,$A122,$C$5:$C$204,"Variation")&lt;&gt;COUNTIFS($D$5:$D$204,$A122,$C$5:$C$204,"Activity",$J$5:$J$204,"&lt;&gt;",$J$5:$J$204,"&gt;=0",$J$5:$J$204,"&lt;=1")+COUNTIFS($D$5:$D$204,$A122,$C$5:$C$204,"Variation",$J$5:$J$204,"&lt;&gt;",$J$5:$J$204,"&gt;=0",$J$5:$J$204,"&lt;=1"),"",(SUMIFS($J$5:$J$204,$D$5:$D$204,$A122,$C$5:$C$204,"Activity")+SUMIFS($J$5:$J$204,$D$5:$D$204,$A122,$C$5:$C$204,"Variation"))/(COUNTIFS($D$5:$D$204,$A122,$C$5:$C$204,"Activity")+COUNTIFS($D$5:$D$204,$A122,$C$5:$C$204,"Variation")))),IF(OR($C122="Activity",$C122="Variation"),IF(AND(ISNUMBER($J122),$J122&gt;=0,$J122&lt;=1),$J122,""),""))))</x:f>
      </x:c>
      <x:c r="M122" s="7" t="str">
        <x:f t="shared" si="4">IF(OR($K122="",$L122=""),"",$L122-$K122)</x:f>
      </x:c>
      <x:c r="N122" s="6" t="str">
        <x:f>IF(OR($B122="",$I122="",$L122=""),"",IF(AND($L122&lt;1,$I122&lt;TODAY()),"Late",IF(AND($H122&lt;&gt;"",$I122&gt;$H122),"Forecast Slip","On Plan")))</x:f>
      </x:c>
      <x:c r="O122" s="19"/>
      <x:c r="P122" s="6" t="str">
        <x:f t="shared" si="5">IF($B122="","",IF($A122="","Enter item ID",IF(COUNTIF($A$5:$A$204,$A122)&gt;1,"Duplicate item ID",IF($C122="Initiative",IF($D122&lt;&gt;"","Parent must be blank",IF(COUNTIFS($B$5:$B$204,$B122,$C$5:$C$204,"Initiative")&lt;&gt;1,"One Initiative row required",IF(COUNTIFS($D$5:$D$204,$A122,$C$5:$C$204,"Milestone")=0,"Add milestone","OK"))),IF($C122="Milestone",IF(COUNTIFS($A$5:$A$204,$D122,$B$5:$B$204,$B122,$C$5:$C$204,"Initiative")&lt;&gt;1,"Parent must be Initiative",IF(COUNTIFS($D$5:$D$204,$A122,$C$5:$C$204,"Activity")+COUNTIFS($D$5:$D$204,$A122,$C$5:$C$204,"Variation")=0,"Add activity or variation","OK")),IF(OR($C122="Activity",$C122="Variation"),IF(COUNTIFS($A$5:$A$204,$D122,$B$5:$B$204,$B122,$C$5:$C$204,"Milestone")&lt;&gt;1,"Parent must be Milestone",IF(OR($G122="",$H122=""),"Enter baseline dates",IF($H122&lt;$G122,"Baseline finish before start",IF($I122="","Enter forecast finish",IF(COUNT($J122)=0,"Enter actual %",IF(OR(NOT(ISNUMBER($J122)),$J122&lt;0,$J122&gt;1),"Actual % must be 0–100%","OK")))))),"Select level"))))))</x:f>
      </x:c>
    </x:row>
    <x:row r="123">
      <x:c r="A123" s="66" t="str" cm="1">
        <x:f t="array" ref="A123">IF(OR(B123="",C123=""),"",IF(C123="Initiative",COUNTIF($C$5:C123,"Initiative"),IF(C123="Milestone",IF(D123="","",D123&amp;"."&amp;COUNTIFS($D$5:D123,D123,$C$5:C123,"Milestone")),IF(OR(C123="Activity",C123="Variation"),IF(D123="","",D123&amp;"."&amp;(COUNTIFS($D$5:D123,D123,$C$5:C123,"Activity")+COUNTIFS($D$5:D123,D123,$C$5:C123,"Variation"))),""))))</x:f>
      </x:c>
      <x:c r="B123" s="19"/>
      <x:c r="C123" s="19"/>
      <x:c r="D123" s="20"/>
      <x:c r="E123" s="21"/>
      <x:c r="F123" s="21"/>
      <x:c r="G123" s="102"/>
      <x:c r="H123" s="102"/>
      <x:c r="I123" s="102"/>
      <x:c r="J123" s="100"/>
      <x:c r="K123" s="7" t="str">
        <x:f>IF($B123="","",IF($C123="Initiative",IF(COUNTIFS($B$124:$B$204,$B123,$C$124:$C$204,"Activity")+COUNTIFS($B$124:$B$204,$B123,$C$124:$C$204,"Variation")=0,"",IF(COUNTIFS($B$124:$B$204,$B123,$C$124:$C$204,"Activity")+COUNTIFS($B$124:$B$204,$B123,$C$124:$C$204,"Variation")&lt;&gt;COUNTIFS($B$124:$B$204,$B123,$C$124:$C$204,"Activity",$G$124:$G$204,"&lt;&gt;",$H$124:$H$204,"&lt;&gt;")+COUNTIFS($B$124:$B$204,$B123,$C$124:$C$204,"Variation",$G$124:$G$204,"&lt;&gt;",$H$124:$H$204,"&lt;&gt;"),"",(SUMIFS($K$124:$K$204,$B$124:$B$204,$B123,$C$124:$C$204,"Activity")+SUMIFS($K$124:$K$204,$B$124:$B$204,$B123,$C$124:$C$204,"Variation"))/(COUNTIFS($B$124:$B$204,$B123,$C$124:$C$204,"Activity")+COUNTIFS($B$124:$B$204,$B123,$C$124:$C$204,"Variation")))),IF($C123="Milestone",IF(COUNTIFS($D$124:$D$204,$A123,$C$124:$C$204,"Activity")+COUNTIFS($D$124:$D$204,$A123,$C$124:$C$204,"Variation")=0,"",IF(COUNTIFS($D$124:$D$204,$A123,$C$124:$C$204,"Activity")+COUNTIFS($D$124:$D$204,$A123,$C$124:$C$204,"Variation")&lt;&gt;COUNTIFS($D$124:$D$204,$A123,$C$124:$C$204,"Activity",$G$124:$G$204,"&lt;&gt;",$H$124:$H$204,"&lt;&gt;")+COUNTIFS($D$124:$D$204,$A123,$C$124:$C$204,"Variation",$G$124:$G$204,"&lt;&gt;",$H$124:$H$204,"&lt;&gt;"),"",(SUMIFS($K$124:$K$204,$D$124:$D$204,$A123,$C$124:$C$204,"Activity")+SUMIFS($K$124:$K$204,$D$124:$D$204,$A123,$C$124:$C$204,"Variation"))/(COUNTIFS($D$124:$D$204,$A123,$C$124:$C$204,"Activity")+COUNTIFS($D$124:$D$204,$A123,$C$124:$C$204,"Variation")))),IF(OR($C123="Activity",$C123="Variation"),IF(OR($G123="",$H123=""),"",IF($H123&lt;$G123,"",IF($H123=$G123,--(TODAY()&gt;=$H123),MAX(0,MIN(1,(TODAY()-$G123)/($H123-$G123)))))),""))))</x:f>
      </x:c>
      <x:c r="L123" s="7" t="str">
        <x:f t="shared" si="3">IF($B123="","",IF($C123="Initiative",IF(COUNTIFS($B$5:$B$204,$B123,$C$5:$C$204,"Activity")+COUNTIFS($B$5:$B$204,$B123,$C$5:$C$204,"Variation")=0,"",IF(COUNTIFS($B$5:$B$204,$B123,$C$5:$C$204,"Activity")+COUNTIFS($B$5:$B$204,$B123,$C$5:$C$204,"Variation")&lt;&gt;COUNTIFS($B$5:$B$204,$B123,$C$5:$C$204,"Activity",$J$5:$J$204,"&lt;&gt;",$J$5:$J$204,"&gt;=0",$J$5:$J$204,"&lt;=1")+COUNTIFS($B$5:$B$204,$B123,$C$5:$C$204,"Variation",$J$5:$J$204,"&lt;&gt;",$J$5:$J$204,"&gt;=0",$J$5:$J$204,"&lt;=1"),"",(SUMIFS($J$5:$J$204,$B$5:$B$204,$B123,$C$5:$C$204,"Activity")+SUMIFS($J$5:$J$204,$B$5:$B$204,$B123,$C$5:$C$204,"Variation"))/(COUNTIFS($B$5:$B$204,$B123,$C$5:$C$204,"Activity")+COUNTIFS($B$5:$B$204,$B123,$C$5:$C$204,"Variation")))),IF($C123="Milestone",IF(COUNTIFS($D$5:$D$204,$A123,$C$5:$C$204,"Activity")+COUNTIFS($D$5:$D$204,$A123,$C$5:$C$204,"Variation")=0,"",IF(COUNTIFS($D$5:$D$204,$A123,$C$5:$C$204,"Activity")+COUNTIFS($D$5:$D$204,$A123,$C$5:$C$204,"Variation")&lt;&gt;COUNTIFS($D$5:$D$204,$A123,$C$5:$C$204,"Activity",$J$5:$J$204,"&lt;&gt;",$J$5:$J$204,"&gt;=0",$J$5:$J$204,"&lt;=1")+COUNTIFS($D$5:$D$204,$A123,$C$5:$C$204,"Variation",$J$5:$J$204,"&lt;&gt;",$J$5:$J$204,"&gt;=0",$J$5:$J$204,"&lt;=1"),"",(SUMIFS($J$5:$J$204,$D$5:$D$204,$A123,$C$5:$C$204,"Activity")+SUMIFS($J$5:$J$204,$D$5:$D$204,$A123,$C$5:$C$204,"Variation"))/(COUNTIFS($D$5:$D$204,$A123,$C$5:$C$204,"Activity")+COUNTIFS($D$5:$D$204,$A123,$C$5:$C$204,"Variation")))),IF(OR($C123="Activity",$C123="Variation"),IF(AND(ISNUMBER($J123),$J123&gt;=0,$J123&lt;=1),$J123,""),""))))</x:f>
      </x:c>
      <x:c r="M123" s="7" t="str">
        <x:f t="shared" si="4">IF(OR($K123="",$L123=""),"",$L123-$K123)</x:f>
      </x:c>
      <x:c r="N123" s="6" t="str">
        <x:f>IF(OR($B123="",$I123="",$L123=""),"",IF(AND($L123&lt;1,$I123&lt;TODAY()),"Late",IF(AND($H123&lt;&gt;"",$I123&gt;$H123),"Forecast Slip","On Plan")))</x:f>
      </x:c>
      <x:c r="O123" s="19"/>
      <x:c r="P123" s="6" t="str">
        <x:f t="shared" si="5">IF($B123="","",IF($A123="","Enter item ID",IF(COUNTIF($A$5:$A$204,$A123)&gt;1,"Duplicate item ID",IF($C123="Initiative",IF($D123&lt;&gt;"","Parent must be blank",IF(COUNTIFS($B$5:$B$204,$B123,$C$5:$C$204,"Initiative")&lt;&gt;1,"One Initiative row required",IF(COUNTIFS($D$5:$D$204,$A123,$C$5:$C$204,"Milestone")=0,"Add milestone","OK"))),IF($C123="Milestone",IF(COUNTIFS($A$5:$A$204,$D123,$B$5:$B$204,$B123,$C$5:$C$204,"Initiative")&lt;&gt;1,"Parent must be Initiative",IF(COUNTIFS($D$5:$D$204,$A123,$C$5:$C$204,"Activity")+COUNTIFS($D$5:$D$204,$A123,$C$5:$C$204,"Variation")=0,"Add activity or variation","OK")),IF(OR($C123="Activity",$C123="Variation"),IF(COUNTIFS($A$5:$A$204,$D123,$B$5:$B$204,$B123,$C$5:$C$204,"Milestone")&lt;&gt;1,"Parent must be Milestone",IF(OR($G123="",$H123=""),"Enter baseline dates",IF($H123&lt;$G123,"Baseline finish before start",IF($I123="","Enter forecast finish",IF(COUNT($J123)=0,"Enter actual %",IF(OR(NOT(ISNUMBER($J123)),$J123&lt;0,$J123&gt;1),"Actual % must be 0–100%","OK")))))),"Select level"))))))</x:f>
      </x:c>
    </x:row>
    <x:row r="124">
      <x:c r="A124" s="66" t="str" cm="1">
        <x:f t="array" ref="A124">IF(OR(B124="",C124=""),"",IF(C124="Initiative",COUNTIF($C$5:C124,"Initiative"),IF(C124="Milestone",IF(D124="","",D124&amp;"."&amp;COUNTIFS($D$5:D124,D124,$C$5:C124,"Milestone")),IF(OR(C124="Activity",C124="Variation"),IF(D124="","",D124&amp;"."&amp;(COUNTIFS($D$5:D124,D124,$C$5:C124,"Activity")+COUNTIFS($D$5:D124,D124,$C$5:C124,"Variation"))),""))))</x:f>
      </x:c>
      <x:c r="B124" s="19"/>
      <x:c r="C124" s="19"/>
      <x:c r="D124" s="20"/>
      <x:c r="E124" s="21"/>
      <x:c r="F124" s="21"/>
      <x:c r="G124" s="102"/>
      <x:c r="H124" s="102"/>
      <x:c r="I124" s="102"/>
      <x:c r="J124" s="100"/>
      <x:c r="K124" s="7" t="str">
        <x:f>IF($B124="","",IF($C124="Initiative",IF(COUNTIFS($B$125:$B$204,$B124,$C$125:$C$204,"Activity")+COUNTIFS($B$125:$B$204,$B124,$C$125:$C$204,"Variation")=0,"",IF(COUNTIFS($B$125:$B$204,$B124,$C$125:$C$204,"Activity")+COUNTIFS($B$125:$B$204,$B124,$C$125:$C$204,"Variation")&lt;&gt;COUNTIFS($B$125:$B$204,$B124,$C$125:$C$204,"Activity",$G$125:$G$204,"&lt;&gt;",$H$125:$H$204,"&lt;&gt;")+COUNTIFS($B$125:$B$204,$B124,$C$125:$C$204,"Variation",$G$125:$G$204,"&lt;&gt;",$H$125:$H$204,"&lt;&gt;"),"",(SUMIFS($K$125:$K$204,$B$125:$B$204,$B124,$C$125:$C$204,"Activity")+SUMIFS($K$125:$K$204,$B$125:$B$204,$B124,$C$125:$C$204,"Variation"))/(COUNTIFS($B$125:$B$204,$B124,$C$125:$C$204,"Activity")+COUNTIFS($B$125:$B$204,$B124,$C$125:$C$204,"Variation")))),IF($C124="Milestone",IF(COUNTIFS($D$125:$D$204,$A124,$C$125:$C$204,"Activity")+COUNTIFS($D$125:$D$204,$A124,$C$125:$C$204,"Variation")=0,"",IF(COUNTIFS($D$125:$D$204,$A124,$C$125:$C$204,"Activity")+COUNTIFS($D$125:$D$204,$A124,$C$125:$C$204,"Variation")&lt;&gt;COUNTIFS($D$125:$D$204,$A124,$C$125:$C$204,"Activity",$G$125:$G$204,"&lt;&gt;",$H$125:$H$204,"&lt;&gt;")+COUNTIFS($D$125:$D$204,$A124,$C$125:$C$204,"Variation",$G$125:$G$204,"&lt;&gt;",$H$125:$H$204,"&lt;&gt;"),"",(SUMIFS($K$125:$K$204,$D$125:$D$204,$A124,$C$125:$C$204,"Activity")+SUMIFS($K$125:$K$204,$D$125:$D$204,$A124,$C$125:$C$204,"Variation"))/(COUNTIFS($D$125:$D$204,$A124,$C$125:$C$204,"Activity")+COUNTIFS($D$125:$D$204,$A124,$C$125:$C$204,"Variation")))),IF(OR($C124="Activity",$C124="Variation"),IF(OR($G124="",$H124=""),"",IF($H124&lt;$G124,"",IF($H124=$G124,--(TODAY()&gt;=$H124),MAX(0,MIN(1,(TODAY()-$G124)/($H124-$G124)))))),""))))</x:f>
      </x:c>
      <x:c r="L124" s="7" t="str">
        <x:f t="shared" si="3">IF($B124="","",IF($C124="Initiative",IF(COUNTIFS($B$5:$B$204,$B124,$C$5:$C$204,"Activity")+COUNTIFS($B$5:$B$204,$B124,$C$5:$C$204,"Variation")=0,"",IF(COUNTIFS($B$5:$B$204,$B124,$C$5:$C$204,"Activity")+COUNTIFS($B$5:$B$204,$B124,$C$5:$C$204,"Variation")&lt;&gt;COUNTIFS($B$5:$B$204,$B124,$C$5:$C$204,"Activity",$J$5:$J$204,"&lt;&gt;",$J$5:$J$204,"&gt;=0",$J$5:$J$204,"&lt;=1")+COUNTIFS($B$5:$B$204,$B124,$C$5:$C$204,"Variation",$J$5:$J$204,"&lt;&gt;",$J$5:$J$204,"&gt;=0",$J$5:$J$204,"&lt;=1"),"",(SUMIFS($J$5:$J$204,$B$5:$B$204,$B124,$C$5:$C$204,"Activity")+SUMIFS($J$5:$J$204,$B$5:$B$204,$B124,$C$5:$C$204,"Variation"))/(COUNTIFS($B$5:$B$204,$B124,$C$5:$C$204,"Activity")+COUNTIFS($B$5:$B$204,$B124,$C$5:$C$204,"Variation")))),IF($C124="Milestone",IF(COUNTIFS($D$5:$D$204,$A124,$C$5:$C$204,"Activity")+COUNTIFS($D$5:$D$204,$A124,$C$5:$C$204,"Variation")=0,"",IF(COUNTIFS($D$5:$D$204,$A124,$C$5:$C$204,"Activity")+COUNTIFS($D$5:$D$204,$A124,$C$5:$C$204,"Variation")&lt;&gt;COUNTIFS($D$5:$D$204,$A124,$C$5:$C$204,"Activity",$J$5:$J$204,"&lt;&gt;",$J$5:$J$204,"&gt;=0",$J$5:$J$204,"&lt;=1")+COUNTIFS($D$5:$D$204,$A124,$C$5:$C$204,"Variation",$J$5:$J$204,"&lt;&gt;",$J$5:$J$204,"&gt;=0",$J$5:$J$204,"&lt;=1"),"",(SUMIFS($J$5:$J$204,$D$5:$D$204,$A124,$C$5:$C$204,"Activity")+SUMIFS($J$5:$J$204,$D$5:$D$204,$A124,$C$5:$C$204,"Variation"))/(COUNTIFS($D$5:$D$204,$A124,$C$5:$C$204,"Activity")+COUNTIFS($D$5:$D$204,$A124,$C$5:$C$204,"Variation")))),IF(OR($C124="Activity",$C124="Variation"),IF(AND(ISNUMBER($J124),$J124&gt;=0,$J124&lt;=1),$J124,""),""))))</x:f>
      </x:c>
      <x:c r="M124" s="7" t="str">
        <x:f t="shared" si="4">IF(OR($K124="",$L124=""),"",$L124-$K124)</x:f>
      </x:c>
      <x:c r="N124" s="6" t="str">
        <x:f>IF(OR($B124="",$I124="",$L124=""),"",IF(AND($L124&lt;1,$I124&lt;TODAY()),"Late",IF(AND($H124&lt;&gt;"",$I124&gt;$H124),"Forecast Slip","On Plan")))</x:f>
      </x:c>
      <x:c r="O124" s="19"/>
      <x:c r="P124" s="6" t="str">
        <x:f t="shared" si="5">IF($B124="","",IF($A124="","Enter item ID",IF(COUNTIF($A$5:$A$204,$A124)&gt;1,"Duplicate item ID",IF($C124="Initiative",IF($D124&lt;&gt;"","Parent must be blank",IF(COUNTIFS($B$5:$B$204,$B124,$C$5:$C$204,"Initiative")&lt;&gt;1,"One Initiative row required",IF(COUNTIFS($D$5:$D$204,$A124,$C$5:$C$204,"Milestone")=0,"Add milestone","OK"))),IF($C124="Milestone",IF(COUNTIFS($A$5:$A$204,$D124,$B$5:$B$204,$B124,$C$5:$C$204,"Initiative")&lt;&gt;1,"Parent must be Initiative",IF(COUNTIFS($D$5:$D$204,$A124,$C$5:$C$204,"Activity")+COUNTIFS($D$5:$D$204,$A124,$C$5:$C$204,"Variation")=0,"Add activity or variation","OK")),IF(OR($C124="Activity",$C124="Variation"),IF(COUNTIFS($A$5:$A$204,$D124,$B$5:$B$204,$B124,$C$5:$C$204,"Milestone")&lt;&gt;1,"Parent must be Milestone",IF(OR($G124="",$H124=""),"Enter baseline dates",IF($H124&lt;$G124,"Baseline finish before start",IF($I124="","Enter forecast finish",IF(COUNT($J124)=0,"Enter actual %",IF(OR(NOT(ISNUMBER($J124)),$J124&lt;0,$J124&gt;1),"Actual % must be 0–100%","OK")))))),"Select level"))))))</x:f>
      </x:c>
    </x:row>
    <x:row r="125">
      <x:c r="A125" s="66" t="str" cm="1">
        <x:f t="array" ref="A125">IF(OR(B125="",C125=""),"",IF(C125="Initiative",COUNTIF($C$5:C125,"Initiative"),IF(C125="Milestone",IF(D125="","",D125&amp;"."&amp;COUNTIFS($D$5:D125,D125,$C$5:C125,"Milestone")),IF(OR(C125="Activity",C125="Variation"),IF(D125="","",D125&amp;"."&amp;(COUNTIFS($D$5:D125,D125,$C$5:C125,"Activity")+COUNTIFS($D$5:D125,D125,$C$5:C125,"Variation"))),""))))</x:f>
      </x:c>
      <x:c r="B125" s="19"/>
      <x:c r="C125" s="19"/>
      <x:c r="D125" s="20"/>
      <x:c r="E125" s="21"/>
      <x:c r="F125" s="21"/>
      <x:c r="G125" s="102"/>
      <x:c r="H125" s="102"/>
      <x:c r="I125" s="102"/>
      <x:c r="J125" s="100"/>
      <x:c r="K125" s="7" t="str">
        <x:f>IF($B125="","",IF($C125="Initiative",IF(COUNTIFS($B$126:$B$204,$B125,$C$126:$C$204,"Activity")+COUNTIFS($B$126:$B$204,$B125,$C$126:$C$204,"Variation")=0,"",IF(COUNTIFS($B$126:$B$204,$B125,$C$126:$C$204,"Activity")+COUNTIFS($B$126:$B$204,$B125,$C$126:$C$204,"Variation")&lt;&gt;COUNTIFS($B$126:$B$204,$B125,$C$126:$C$204,"Activity",$G$126:$G$204,"&lt;&gt;",$H$126:$H$204,"&lt;&gt;")+COUNTIFS($B$126:$B$204,$B125,$C$126:$C$204,"Variation",$G$126:$G$204,"&lt;&gt;",$H$126:$H$204,"&lt;&gt;"),"",(SUMIFS($K$126:$K$204,$B$126:$B$204,$B125,$C$126:$C$204,"Activity")+SUMIFS($K$126:$K$204,$B$126:$B$204,$B125,$C$126:$C$204,"Variation"))/(COUNTIFS($B$126:$B$204,$B125,$C$126:$C$204,"Activity")+COUNTIFS($B$126:$B$204,$B125,$C$126:$C$204,"Variation")))),IF($C125="Milestone",IF(COUNTIFS($D$126:$D$204,$A125,$C$126:$C$204,"Activity")+COUNTIFS($D$126:$D$204,$A125,$C$126:$C$204,"Variation")=0,"",IF(COUNTIFS($D$126:$D$204,$A125,$C$126:$C$204,"Activity")+COUNTIFS($D$126:$D$204,$A125,$C$126:$C$204,"Variation")&lt;&gt;COUNTIFS($D$126:$D$204,$A125,$C$126:$C$204,"Activity",$G$126:$G$204,"&lt;&gt;",$H$126:$H$204,"&lt;&gt;")+COUNTIFS($D$126:$D$204,$A125,$C$126:$C$204,"Variation",$G$126:$G$204,"&lt;&gt;",$H$126:$H$204,"&lt;&gt;"),"",(SUMIFS($K$126:$K$204,$D$126:$D$204,$A125,$C$126:$C$204,"Activity")+SUMIFS($K$126:$K$204,$D$126:$D$204,$A125,$C$126:$C$204,"Variation"))/(COUNTIFS($D$126:$D$204,$A125,$C$126:$C$204,"Activity")+COUNTIFS($D$126:$D$204,$A125,$C$126:$C$204,"Variation")))),IF(OR($C125="Activity",$C125="Variation"),IF(OR($G125="",$H125=""),"",IF($H125&lt;$G125,"",IF($H125=$G125,--(TODAY()&gt;=$H125),MAX(0,MIN(1,(TODAY()-$G125)/($H125-$G125)))))),""))))</x:f>
      </x:c>
      <x:c r="L125" s="7" t="str">
        <x:f t="shared" si="3">IF($B125="","",IF($C125="Initiative",IF(COUNTIFS($B$5:$B$204,$B125,$C$5:$C$204,"Activity")+COUNTIFS($B$5:$B$204,$B125,$C$5:$C$204,"Variation")=0,"",IF(COUNTIFS($B$5:$B$204,$B125,$C$5:$C$204,"Activity")+COUNTIFS($B$5:$B$204,$B125,$C$5:$C$204,"Variation")&lt;&gt;COUNTIFS($B$5:$B$204,$B125,$C$5:$C$204,"Activity",$J$5:$J$204,"&lt;&gt;",$J$5:$J$204,"&gt;=0",$J$5:$J$204,"&lt;=1")+COUNTIFS($B$5:$B$204,$B125,$C$5:$C$204,"Variation",$J$5:$J$204,"&lt;&gt;",$J$5:$J$204,"&gt;=0",$J$5:$J$204,"&lt;=1"),"",(SUMIFS($J$5:$J$204,$B$5:$B$204,$B125,$C$5:$C$204,"Activity")+SUMIFS($J$5:$J$204,$B$5:$B$204,$B125,$C$5:$C$204,"Variation"))/(COUNTIFS($B$5:$B$204,$B125,$C$5:$C$204,"Activity")+COUNTIFS($B$5:$B$204,$B125,$C$5:$C$204,"Variation")))),IF($C125="Milestone",IF(COUNTIFS($D$5:$D$204,$A125,$C$5:$C$204,"Activity")+COUNTIFS($D$5:$D$204,$A125,$C$5:$C$204,"Variation")=0,"",IF(COUNTIFS($D$5:$D$204,$A125,$C$5:$C$204,"Activity")+COUNTIFS($D$5:$D$204,$A125,$C$5:$C$204,"Variation")&lt;&gt;COUNTIFS($D$5:$D$204,$A125,$C$5:$C$204,"Activity",$J$5:$J$204,"&lt;&gt;",$J$5:$J$204,"&gt;=0",$J$5:$J$204,"&lt;=1")+COUNTIFS($D$5:$D$204,$A125,$C$5:$C$204,"Variation",$J$5:$J$204,"&lt;&gt;",$J$5:$J$204,"&gt;=0",$J$5:$J$204,"&lt;=1"),"",(SUMIFS($J$5:$J$204,$D$5:$D$204,$A125,$C$5:$C$204,"Activity")+SUMIFS($J$5:$J$204,$D$5:$D$204,$A125,$C$5:$C$204,"Variation"))/(COUNTIFS($D$5:$D$204,$A125,$C$5:$C$204,"Activity")+COUNTIFS($D$5:$D$204,$A125,$C$5:$C$204,"Variation")))),IF(OR($C125="Activity",$C125="Variation"),IF(AND(ISNUMBER($J125),$J125&gt;=0,$J125&lt;=1),$J125,""),""))))</x:f>
      </x:c>
      <x:c r="M125" s="7" t="str">
        <x:f t="shared" si="4">IF(OR($K125="",$L125=""),"",$L125-$K125)</x:f>
      </x:c>
      <x:c r="N125" s="6" t="str">
        <x:f>IF(OR($B125="",$I125="",$L125=""),"",IF(AND($L125&lt;1,$I125&lt;TODAY()),"Late",IF(AND($H125&lt;&gt;"",$I125&gt;$H125),"Forecast Slip","On Plan")))</x:f>
      </x:c>
      <x:c r="O125" s="19"/>
      <x:c r="P125" s="6" t="str">
        <x:f t="shared" si="5">IF($B125="","",IF($A125="","Enter item ID",IF(COUNTIF($A$5:$A$204,$A125)&gt;1,"Duplicate item ID",IF($C125="Initiative",IF($D125&lt;&gt;"","Parent must be blank",IF(COUNTIFS($B$5:$B$204,$B125,$C$5:$C$204,"Initiative")&lt;&gt;1,"One Initiative row required",IF(COUNTIFS($D$5:$D$204,$A125,$C$5:$C$204,"Milestone")=0,"Add milestone","OK"))),IF($C125="Milestone",IF(COUNTIFS($A$5:$A$204,$D125,$B$5:$B$204,$B125,$C$5:$C$204,"Initiative")&lt;&gt;1,"Parent must be Initiative",IF(COUNTIFS($D$5:$D$204,$A125,$C$5:$C$204,"Activity")+COUNTIFS($D$5:$D$204,$A125,$C$5:$C$204,"Variation")=0,"Add activity or variation","OK")),IF(OR($C125="Activity",$C125="Variation"),IF(COUNTIFS($A$5:$A$204,$D125,$B$5:$B$204,$B125,$C$5:$C$204,"Milestone")&lt;&gt;1,"Parent must be Milestone",IF(OR($G125="",$H125=""),"Enter baseline dates",IF($H125&lt;$G125,"Baseline finish before start",IF($I125="","Enter forecast finish",IF(COUNT($J125)=0,"Enter actual %",IF(OR(NOT(ISNUMBER($J125)),$J125&lt;0,$J125&gt;1),"Actual % must be 0–100%","OK")))))),"Select level"))))))</x:f>
      </x:c>
    </x:row>
    <x:row r="126">
      <x:c r="A126" s="66" t="str" cm="1">
        <x:f t="array" ref="A126">IF(OR(B126="",C126=""),"",IF(C126="Initiative",COUNTIF($C$5:C126,"Initiative"),IF(C126="Milestone",IF(D126="","",D126&amp;"."&amp;COUNTIFS($D$5:D126,D126,$C$5:C126,"Milestone")),IF(OR(C126="Activity",C126="Variation"),IF(D126="","",D126&amp;"."&amp;(COUNTIFS($D$5:D126,D126,$C$5:C126,"Activity")+COUNTIFS($D$5:D126,D126,$C$5:C126,"Variation"))),""))))</x:f>
      </x:c>
      <x:c r="B126" s="19"/>
      <x:c r="C126" s="19"/>
      <x:c r="D126" s="20"/>
      <x:c r="E126" s="21"/>
      <x:c r="F126" s="21"/>
      <x:c r="G126" s="102"/>
      <x:c r="H126" s="102"/>
      <x:c r="I126" s="102"/>
      <x:c r="J126" s="100"/>
      <x:c r="K126" s="7" t="str">
        <x:f>IF($B126="","",IF($C126="Initiative",IF(COUNTIFS($B$127:$B$204,$B126,$C$127:$C$204,"Activity")+COUNTIFS($B$127:$B$204,$B126,$C$127:$C$204,"Variation")=0,"",IF(COUNTIFS($B$127:$B$204,$B126,$C$127:$C$204,"Activity")+COUNTIFS($B$127:$B$204,$B126,$C$127:$C$204,"Variation")&lt;&gt;COUNTIFS($B$127:$B$204,$B126,$C$127:$C$204,"Activity",$G$127:$G$204,"&lt;&gt;",$H$127:$H$204,"&lt;&gt;")+COUNTIFS($B$127:$B$204,$B126,$C$127:$C$204,"Variation",$G$127:$G$204,"&lt;&gt;",$H$127:$H$204,"&lt;&gt;"),"",(SUMIFS($K$127:$K$204,$B$127:$B$204,$B126,$C$127:$C$204,"Activity")+SUMIFS($K$127:$K$204,$B$127:$B$204,$B126,$C$127:$C$204,"Variation"))/(COUNTIFS($B$127:$B$204,$B126,$C$127:$C$204,"Activity")+COUNTIFS($B$127:$B$204,$B126,$C$127:$C$204,"Variation")))),IF($C126="Milestone",IF(COUNTIFS($D$127:$D$204,$A126,$C$127:$C$204,"Activity")+COUNTIFS($D$127:$D$204,$A126,$C$127:$C$204,"Variation")=0,"",IF(COUNTIFS($D$127:$D$204,$A126,$C$127:$C$204,"Activity")+COUNTIFS($D$127:$D$204,$A126,$C$127:$C$204,"Variation")&lt;&gt;COUNTIFS($D$127:$D$204,$A126,$C$127:$C$204,"Activity",$G$127:$G$204,"&lt;&gt;",$H$127:$H$204,"&lt;&gt;")+COUNTIFS($D$127:$D$204,$A126,$C$127:$C$204,"Variation",$G$127:$G$204,"&lt;&gt;",$H$127:$H$204,"&lt;&gt;"),"",(SUMIFS($K$127:$K$204,$D$127:$D$204,$A126,$C$127:$C$204,"Activity")+SUMIFS($K$127:$K$204,$D$127:$D$204,$A126,$C$127:$C$204,"Variation"))/(COUNTIFS($D$127:$D$204,$A126,$C$127:$C$204,"Activity")+COUNTIFS($D$127:$D$204,$A126,$C$127:$C$204,"Variation")))),IF(OR($C126="Activity",$C126="Variation"),IF(OR($G126="",$H126=""),"",IF($H126&lt;$G126,"",IF($H126=$G126,--(TODAY()&gt;=$H126),MAX(0,MIN(1,(TODAY()-$G126)/($H126-$G126)))))),""))))</x:f>
      </x:c>
      <x:c r="L126" s="7" t="str">
        <x:f t="shared" si="3">IF($B126="","",IF($C126="Initiative",IF(COUNTIFS($B$5:$B$204,$B126,$C$5:$C$204,"Activity")+COUNTIFS($B$5:$B$204,$B126,$C$5:$C$204,"Variation")=0,"",IF(COUNTIFS($B$5:$B$204,$B126,$C$5:$C$204,"Activity")+COUNTIFS($B$5:$B$204,$B126,$C$5:$C$204,"Variation")&lt;&gt;COUNTIFS($B$5:$B$204,$B126,$C$5:$C$204,"Activity",$J$5:$J$204,"&lt;&gt;",$J$5:$J$204,"&gt;=0",$J$5:$J$204,"&lt;=1")+COUNTIFS($B$5:$B$204,$B126,$C$5:$C$204,"Variation",$J$5:$J$204,"&lt;&gt;",$J$5:$J$204,"&gt;=0",$J$5:$J$204,"&lt;=1"),"",(SUMIFS($J$5:$J$204,$B$5:$B$204,$B126,$C$5:$C$204,"Activity")+SUMIFS($J$5:$J$204,$B$5:$B$204,$B126,$C$5:$C$204,"Variation"))/(COUNTIFS($B$5:$B$204,$B126,$C$5:$C$204,"Activity")+COUNTIFS($B$5:$B$204,$B126,$C$5:$C$204,"Variation")))),IF($C126="Milestone",IF(COUNTIFS($D$5:$D$204,$A126,$C$5:$C$204,"Activity")+COUNTIFS($D$5:$D$204,$A126,$C$5:$C$204,"Variation")=0,"",IF(COUNTIFS($D$5:$D$204,$A126,$C$5:$C$204,"Activity")+COUNTIFS($D$5:$D$204,$A126,$C$5:$C$204,"Variation")&lt;&gt;COUNTIFS($D$5:$D$204,$A126,$C$5:$C$204,"Activity",$J$5:$J$204,"&lt;&gt;",$J$5:$J$204,"&gt;=0",$J$5:$J$204,"&lt;=1")+COUNTIFS($D$5:$D$204,$A126,$C$5:$C$204,"Variation",$J$5:$J$204,"&lt;&gt;",$J$5:$J$204,"&gt;=0",$J$5:$J$204,"&lt;=1"),"",(SUMIFS($J$5:$J$204,$D$5:$D$204,$A126,$C$5:$C$204,"Activity")+SUMIFS($J$5:$J$204,$D$5:$D$204,$A126,$C$5:$C$204,"Variation"))/(COUNTIFS($D$5:$D$204,$A126,$C$5:$C$204,"Activity")+COUNTIFS($D$5:$D$204,$A126,$C$5:$C$204,"Variation")))),IF(OR($C126="Activity",$C126="Variation"),IF(AND(ISNUMBER($J126),$J126&gt;=0,$J126&lt;=1),$J126,""),""))))</x:f>
      </x:c>
      <x:c r="M126" s="7" t="str">
        <x:f t="shared" si="4">IF(OR($K126="",$L126=""),"",$L126-$K126)</x:f>
      </x:c>
      <x:c r="N126" s="6" t="str">
        <x:f>IF(OR($B126="",$I126="",$L126=""),"",IF(AND($L126&lt;1,$I126&lt;TODAY()),"Late",IF(AND($H126&lt;&gt;"",$I126&gt;$H126),"Forecast Slip","On Plan")))</x:f>
      </x:c>
      <x:c r="O126" s="19"/>
      <x:c r="P126" s="6" t="str">
        <x:f t="shared" si="5">IF($B126="","",IF($A126="","Enter item ID",IF(COUNTIF($A$5:$A$204,$A126)&gt;1,"Duplicate item ID",IF($C126="Initiative",IF($D126&lt;&gt;"","Parent must be blank",IF(COUNTIFS($B$5:$B$204,$B126,$C$5:$C$204,"Initiative")&lt;&gt;1,"One Initiative row required",IF(COUNTIFS($D$5:$D$204,$A126,$C$5:$C$204,"Milestone")=0,"Add milestone","OK"))),IF($C126="Milestone",IF(COUNTIFS($A$5:$A$204,$D126,$B$5:$B$204,$B126,$C$5:$C$204,"Initiative")&lt;&gt;1,"Parent must be Initiative",IF(COUNTIFS($D$5:$D$204,$A126,$C$5:$C$204,"Activity")+COUNTIFS($D$5:$D$204,$A126,$C$5:$C$204,"Variation")=0,"Add activity or variation","OK")),IF(OR($C126="Activity",$C126="Variation"),IF(COUNTIFS($A$5:$A$204,$D126,$B$5:$B$204,$B126,$C$5:$C$204,"Milestone")&lt;&gt;1,"Parent must be Milestone",IF(OR($G126="",$H126=""),"Enter baseline dates",IF($H126&lt;$G126,"Baseline finish before start",IF($I126="","Enter forecast finish",IF(COUNT($J126)=0,"Enter actual %",IF(OR(NOT(ISNUMBER($J126)),$J126&lt;0,$J126&gt;1),"Actual % must be 0–100%","OK")))))),"Select level"))))))</x:f>
      </x:c>
    </x:row>
    <x:row r="127">
      <x:c r="A127" s="66" t="str" cm="1">
        <x:f t="array" ref="A127">IF(OR(B127="",C127=""),"",IF(C127="Initiative",COUNTIF($C$5:C127,"Initiative"),IF(C127="Milestone",IF(D127="","",D127&amp;"."&amp;COUNTIFS($D$5:D127,D127,$C$5:C127,"Milestone")),IF(OR(C127="Activity",C127="Variation"),IF(D127="","",D127&amp;"."&amp;(COUNTIFS($D$5:D127,D127,$C$5:C127,"Activity")+COUNTIFS($D$5:D127,D127,$C$5:C127,"Variation"))),""))))</x:f>
      </x:c>
      <x:c r="B127" s="19"/>
      <x:c r="C127" s="19"/>
      <x:c r="D127" s="20"/>
      <x:c r="E127" s="21"/>
      <x:c r="F127" s="21"/>
      <x:c r="G127" s="102"/>
      <x:c r="H127" s="102"/>
      <x:c r="I127" s="102"/>
      <x:c r="J127" s="100"/>
      <x:c r="K127" s="7" t="str">
        <x:f>IF($B127="","",IF($C127="Initiative",IF(COUNTIFS($B$128:$B$204,$B127,$C$128:$C$204,"Activity")+COUNTIFS($B$128:$B$204,$B127,$C$128:$C$204,"Variation")=0,"",IF(COUNTIFS($B$128:$B$204,$B127,$C$128:$C$204,"Activity")+COUNTIFS($B$128:$B$204,$B127,$C$128:$C$204,"Variation")&lt;&gt;COUNTIFS($B$128:$B$204,$B127,$C$128:$C$204,"Activity",$G$128:$G$204,"&lt;&gt;",$H$128:$H$204,"&lt;&gt;")+COUNTIFS($B$128:$B$204,$B127,$C$128:$C$204,"Variation",$G$128:$G$204,"&lt;&gt;",$H$128:$H$204,"&lt;&gt;"),"",(SUMIFS($K$128:$K$204,$B$128:$B$204,$B127,$C$128:$C$204,"Activity")+SUMIFS($K$128:$K$204,$B$128:$B$204,$B127,$C$128:$C$204,"Variation"))/(COUNTIFS($B$128:$B$204,$B127,$C$128:$C$204,"Activity")+COUNTIFS($B$128:$B$204,$B127,$C$128:$C$204,"Variation")))),IF($C127="Milestone",IF(COUNTIFS($D$128:$D$204,$A127,$C$128:$C$204,"Activity")+COUNTIFS($D$128:$D$204,$A127,$C$128:$C$204,"Variation")=0,"",IF(COUNTIFS($D$128:$D$204,$A127,$C$128:$C$204,"Activity")+COUNTIFS($D$128:$D$204,$A127,$C$128:$C$204,"Variation")&lt;&gt;COUNTIFS($D$128:$D$204,$A127,$C$128:$C$204,"Activity",$G$128:$G$204,"&lt;&gt;",$H$128:$H$204,"&lt;&gt;")+COUNTIFS($D$128:$D$204,$A127,$C$128:$C$204,"Variation",$G$128:$G$204,"&lt;&gt;",$H$128:$H$204,"&lt;&gt;"),"",(SUMIFS($K$128:$K$204,$D$128:$D$204,$A127,$C$128:$C$204,"Activity")+SUMIFS($K$128:$K$204,$D$128:$D$204,$A127,$C$128:$C$204,"Variation"))/(COUNTIFS($D$128:$D$204,$A127,$C$128:$C$204,"Activity")+COUNTIFS($D$128:$D$204,$A127,$C$128:$C$204,"Variation")))),IF(OR($C127="Activity",$C127="Variation"),IF(OR($G127="",$H127=""),"",IF($H127&lt;$G127,"",IF($H127=$G127,--(TODAY()&gt;=$H127),MAX(0,MIN(1,(TODAY()-$G127)/($H127-$G127)))))),""))))</x:f>
      </x:c>
      <x:c r="L127" s="7" t="str">
        <x:f t="shared" si="3">IF($B127="","",IF($C127="Initiative",IF(COUNTIFS($B$5:$B$204,$B127,$C$5:$C$204,"Activity")+COUNTIFS($B$5:$B$204,$B127,$C$5:$C$204,"Variation")=0,"",IF(COUNTIFS($B$5:$B$204,$B127,$C$5:$C$204,"Activity")+COUNTIFS($B$5:$B$204,$B127,$C$5:$C$204,"Variation")&lt;&gt;COUNTIFS($B$5:$B$204,$B127,$C$5:$C$204,"Activity",$J$5:$J$204,"&lt;&gt;",$J$5:$J$204,"&gt;=0",$J$5:$J$204,"&lt;=1")+COUNTIFS($B$5:$B$204,$B127,$C$5:$C$204,"Variation",$J$5:$J$204,"&lt;&gt;",$J$5:$J$204,"&gt;=0",$J$5:$J$204,"&lt;=1"),"",(SUMIFS($J$5:$J$204,$B$5:$B$204,$B127,$C$5:$C$204,"Activity")+SUMIFS($J$5:$J$204,$B$5:$B$204,$B127,$C$5:$C$204,"Variation"))/(COUNTIFS($B$5:$B$204,$B127,$C$5:$C$204,"Activity")+COUNTIFS($B$5:$B$204,$B127,$C$5:$C$204,"Variation")))),IF($C127="Milestone",IF(COUNTIFS($D$5:$D$204,$A127,$C$5:$C$204,"Activity")+COUNTIFS($D$5:$D$204,$A127,$C$5:$C$204,"Variation")=0,"",IF(COUNTIFS($D$5:$D$204,$A127,$C$5:$C$204,"Activity")+COUNTIFS($D$5:$D$204,$A127,$C$5:$C$204,"Variation")&lt;&gt;COUNTIFS($D$5:$D$204,$A127,$C$5:$C$204,"Activity",$J$5:$J$204,"&lt;&gt;",$J$5:$J$204,"&gt;=0",$J$5:$J$204,"&lt;=1")+COUNTIFS($D$5:$D$204,$A127,$C$5:$C$204,"Variation",$J$5:$J$204,"&lt;&gt;",$J$5:$J$204,"&gt;=0",$J$5:$J$204,"&lt;=1"),"",(SUMIFS($J$5:$J$204,$D$5:$D$204,$A127,$C$5:$C$204,"Activity")+SUMIFS($J$5:$J$204,$D$5:$D$204,$A127,$C$5:$C$204,"Variation"))/(COUNTIFS($D$5:$D$204,$A127,$C$5:$C$204,"Activity")+COUNTIFS($D$5:$D$204,$A127,$C$5:$C$204,"Variation")))),IF(OR($C127="Activity",$C127="Variation"),IF(AND(ISNUMBER($J127),$J127&gt;=0,$J127&lt;=1),$J127,""),""))))</x:f>
      </x:c>
      <x:c r="M127" s="7" t="str">
        <x:f t="shared" si="4">IF(OR($K127="",$L127=""),"",$L127-$K127)</x:f>
      </x:c>
      <x:c r="N127" s="6" t="str">
        <x:f>IF(OR($B127="",$I127="",$L127=""),"",IF(AND($L127&lt;1,$I127&lt;TODAY()),"Late",IF(AND($H127&lt;&gt;"",$I127&gt;$H127),"Forecast Slip","On Plan")))</x:f>
      </x:c>
      <x:c r="O127" s="19"/>
      <x:c r="P127" s="6" t="str">
        <x:f t="shared" si="5">IF($B127="","",IF($A127="","Enter item ID",IF(COUNTIF($A$5:$A$204,$A127)&gt;1,"Duplicate item ID",IF($C127="Initiative",IF($D127&lt;&gt;"","Parent must be blank",IF(COUNTIFS($B$5:$B$204,$B127,$C$5:$C$204,"Initiative")&lt;&gt;1,"One Initiative row required",IF(COUNTIFS($D$5:$D$204,$A127,$C$5:$C$204,"Milestone")=0,"Add milestone","OK"))),IF($C127="Milestone",IF(COUNTIFS($A$5:$A$204,$D127,$B$5:$B$204,$B127,$C$5:$C$204,"Initiative")&lt;&gt;1,"Parent must be Initiative",IF(COUNTIFS($D$5:$D$204,$A127,$C$5:$C$204,"Activity")+COUNTIFS($D$5:$D$204,$A127,$C$5:$C$204,"Variation")=0,"Add activity or variation","OK")),IF(OR($C127="Activity",$C127="Variation"),IF(COUNTIFS($A$5:$A$204,$D127,$B$5:$B$204,$B127,$C$5:$C$204,"Milestone")&lt;&gt;1,"Parent must be Milestone",IF(OR($G127="",$H127=""),"Enter baseline dates",IF($H127&lt;$G127,"Baseline finish before start",IF($I127="","Enter forecast finish",IF(COUNT($J127)=0,"Enter actual %",IF(OR(NOT(ISNUMBER($J127)),$J127&lt;0,$J127&gt;1),"Actual % must be 0–100%","OK")))))),"Select level"))))))</x:f>
      </x:c>
    </x:row>
    <x:row r="128">
      <x:c r="A128" s="66" t="str" cm="1">
        <x:f t="array" ref="A128">IF(OR(B128="",C128=""),"",IF(C128="Initiative",COUNTIF($C$5:C128,"Initiative"),IF(C128="Milestone",IF(D128="","",D128&amp;"."&amp;COUNTIFS($D$5:D128,D128,$C$5:C128,"Milestone")),IF(OR(C128="Activity",C128="Variation"),IF(D128="","",D128&amp;"."&amp;(COUNTIFS($D$5:D128,D128,$C$5:C128,"Activity")+COUNTIFS($D$5:D128,D128,$C$5:C128,"Variation"))),""))))</x:f>
      </x:c>
      <x:c r="B128" s="19"/>
      <x:c r="C128" s="19"/>
      <x:c r="D128" s="20"/>
      <x:c r="E128" s="21"/>
      <x:c r="F128" s="21"/>
      <x:c r="G128" s="102"/>
      <x:c r="H128" s="102"/>
      <x:c r="I128" s="102"/>
      <x:c r="J128" s="100"/>
      <x:c r="K128" s="7" t="str">
        <x:f>IF($B128="","",IF($C128="Initiative",IF(COUNTIFS($B$129:$B$204,$B128,$C$129:$C$204,"Activity")+COUNTIFS($B$129:$B$204,$B128,$C$129:$C$204,"Variation")=0,"",IF(COUNTIFS($B$129:$B$204,$B128,$C$129:$C$204,"Activity")+COUNTIFS($B$129:$B$204,$B128,$C$129:$C$204,"Variation")&lt;&gt;COUNTIFS($B$129:$B$204,$B128,$C$129:$C$204,"Activity",$G$129:$G$204,"&lt;&gt;",$H$129:$H$204,"&lt;&gt;")+COUNTIFS($B$129:$B$204,$B128,$C$129:$C$204,"Variation",$G$129:$G$204,"&lt;&gt;",$H$129:$H$204,"&lt;&gt;"),"",(SUMIFS($K$129:$K$204,$B$129:$B$204,$B128,$C$129:$C$204,"Activity")+SUMIFS($K$129:$K$204,$B$129:$B$204,$B128,$C$129:$C$204,"Variation"))/(COUNTIFS($B$129:$B$204,$B128,$C$129:$C$204,"Activity")+COUNTIFS($B$129:$B$204,$B128,$C$129:$C$204,"Variation")))),IF($C128="Milestone",IF(COUNTIFS($D$129:$D$204,$A128,$C$129:$C$204,"Activity")+COUNTIFS($D$129:$D$204,$A128,$C$129:$C$204,"Variation")=0,"",IF(COUNTIFS($D$129:$D$204,$A128,$C$129:$C$204,"Activity")+COUNTIFS($D$129:$D$204,$A128,$C$129:$C$204,"Variation")&lt;&gt;COUNTIFS($D$129:$D$204,$A128,$C$129:$C$204,"Activity",$G$129:$G$204,"&lt;&gt;",$H$129:$H$204,"&lt;&gt;")+COUNTIFS($D$129:$D$204,$A128,$C$129:$C$204,"Variation",$G$129:$G$204,"&lt;&gt;",$H$129:$H$204,"&lt;&gt;"),"",(SUMIFS($K$129:$K$204,$D$129:$D$204,$A128,$C$129:$C$204,"Activity")+SUMIFS($K$129:$K$204,$D$129:$D$204,$A128,$C$129:$C$204,"Variation"))/(COUNTIFS($D$129:$D$204,$A128,$C$129:$C$204,"Activity")+COUNTIFS($D$129:$D$204,$A128,$C$129:$C$204,"Variation")))),IF(OR($C128="Activity",$C128="Variation"),IF(OR($G128="",$H128=""),"",IF($H128&lt;$G128,"",IF($H128=$G128,--(TODAY()&gt;=$H128),MAX(0,MIN(1,(TODAY()-$G128)/($H128-$G128)))))),""))))</x:f>
      </x:c>
      <x:c r="L128" s="7" t="str">
        <x:f t="shared" si="3">IF($B128="","",IF($C128="Initiative",IF(COUNTIFS($B$5:$B$204,$B128,$C$5:$C$204,"Activity")+COUNTIFS($B$5:$B$204,$B128,$C$5:$C$204,"Variation")=0,"",IF(COUNTIFS($B$5:$B$204,$B128,$C$5:$C$204,"Activity")+COUNTIFS($B$5:$B$204,$B128,$C$5:$C$204,"Variation")&lt;&gt;COUNTIFS($B$5:$B$204,$B128,$C$5:$C$204,"Activity",$J$5:$J$204,"&lt;&gt;",$J$5:$J$204,"&gt;=0",$J$5:$J$204,"&lt;=1")+COUNTIFS($B$5:$B$204,$B128,$C$5:$C$204,"Variation",$J$5:$J$204,"&lt;&gt;",$J$5:$J$204,"&gt;=0",$J$5:$J$204,"&lt;=1"),"",(SUMIFS($J$5:$J$204,$B$5:$B$204,$B128,$C$5:$C$204,"Activity")+SUMIFS($J$5:$J$204,$B$5:$B$204,$B128,$C$5:$C$204,"Variation"))/(COUNTIFS($B$5:$B$204,$B128,$C$5:$C$204,"Activity")+COUNTIFS($B$5:$B$204,$B128,$C$5:$C$204,"Variation")))),IF($C128="Milestone",IF(COUNTIFS($D$5:$D$204,$A128,$C$5:$C$204,"Activity")+COUNTIFS($D$5:$D$204,$A128,$C$5:$C$204,"Variation")=0,"",IF(COUNTIFS($D$5:$D$204,$A128,$C$5:$C$204,"Activity")+COUNTIFS($D$5:$D$204,$A128,$C$5:$C$204,"Variation")&lt;&gt;COUNTIFS($D$5:$D$204,$A128,$C$5:$C$204,"Activity",$J$5:$J$204,"&lt;&gt;",$J$5:$J$204,"&gt;=0",$J$5:$J$204,"&lt;=1")+COUNTIFS($D$5:$D$204,$A128,$C$5:$C$204,"Variation",$J$5:$J$204,"&lt;&gt;",$J$5:$J$204,"&gt;=0",$J$5:$J$204,"&lt;=1"),"",(SUMIFS($J$5:$J$204,$D$5:$D$204,$A128,$C$5:$C$204,"Activity")+SUMIFS($J$5:$J$204,$D$5:$D$204,$A128,$C$5:$C$204,"Variation"))/(COUNTIFS($D$5:$D$204,$A128,$C$5:$C$204,"Activity")+COUNTIFS($D$5:$D$204,$A128,$C$5:$C$204,"Variation")))),IF(OR($C128="Activity",$C128="Variation"),IF(AND(ISNUMBER($J128),$J128&gt;=0,$J128&lt;=1),$J128,""),""))))</x:f>
      </x:c>
      <x:c r="M128" s="7" t="str">
        <x:f t="shared" si="4">IF(OR($K128="",$L128=""),"",$L128-$K128)</x:f>
      </x:c>
      <x:c r="N128" s="6" t="str">
        <x:f>IF(OR($B128="",$I128="",$L128=""),"",IF(AND($L128&lt;1,$I128&lt;TODAY()),"Late",IF(AND($H128&lt;&gt;"",$I128&gt;$H128),"Forecast Slip","On Plan")))</x:f>
      </x:c>
      <x:c r="O128" s="19"/>
      <x:c r="P128" s="6" t="str">
        <x:f t="shared" si="5">IF($B128="","",IF($A128="","Enter item ID",IF(COUNTIF($A$5:$A$204,$A128)&gt;1,"Duplicate item ID",IF($C128="Initiative",IF($D128&lt;&gt;"","Parent must be blank",IF(COUNTIFS($B$5:$B$204,$B128,$C$5:$C$204,"Initiative")&lt;&gt;1,"One Initiative row required",IF(COUNTIFS($D$5:$D$204,$A128,$C$5:$C$204,"Milestone")=0,"Add milestone","OK"))),IF($C128="Milestone",IF(COUNTIFS($A$5:$A$204,$D128,$B$5:$B$204,$B128,$C$5:$C$204,"Initiative")&lt;&gt;1,"Parent must be Initiative",IF(COUNTIFS($D$5:$D$204,$A128,$C$5:$C$204,"Activity")+COUNTIFS($D$5:$D$204,$A128,$C$5:$C$204,"Variation")=0,"Add activity or variation","OK")),IF(OR($C128="Activity",$C128="Variation"),IF(COUNTIFS($A$5:$A$204,$D128,$B$5:$B$204,$B128,$C$5:$C$204,"Milestone")&lt;&gt;1,"Parent must be Milestone",IF(OR($G128="",$H128=""),"Enter baseline dates",IF($H128&lt;$G128,"Baseline finish before start",IF($I128="","Enter forecast finish",IF(COUNT($J128)=0,"Enter actual %",IF(OR(NOT(ISNUMBER($J128)),$J128&lt;0,$J128&gt;1),"Actual % must be 0–100%","OK")))))),"Select level"))))))</x:f>
      </x:c>
    </x:row>
    <x:row r="129">
      <x:c r="A129" s="66" t="str" cm="1">
        <x:f t="array" ref="A129">IF(OR(B129="",C129=""),"",IF(C129="Initiative",COUNTIF($C$5:C129,"Initiative"),IF(C129="Milestone",IF(D129="","",D129&amp;"."&amp;COUNTIFS($D$5:D129,D129,$C$5:C129,"Milestone")),IF(OR(C129="Activity",C129="Variation"),IF(D129="","",D129&amp;"."&amp;(COUNTIFS($D$5:D129,D129,$C$5:C129,"Activity")+COUNTIFS($D$5:D129,D129,$C$5:C129,"Variation"))),""))))</x:f>
      </x:c>
      <x:c r="B129" s="19"/>
      <x:c r="C129" s="19"/>
      <x:c r="D129" s="20"/>
      <x:c r="E129" s="21"/>
      <x:c r="F129" s="21"/>
      <x:c r="G129" s="102"/>
      <x:c r="H129" s="102"/>
      <x:c r="I129" s="102"/>
      <x:c r="J129" s="100"/>
      <x:c r="K129" s="7" t="str">
        <x:f>IF($B129="","",IF($C129="Initiative",IF(COUNTIFS($B$130:$B$204,$B129,$C$130:$C$204,"Activity")+COUNTIFS($B$130:$B$204,$B129,$C$130:$C$204,"Variation")=0,"",IF(COUNTIFS($B$130:$B$204,$B129,$C$130:$C$204,"Activity")+COUNTIFS($B$130:$B$204,$B129,$C$130:$C$204,"Variation")&lt;&gt;COUNTIFS($B$130:$B$204,$B129,$C$130:$C$204,"Activity",$G$130:$G$204,"&lt;&gt;",$H$130:$H$204,"&lt;&gt;")+COUNTIFS($B$130:$B$204,$B129,$C$130:$C$204,"Variation",$G$130:$G$204,"&lt;&gt;",$H$130:$H$204,"&lt;&gt;"),"",(SUMIFS($K$130:$K$204,$B$130:$B$204,$B129,$C$130:$C$204,"Activity")+SUMIFS($K$130:$K$204,$B$130:$B$204,$B129,$C$130:$C$204,"Variation"))/(COUNTIFS($B$130:$B$204,$B129,$C$130:$C$204,"Activity")+COUNTIFS($B$130:$B$204,$B129,$C$130:$C$204,"Variation")))),IF($C129="Milestone",IF(COUNTIFS($D$130:$D$204,$A129,$C$130:$C$204,"Activity")+COUNTIFS($D$130:$D$204,$A129,$C$130:$C$204,"Variation")=0,"",IF(COUNTIFS($D$130:$D$204,$A129,$C$130:$C$204,"Activity")+COUNTIFS($D$130:$D$204,$A129,$C$130:$C$204,"Variation")&lt;&gt;COUNTIFS($D$130:$D$204,$A129,$C$130:$C$204,"Activity",$G$130:$G$204,"&lt;&gt;",$H$130:$H$204,"&lt;&gt;")+COUNTIFS($D$130:$D$204,$A129,$C$130:$C$204,"Variation",$G$130:$G$204,"&lt;&gt;",$H$130:$H$204,"&lt;&gt;"),"",(SUMIFS($K$130:$K$204,$D$130:$D$204,$A129,$C$130:$C$204,"Activity")+SUMIFS($K$130:$K$204,$D$130:$D$204,$A129,$C$130:$C$204,"Variation"))/(COUNTIFS($D$130:$D$204,$A129,$C$130:$C$204,"Activity")+COUNTIFS($D$130:$D$204,$A129,$C$130:$C$204,"Variation")))),IF(OR($C129="Activity",$C129="Variation"),IF(OR($G129="",$H129=""),"",IF($H129&lt;$G129,"",IF($H129=$G129,--(TODAY()&gt;=$H129),MAX(0,MIN(1,(TODAY()-$G129)/($H129-$G129)))))),""))))</x:f>
      </x:c>
      <x:c r="L129" s="7" t="str">
        <x:f t="shared" si="3">IF($B129="","",IF($C129="Initiative",IF(COUNTIFS($B$5:$B$204,$B129,$C$5:$C$204,"Activity")+COUNTIFS($B$5:$B$204,$B129,$C$5:$C$204,"Variation")=0,"",IF(COUNTIFS($B$5:$B$204,$B129,$C$5:$C$204,"Activity")+COUNTIFS($B$5:$B$204,$B129,$C$5:$C$204,"Variation")&lt;&gt;COUNTIFS($B$5:$B$204,$B129,$C$5:$C$204,"Activity",$J$5:$J$204,"&lt;&gt;",$J$5:$J$204,"&gt;=0",$J$5:$J$204,"&lt;=1")+COUNTIFS($B$5:$B$204,$B129,$C$5:$C$204,"Variation",$J$5:$J$204,"&lt;&gt;",$J$5:$J$204,"&gt;=0",$J$5:$J$204,"&lt;=1"),"",(SUMIFS($J$5:$J$204,$B$5:$B$204,$B129,$C$5:$C$204,"Activity")+SUMIFS($J$5:$J$204,$B$5:$B$204,$B129,$C$5:$C$204,"Variation"))/(COUNTIFS($B$5:$B$204,$B129,$C$5:$C$204,"Activity")+COUNTIFS($B$5:$B$204,$B129,$C$5:$C$204,"Variation")))),IF($C129="Milestone",IF(COUNTIFS($D$5:$D$204,$A129,$C$5:$C$204,"Activity")+COUNTIFS($D$5:$D$204,$A129,$C$5:$C$204,"Variation")=0,"",IF(COUNTIFS($D$5:$D$204,$A129,$C$5:$C$204,"Activity")+COUNTIFS($D$5:$D$204,$A129,$C$5:$C$204,"Variation")&lt;&gt;COUNTIFS($D$5:$D$204,$A129,$C$5:$C$204,"Activity",$J$5:$J$204,"&lt;&gt;",$J$5:$J$204,"&gt;=0",$J$5:$J$204,"&lt;=1")+COUNTIFS($D$5:$D$204,$A129,$C$5:$C$204,"Variation",$J$5:$J$204,"&lt;&gt;",$J$5:$J$204,"&gt;=0",$J$5:$J$204,"&lt;=1"),"",(SUMIFS($J$5:$J$204,$D$5:$D$204,$A129,$C$5:$C$204,"Activity")+SUMIFS($J$5:$J$204,$D$5:$D$204,$A129,$C$5:$C$204,"Variation"))/(COUNTIFS($D$5:$D$204,$A129,$C$5:$C$204,"Activity")+COUNTIFS($D$5:$D$204,$A129,$C$5:$C$204,"Variation")))),IF(OR($C129="Activity",$C129="Variation"),IF(AND(ISNUMBER($J129),$J129&gt;=0,$J129&lt;=1),$J129,""),""))))</x:f>
      </x:c>
      <x:c r="M129" s="7" t="str">
        <x:f t="shared" si="4">IF(OR($K129="",$L129=""),"",$L129-$K129)</x:f>
      </x:c>
      <x:c r="N129" s="6" t="str">
        <x:f>IF(OR($B129="",$I129="",$L129=""),"",IF(AND($L129&lt;1,$I129&lt;TODAY()),"Late",IF(AND($H129&lt;&gt;"",$I129&gt;$H129),"Forecast Slip","On Plan")))</x:f>
      </x:c>
      <x:c r="O129" s="19"/>
      <x:c r="P129" s="6" t="str">
        <x:f t="shared" si="5">IF($B129="","",IF($A129="","Enter item ID",IF(COUNTIF($A$5:$A$204,$A129)&gt;1,"Duplicate item ID",IF($C129="Initiative",IF($D129&lt;&gt;"","Parent must be blank",IF(COUNTIFS($B$5:$B$204,$B129,$C$5:$C$204,"Initiative")&lt;&gt;1,"One Initiative row required",IF(COUNTIFS($D$5:$D$204,$A129,$C$5:$C$204,"Milestone")=0,"Add milestone","OK"))),IF($C129="Milestone",IF(COUNTIFS($A$5:$A$204,$D129,$B$5:$B$204,$B129,$C$5:$C$204,"Initiative")&lt;&gt;1,"Parent must be Initiative",IF(COUNTIFS($D$5:$D$204,$A129,$C$5:$C$204,"Activity")+COUNTIFS($D$5:$D$204,$A129,$C$5:$C$204,"Variation")=0,"Add activity or variation","OK")),IF(OR($C129="Activity",$C129="Variation"),IF(COUNTIFS($A$5:$A$204,$D129,$B$5:$B$204,$B129,$C$5:$C$204,"Milestone")&lt;&gt;1,"Parent must be Milestone",IF(OR($G129="",$H129=""),"Enter baseline dates",IF($H129&lt;$G129,"Baseline finish before start",IF($I129="","Enter forecast finish",IF(COUNT($J129)=0,"Enter actual %",IF(OR(NOT(ISNUMBER($J129)),$J129&lt;0,$J129&gt;1),"Actual % must be 0–100%","OK")))))),"Select level"))))))</x:f>
      </x:c>
    </x:row>
    <x:row r="130">
      <x:c r="A130" s="66" t="str" cm="1">
        <x:f t="array" ref="A130">IF(OR(B130="",C130=""),"",IF(C130="Initiative",COUNTIF($C$5:C130,"Initiative"),IF(C130="Milestone",IF(D130="","",D130&amp;"."&amp;COUNTIFS($D$5:D130,D130,$C$5:C130,"Milestone")),IF(OR(C130="Activity",C130="Variation"),IF(D130="","",D130&amp;"."&amp;(COUNTIFS($D$5:D130,D130,$C$5:C130,"Activity")+COUNTIFS($D$5:D130,D130,$C$5:C130,"Variation"))),""))))</x:f>
      </x:c>
      <x:c r="B130" s="19"/>
      <x:c r="C130" s="19"/>
      <x:c r="D130" s="20"/>
      <x:c r="E130" s="21"/>
      <x:c r="F130" s="21"/>
      <x:c r="G130" s="102"/>
      <x:c r="H130" s="102"/>
      <x:c r="I130" s="102"/>
      <x:c r="J130" s="100"/>
      <x:c r="K130" s="7" t="str">
        <x:f>IF($B130="","",IF($C130="Initiative",IF(COUNTIFS($B$131:$B$204,$B130,$C$131:$C$204,"Activity")+COUNTIFS($B$131:$B$204,$B130,$C$131:$C$204,"Variation")=0,"",IF(COUNTIFS($B$131:$B$204,$B130,$C$131:$C$204,"Activity")+COUNTIFS($B$131:$B$204,$B130,$C$131:$C$204,"Variation")&lt;&gt;COUNTIFS($B$131:$B$204,$B130,$C$131:$C$204,"Activity",$G$131:$G$204,"&lt;&gt;",$H$131:$H$204,"&lt;&gt;")+COUNTIFS($B$131:$B$204,$B130,$C$131:$C$204,"Variation",$G$131:$G$204,"&lt;&gt;",$H$131:$H$204,"&lt;&gt;"),"",(SUMIFS($K$131:$K$204,$B$131:$B$204,$B130,$C$131:$C$204,"Activity")+SUMIFS($K$131:$K$204,$B$131:$B$204,$B130,$C$131:$C$204,"Variation"))/(COUNTIFS($B$131:$B$204,$B130,$C$131:$C$204,"Activity")+COUNTIFS($B$131:$B$204,$B130,$C$131:$C$204,"Variation")))),IF($C130="Milestone",IF(COUNTIFS($D$131:$D$204,$A130,$C$131:$C$204,"Activity")+COUNTIFS($D$131:$D$204,$A130,$C$131:$C$204,"Variation")=0,"",IF(COUNTIFS($D$131:$D$204,$A130,$C$131:$C$204,"Activity")+COUNTIFS($D$131:$D$204,$A130,$C$131:$C$204,"Variation")&lt;&gt;COUNTIFS($D$131:$D$204,$A130,$C$131:$C$204,"Activity",$G$131:$G$204,"&lt;&gt;",$H$131:$H$204,"&lt;&gt;")+COUNTIFS($D$131:$D$204,$A130,$C$131:$C$204,"Variation",$G$131:$G$204,"&lt;&gt;",$H$131:$H$204,"&lt;&gt;"),"",(SUMIFS($K$131:$K$204,$D$131:$D$204,$A130,$C$131:$C$204,"Activity")+SUMIFS($K$131:$K$204,$D$131:$D$204,$A130,$C$131:$C$204,"Variation"))/(COUNTIFS($D$131:$D$204,$A130,$C$131:$C$204,"Activity")+COUNTIFS($D$131:$D$204,$A130,$C$131:$C$204,"Variation")))),IF(OR($C130="Activity",$C130="Variation"),IF(OR($G130="",$H130=""),"",IF($H130&lt;$G130,"",IF($H130=$G130,--(TODAY()&gt;=$H130),MAX(0,MIN(1,(TODAY()-$G130)/($H130-$G130)))))),""))))</x:f>
      </x:c>
      <x:c r="L130" s="7" t="str">
        <x:f t="shared" si="3">IF($B130="","",IF($C130="Initiative",IF(COUNTIFS($B$5:$B$204,$B130,$C$5:$C$204,"Activity")+COUNTIFS($B$5:$B$204,$B130,$C$5:$C$204,"Variation")=0,"",IF(COUNTIFS($B$5:$B$204,$B130,$C$5:$C$204,"Activity")+COUNTIFS($B$5:$B$204,$B130,$C$5:$C$204,"Variation")&lt;&gt;COUNTIFS($B$5:$B$204,$B130,$C$5:$C$204,"Activity",$J$5:$J$204,"&lt;&gt;",$J$5:$J$204,"&gt;=0",$J$5:$J$204,"&lt;=1")+COUNTIFS($B$5:$B$204,$B130,$C$5:$C$204,"Variation",$J$5:$J$204,"&lt;&gt;",$J$5:$J$204,"&gt;=0",$J$5:$J$204,"&lt;=1"),"",(SUMIFS($J$5:$J$204,$B$5:$B$204,$B130,$C$5:$C$204,"Activity")+SUMIFS($J$5:$J$204,$B$5:$B$204,$B130,$C$5:$C$204,"Variation"))/(COUNTIFS($B$5:$B$204,$B130,$C$5:$C$204,"Activity")+COUNTIFS($B$5:$B$204,$B130,$C$5:$C$204,"Variation")))),IF($C130="Milestone",IF(COUNTIFS($D$5:$D$204,$A130,$C$5:$C$204,"Activity")+COUNTIFS($D$5:$D$204,$A130,$C$5:$C$204,"Variation")=0,"",IF(COUNTIFS($D$5:$D$204,$A130,$C$5:$C$204,"Activity")+COUNTIFS($D$5:$D$204,$A130,$C$5:$C$204,"Variation")&lt;&gt;COUNTIFS($D$5:$D$204,$A130,$C$5:$C$204,"Activity",$J$5:$J$204,"&lt;&gt;",$J$5:$J$204,"&gt;=0",$J$5:$J$204,"&lt;=1")+COUNTIFS($D$5:$D$204,$A130,$C$5:$C$204,"Variation",$J$5:$J$204,"&lt;&gt;",$J$5:$J$204,"&gt;=0",$J$5:$J$204,"&lt;=1"),"",(SUMIFS($J$5:$J$204,$D$5:$D$204,$A130,$C$5:$C$204,"Activity")+SUMIFS($J$5:$J$204,$D$5:$D$204,$A130,$C$5:$C$204,"Variation"))/(COUNTIFS($D$5:$D$204,$A130,$C$5:$C$204,"Activity")+COUNTIFS($D$5:$D$204,$A130,$C$5:$C$204,"Variation")))),IF(OR($C130="Activity",$C130="Variation"),IF(AND(ISNUMBER($J130),$J130&gt;=0,$J130&lt;=1),$J130,""),""))))</x:f>
      </x:c>
      <x:c r="M130" s="7" t="str">
        <x:f t="shared" si="4">IF(OR($K130="",$L130=""),"",$L130-$K130)</x:f>
      </x:c>
      <x:c r="N130" s="6" t="str">
        <x:f>IF(OR($B130="",$I130="",$L130=""),"",IF(AND($L130&lt;1,$I130&lt;TODAY()),"Late",IF(AND($H130&lt;&gt;"",$I130&gt;$H130),"Forecast Slip","On Plan")))</x:f>
      </x:c>
      <x:c r="O130" s="19"/>
      <x:c r="P130" s="6" t="str">
        <x:f t="shared" si="5">IF($B130="","",IF($A130="","Enter item ID",IF(COUNTIF($A$5:$A$204,$A130)&gt;1,"Duplicate item ID",IF($C130="Initiative",IF($D130&lt;&gt;"","Parent must be blank",IF(COUNTIFS($B$5:$B$204,$B130,$C$5:$C$204,"Initiative")&lt;&gt;1,"One Initiative row required",IF(COUNTIFS($D$5:$D$204,$A130,$C$5:$C$204,"Milestone")=0,"Add milestone","OK"))),IF($C130="Milestone",IF(COUNTIFS($A$5:$A$204,$D130,$B$5:$B$204,$B130,$C$5:$C$204,"Initiative")&lt;&gt;1,"Parent must be Initiative",IF(COUNTIFS($D$5:$D$204,$A130,$C$5:$C$204,"Activity")+COUNTIFS($D$5:$D$204,$A130,$C$5:$C$204,"Variation")=0,"Add activity or variation","OK")),IF(OR($C130="Activity",$C130="Variation"),IF(COUNTIFS($A$5:$A$204,$D130,$B$5:$B$204,$B130,$C$5:$C$204,"Milestone")&lt;&gt;1,"Parent must be Milestone",IF(OR($G130="",$H130=""),"Enter baseline dates",IF($H130&lt;$G130,"Baseline finish before start",IF($I130="","Enter forecast finish",IF(COUNT($J130)=0,"Enter actual %",IF(OR(NOT(ISNUMBER($J130)),$J130&lt;0,$J130&gt;1),"Actual % must be 0–100%","OK")))))),"Select level"))))))</x:f>
      </x:c>
    </x:row>
    <x:row r="131">
      <x:c r="A131" s="66" t="str" cm="1">
        <x:f t="array" ref="A131">IF(OR(B131="",C131=""),"",IF(C131="Initiative",COUNTIF($C$5:C131,"Initiative"),IF(C131="Milestone",IF(D131="","",D131&amp;"."&amp;COUNTIFS($D$5:D131,D131,$C$5:C131,"Milestone")),IF(OR(C131="Activity",C131="Variation"),IF(D131="","",D131&amp;"."&amp;(COUNTIFS($D$5:D131,D131,$C$5:C131,"Activity")+COUNTIFS($D$5:D131,D131,$C$5:C131,"Variation"))),""))))</x:f>
      </x:c>
      <x:c r="B131" s="19"/>
      <x:c r="C131" s="19"/>
      <x:c r="D131" s="20"/>
      <x:c r="E131" s="21"/>
      <x:c r="F131" s="21"/>
      <x:c r="G131" s="102"/>
      <x:c r="H131" s="102"/>
      <x:c r="I131" s="102"/>
      <x:c r="J131" s="100"/>
      <x:c r="K131" s="7" t="str">
        <x:f>IF($B131="","",IF($C131="Initiative",IF(COUNTIFS($B$132:$B$204,$B131,$C$132:$C$204,"Activity")+COUNTIFS($B$132:$B$204,$B131,$C$132:$C$204,"Variation")=0,"",IF(COUNTIFS($B$132:$B$204,$B131,$C$132:$C$204,"Activity")+COUNTIFS($B$132:$B$204,$B131,$C$132:$C$204,"Variation")&lt;&gt;COUNTIFS($B$132:$B$204,$B131,$C$132:$C$204,"Activity",$G$132:$G$204,"&lt;&gt;",$H$132:$H$204,"&lt;&gt;")+COUNTIFS($B$132:$B$204,$B131,$C$132:$C$204,"Variation",$G$132:$G$204,"&lt;&gt;",$H$132:$H$204,"&lt;&gt;"),"",(SUMIFS($K$132:$K$204,$B$132:$B$204,$B131,$C$132:$C$204,"Activity")+SUMIFS($K$132:$K$204,$B$132:$B$204,$B131,$C$132:$C$204,"Variation"))/(COUNTIFS($B$132:$B$204,$B131,$C$132:$C$204,"Activity")+COUNTIFS($B$132:$B$204,$B131,$C$132:$C$204,"Variation")))),IF($C131="Milestone",IF(COUNTIFS($D$132:$D$204,$A131,$C$132:$C$204,"Activity")+COUNTIFS($D$132:$D$204,$A131,$C$132:$C$204,"Variation")=0,"",IF(COUNTIFS($D$132:$D$204,$A131,$C$132:$C$204,"Activity")+COUNTIFS($D$132:$D$204,$A131,$C$132:$C$204,"Variation")&lt;&gt;COUNTIFS($D$132:$D$204,$A131,$C$132:$C$204,"Activity",$G$132:$G$204,"&lt;&gt;",$H$132:$H$204,"&lt;&gt;")+COUNTIFS($D$132:$D$204,$A131,$C$132:$C$204,"Variation",$G$132:$G$204,"&lt;&gt;",$H$132:$H$204,"&lt;&gt;"),"",(SUMIFS($K$132:$K$204,$D$132:$D$204,$A131,$C$132:$C$204,"Activity")+SUMIFS($K$132:$K$204,$D$132:$D$204,$A131,$C$132:$C$204,"Variation"))/(COUNTIFS($D$132:$D$204,$A131,$C$132:$C$204,"Activity")+COUNTIFS($D$132:$D$204,$A131,$C$132:$C$204,"Variation")))),IF(OR($C131="Activity",$C131="Variation"),IF(OR($G131="",$H131=""),"",IF($H131&lt;$G131,"",IF($H131=$G131,--(TODAY()&gt;=$H131),MAX(0,MIN(1,(TODAY()-$G131)/($H131-$G131)))))),""))))</x:f>
      </x:c>
      <x:c r="L131" s="7" t="str">
        <x:f t="shared" si="3">IF($B131="","",IF($C131="Initiative",IF(COUNTIFS($B$5:$B$204,$B131,$C$5:$C$204,"Activity")+COUNTIFS($B$5:$B$204,$B131,$C$5:$C$204,"Variation")=0,"",IF(COUNTIFS($B$5:$B$204,$B131,$C$5:$C$204,"Activity")+COUNTIFS($B$5:$B$204,$B131,$C$5:$C$204,"Variation")&lt;&gt;COUNTIFS($B$5:$B$204,$B131,$C$5:$C$204,"Activity",$J$5:$J$204,"&lt;&gt;",$J$5:$J$204,"&gt;=0",$J$5:$J$204,"&lt;=1")+COUNTIFS($B$5:$B$204,$B131,$C$5:$C$204,"Variation",$J$5:$J$204,"&lt;&gt;",$J$5:$J$204,"&gt;=0",$J$5:$J$204,"&lt;=1"),"",(SUMIFS($J$5:$J$204,$B$5:$B$204,$B131,$C$5:$C$204,"Activity")+SUMIFS($J$5:$J$204,$B$5:$B$204,$B131,$C$5:$C$204,"Variation"))/(COUNTIFS($B$5:$B$204,$B131,$C$5:$C$204,"Activity")+COUNTIFS($B$5:$B$204,$B131,$C$5:$C$204,"Variation")))),IF($C131="Milestone",IF(COUNTIFS($D$5:$D$204,$A131,$C$5:$C$204,"Activity")+COUNTIFS($D$5:$D$204,$A131,$C$5:$C$204,"Variation")=0,"",IF(COUNTIFS($D$5:$D$204,$A131,$C$5:$C$204,"Activity")+COUNTIFS($D$5:$D$204,$A131,$C$5:$C$204,"Variation")&lt;&gt;COUNTIFS($D$5:$D$204,$A131,$C$5:$C$204,"Activity",$J$5:$J$204,"&lt;&gt;",$J$5:$J$204,"&gt;=0",$J$5:$J$204,"&lt;=1")+COUNTIFS($D$5:$D$204,$A131,$C$5:$C$204,"Variation",$J$5:$J$204,"&lt;&gt;",$J$5:$J$204,"&gt;=0",$J$5:$J$204,"&lt;=1"),"",(SUMIFS($J$5:$J$204,$D$5:$D$204,$A131,$C$5:$C$204,"Activity")+SUMIFS($J$5:$J$204,$D$5:$D$204,$A131,$C$5:$C$204,"Variation"))/(COUNTIFS($D$5:$D$204,$A131,$C$5:$C$204,"Activity")+COUNTIFS($D$5:$D$204,$A131,$C$5:$C$204,"Variation")))),IF(OR($C131="Activity",$C131="Variation"),IF(AND(ISNUMBER($J131),$J131&gt;=0,$J131&lt;=1),$J131,""),""))))</x:f>
      </x:c>
      <x:c r="M131" s="7" t="str">
        <x:f t="shared" si="4">IF(OR($K131="",$L131=""),"",$L131-$K131)</x:f>
      </x:c>
      <x:c r="N131" s="6" t="str">
        <x:f>IF(OR($B131="",$I131="",$L131=""),"",IF(AND($L131&lt;1,$I131&lt;TODAY()),"Late",IF(AND($H131&lt;&gt;"",$I131&gt;$H131),"Forecast Slip","On Plan")))</x:f>
      </x:c>
      <x:c r="O131" s="19"/>
      <x:c r="P131" s="6" t="str">
        <x:f t="shared" si="5">IF($B131="","",IF($A131="","Enter item ID",IF(COUNTIF($A$5:$A$204,$A131)&gt;1,"Duplicate item ID",IF($C131="Initiative",IF($D131&lt;&gt;"","Parent must be blank",IF(COUNTIFS($B$5:$B$204,$B131,$C$5:$C$204,"Initiative")&lt;&gt;1,"One Initiative row required",IF(COUNTIFS($D$5:$D$204,$A131,$C$5:$C$204,"Milestone")=0,"Add milestone","OK"))),IF($C131="Milestone",IF(COUNTIFS($A$5:$A$204,$D131,$B$5:$B$204,$B131,$C$5:$C$204,"Initiative")&lt;&gt;1,"Parent must be Initiative",IF(COUNTIFS($D$5:$D$204,$A131,$C$5:$C$204,"Activity")+COUNTIFS($D$5:$D$204,$A131,$C$5:$C$204,"Variation")=0,"Add activity or variation","OK")),IF(OR($C131="Activity",$C131="Variation"),IF(COUNTIFS($A$5:$A$204,$D131,$B$5:$B$204,$B131,$C$5:$C$204,"Milestone")&lt;&gt;1,"Parent must be Milestone",IF(OR($G131="",$H131=""),"Enter baseline dates",IF($H131&lt;$G131,"Baseline finish before start",IF($I131="","Enter forecast finish",IF(COUNT($J131)=0,"Enter actual %",IF(OR(NOT(ISNUMBER($J131)),$J131&lt;0,$J131&gt;1),"Actual % must be 0–100%","OK")))))),"Select level"))))))</x:f>
      </x:c>
    </x:row>
    <x:row r="132">
      <x:c r="A132" s="66" t="str" cm="1">
        <x:f t="array" ref="A132">IF(OR(B132="",C132=""),"",IF(C132="Initiative",COUNTIF($C$5:C132,"Initiative"),IF(C132="Milestone",IF(D132="","",D132&amp;"."&amp;COUNTIFS($D$5:D132,D132,$C$5:C132,"Milestone")),IF(OR(C132="Activity",C132="Variation"),IF(D132="","",D132&amp;"."&amp;(COUNTIFS($D$5:D132,D132,$C$5:C132,"Activity")+COUNTIFS($D$5:D132,D132,$C$5:C132,"Variation"))),""))))</x:f>
      </x:c>
      <x:c r="B132" s="19"/>
      <x:c r="C132" s="19"/>
      <x:c r="D132" s="20"/>
      <x:c r="E132" s="21"/>
      <x:c r="F132" s="21"/>
      <x:c r="G132" s="102"/>
      <x:c r="H132" s="102"/>
      <x:c r="I132" s="102"/>
      <x:c r="J132" s="100"/>
      <x:c r="K132" s="7" t="str">
        <x:f>IF($B132="","",IF($C132="Initiative",IF(COUNTIFS($B$133:$B$204,$B132,$C$133:$C$204,"Activity")+COUNTIFS($B$133:$B$204,$B132,$C$133:$C$204,"Variation")=0,"",IF(COUNTIFS($B$133:$B$204,$B132,$C$133:$C$204,"Activity")+COUNTIFS($B$133:$B$204,$B132,$C$133:$C$204,"Variation")&lt;&gt;COUNTIFS($B$133:$B$204,$B132,$C$133:$C$204,"Activity",$G$133:$G$204,"&lt;&gt;",$H$133:$H$204,"&lt;&gt;")+COUNTIFS($B$133:$B$204,$B132,$C$133:$C$204,"Variation",$G$133:$G$204,"&lt;&gt;",$H$133:$H$204,"&lt;&gt;"),"",(SUMIFS($K$133:$K$204,$B$133:$B$204,$B132,$C$133:$C$204,"Activity")+SUMIFS($K$133:$K$204,$B$133:$B$204,$B132,$C$133:$C$204,"Variation"))/(COUNTIFS($B$133:$B$204,$B132,$C$133:$C$204,"Activity")+COUNTIFS($B$133:$B$204,$B132,$C$133:$C$204,"Variation")))),IF($C132="Milestone",IF(COUNTIFS($D$133:$D$204,$A132,$C$133:$C$204,"Activity")+COUNTIFS($D$133:$D$204,$A132,$C$133:$C$204,"Variation")=0,"",IF(COUNTIFS($D$133:$D$204,$A132,$C$133:$C$204,"Activity")+COUNTIFS($D$133:$D$204,$A132,$C$133:$C$204,"Variation")&lt;&gt;COUNTIFS($D$133:$D$204,$A132,$C$133:$C$204,"Activity",$G$133:$G$204,"&lt;&gt;",$H$133:$H$204,"&lt;&gt;")+COUNTIFS($D$133:$D$204,$A132,$C$133:$C$204,"Variation",$G$133:$G$204,"&lt;&gt;",$H$133:$H$204,"&lt;&gt;"),"",(SUMIFS($K$133:$K$204,$D$133:$D$204,$A132,$C$133:$C$204,"Activity")+SUMIFS($K$133:$K$204,$D$133:$D$204,$A132,$C$133:$C$204,"Variation"))/(COUNTIFS($D$133:$D$204,$A132,$C$133:$C$204,"Activity")+COUNTIFS($D$133:$D$204,$A132,$C$133:$C$204,"Variation")))),IF(OR($C132="Activity",$C132="Variation"),IF(OR($G132="",$H132=""),"",IF($H132&lt;$G132,"",IF($H132=$G132,--(TODAY()&gt;=$H132),MAX(0,MIN(1,(TODAY()-$G132)/($H132-$G132)))))),""))))</x:f>
      </x:c>
      <x:c r="L132" s="7" t="str">
        <x:f t="shared" si="3">IF($B132="","",IF($C132="Initiative",IF(COUNTIFS($B$5:$B$204,$B132,$C$5:$C$204,"Activity")+COUNTIFS($B$5:$B$204,$B132,$C$5:$C$204,"Variation")=0,"",IF(COUNTIFS($B$5:$B$204,$B132,$C$5:$C$204,"Activity")+COUNTIFS($B$5:$B$204,$B132,$C$5:$C$204,"Variation")&lt;&gt;COUNTIFS($B$5:$B$204,$B132,$C$5:$C$204,"Activity",$J$5:$J$204,"&lt;&gt;",$J$5:$J$204,"&gt;=0",$J$5:$J$204,"&lt;=1")+COUNTIFS($B$5:$B$204,$B132,$C$5:$C$204,"Variation",$J$5:$J$204,"&lt;&gt;",$J$5:$J$204,"&gt;=0",$J$5:$J$204,"&lt;=1"),"",(SUMIFS($J$5:$J$204,$B$5:$B$204,$B132,$C$5:$C$204,"Activity")+SUMIFS($J$5:$J$204,$B$5:$B$204,$B132,$C$5:$C$204,"Variation"))/(COUNTIFS($B$5:$B$204,$B132,$C$5:$C$204,"Activity")+COUNTIFS($B$5:$B$204,$B132,$C$5:$C$204,"Variation")))),IF($C132="Milestone",IF(COUNTIFS($D$5:$D$204,$A132,$C$5:$C$204,"Activity")+COUNTIFS($D$5:$D$204,$A132,$C$5:$C$204,"Variation")=0,"",IF(COUNTIFS($D$5:$D$204,$A132,$C$5:$C$204,"Activity")+COUNTIFS($D$5:$D$204,$A132,$C$5:$C$204,"Variation")&lt;&gt;COUNTIFS($D$5:$D$204,$A132,$C$5:$C$204,"Activity",$J$5:$J$204,"&lt;&gt;",$J$5:$J$204,"&gt;=0",$J$5:$J$204,"&lt;=1")+COUNTIFS($D$5:$D$204,$A132,$C$5:$C$204,"Variation",$J$5:$J$204,"&lt;&gt;",$J$5:$J$204,"&gt;=0",$J$5:$J$204,"&lt;=1"),"",(SUMIFS($J$5:$J$204,$D$5:$D$204,$A132,$C$5:$C$204,"Activity")+SUMIFS($J$5:$J$204,$D$5:$D$204,$A132,$C$5:$C$204,"Variation"))/(COUNTIFS($D$5:$D$204,$A132,$C$5:$C$204,"Activity")+COUNTIFS($D$5:$D$204,$A132,$C$5:$C$204,"Variation")))),IF(OR($C132="Activity",$C132="Variation"),IF(AND(ISNUMBER($J132),$J132&gt;=0,$J132&lt;=1),$J132,""),""))))</x:f>
      </x:c>
      <x:c r="M132" s="7" t="str">
        <x:f t="shared" si="4">IF(OR($K132="",$L132=""),"",$L132-$K132)</x:f>
      </x:c>
      <x:c r="N132" s="6" t="str">
        <x:f>IF(OR($B132="",$I132="",$L132=""),"",IF(AND($L132&lt;1,$I132&lt;TODAY()),"Late",IF(AND($H132&lt;&gt;"",$I132&gt;$H132),"Forecast Slip","On Plan")))</x:f>
      </x:c>
      <x:c r="O132" s="19"/>
      <x:c r="P132" s="6" t="str">
        <x:f t="shared" si="5">IF($B132="","",IF($A132="","Enter item ID",IF(COUNTIF($A$5:$A$204,$A132)&gt;1,"Duplicate item ID",IF($C132="Initiative",IF($D132&lt;&gt;"","Parent must be blank",IF(COUNTIFS($B$5:$B$204,$B132,$C$5:$C$204,"Initiative")&lt;&gt;1,"One Initiative row required",IF(COUNTIFS($D$5:$D$204,$A132,$C$5:$C$204,"Milestone")=0,"Add milestone","OK"))),IF($C132="Milestone",IF(COUNTIFS($A$5:$A$204,$D132,$B$5:$B$204,$B132,$C$5:$C$204,"Initiative")&lt;&gt;1,"Parent must be Initiative",IF(COUNTIFS($D$5:$D$204,$A132,$C$5:$C$204,"Activity")+COUNTIFS($D$5:$D$204,$A132,$C$5:$C$204,"Variation")=0,"Add activity or variation","OK")),IF(OR($C132="Activity",$C132="Variation"),IF(COUNTIFS($A$5:$A$204,$D132,$B$5:$B$204,$B132,$C$5:$C$204,"Milestone")&lt;&gt;1,"Parent must be Milestone",IF(OR($G132="",$H132=""),"Enter baseline dates",IF($H132&lt;$G132,"Baseline finish before start",IF($I132="","Enter forecast finish",IF(COUNT($J132)=0,"Enter actual %",IF(OR(NOT(ISNUMBER($J132)),$J132&lt;0,$J132&gt;1),"Actual % must be 0–100%","OK")))))),"Select level"))))))</x:f>
      </x:c>
    </x:row>
    <x:row r="133">
      <x:c r="A133" s="66" t="str" cm="1">
        <x:f t="array" ref="A133">IF(OR(B133="",C133=""),"",IF(C133="Initiative",COUNTIF($C$5:C133,"Initiative"),IF(C133="Milestone",IF(D133="","",D133&amp;"."&amp;COUNTIFS($D$5:D133,D133,$C$5:C133,"Milestone")),IF(OR(C133="Activity",C133="Variation"),IF(D133="","",D133&amp;"."&amp;(COUNTIFS($D$5:D133,D133,$C$5:C133,"Activity")+COUNTIFS($D$5:D133,D133,$C$5:C133,"Variation"))),""))))</x:f>
      </x:c>
      <x:c r="B133" s="19"/>
      <x:c r="C133" s="19"/>
      <x:c r="D133" s="20"/>
      <x:c r="E133" s="21"/>
      <x:c r="F133" s="21"/>
      <x:c r="G133" s="102"/>
      <x:c r="H133" s="102"/>
      <x:c r="I133" s="102"/>
      <x:c r="J133" s="100"/>
      <x:c r="K133" s="7" t="str">
        <x:f>IF($B133="","",IF($C133="Initiative",IF(COUNTIFS($B$134:$B$204,$B133,$C$134:$C$204,"Activity")+COUNTIFS($B$134:$B$204,$B133,$C$134:$C$204,"Variation")=0,"",IF(COUNTIFS($B$134:$B$204,$B133,$C$134:$C$204,"Activity")+COUNTIFS($B$134:$B$204,$B133,$C$134:$C$204,"Variation")&lt;&gt;COUNTIFS($B$134:$B$204,$B133,$C$134:$C$204,"Activity",$G$134:$G$204,"&lt;&gt;",$H$134:$H$204,"&lt;&gt;")+COUNTIFS($B$134:$B$204,$B133,$C$134:$C$204,"Variation",$G$134:$G$204,"&lt;&gt;",$H$134:$H$204,"&lt;&gt;"),"",(SUMIFS($K$134:$K$204,$B$134:$B$204,$B133,$C$134:$C$204,"Activity")+SUMIFS($K$134:$K$204,$B$134:$B$204,$B133,$C$134:$C$204,"Variation"))/(COUNTIFS($B$134:$B$204,$B133,$C$134:$C$204,"Activity")+COUNTIFS($B$134:$B$204,$B133,$C$134:$C$204,"Variation")))),IF($C133="Milestone",IF(COUNTIFS($D$134:$D$204,$A133,$C$134:$C$204,"Activity")+COUNTIFS($D$134:$D$204,$A133,$C$134:$C$204,"Variation")=0,"",IF(COUNTIFS($D$134:$D$204,$A133,$C$134:$C$204,"Activity")+COUNTIFS($D$134:$D$204,$A133,$C$134:$C$204,"Variation")&lt;&gt;COUNTIFS($D$134:$D$204,$A133,$C$134:$C$204,"Activity",$G$134:$G$204,"&lt;&gt;",$H$134:$H$204,"&lt;&gt;")+COUNTIFS($D$134:$D$204,$A133,$C$134:$C$204,"Variation",$G$134:$G$204,"&lt;&gt;",$H$134:$H$204,"&lt;&gt;"),"",(SUMIFS($K$134:$K$204,$D$134:$D$204,$A133,$C$134:$C$204,"Activity")+SUMIFS($K$134:$K$204,$D$134:$D$204,$A133,$C$134:$C$204,"Variation"))/(COUNTIFS($D$134:$D$204,$A133,$C$134:$C$204,"Activity")+COUNTIFS($D$134:$D$204,$A133,$C$134:$C$204,"Variation")))),IF(OR($C133="Activity",$C133="Variation"),IF(OR($G133="",$H133=""),"",IF($H133&lt;$G133,"",IF($H133=$G133,--(TODAY()&gt;=$H133),MAX(0,MIN(1,(TODAY()-$G133)/($H133-$G133)))))),""))))</x:f>
      </x:c>
      <x:c r="L133" s="7" t="str">
        <x:f t="shared" ref="L133:L196" si="6">IF($B133="","",IF($C133="Initiative",IF(COUNTIFS($B$5:$B$204,$B133,$C$5:$C$204,"Activity")+COUNTIFS($B$5:$B$204,$B133,$C$5:$C$204,"Variation")=0,"",IF(COUNTIFS($B$5:$B$204,$B133,$C$5:$C$204,"Activity")+COUNTIFS($B$5:$B$204,$B133,$C$5:$C$204,"Variation")&lt;&gt;COUNTIFS($B$5:$B$204,$B133,$C$5:$C$204,"Activity",$J$5:$J$204,"&lt;&gt;",$J$5:$J$204,"&gt;=0",$J$5:$J$204,"&lt;=1")+COUNTIFS($B$5:$B$204,$B133,$C$5:$C$204,"Variation",$J$5:$J$204,"&lt;&gt;",$J$5:$J$204,"&gt;=0",$J$5:$J$204,"&lt;=1"),"",(SUMIFS($J$5:$J$204,$B$5:$B$204,$B133,$C$5:$C$204,"Activity")+SUMIFS($J$5:$J$204,$B$5:$B$204,$B133,$C$5:$C$204,"Variation"))/(COUNTIFS($B$5:$B$204,$B133,$C$5:$C$204,"Activity")+COUNTIFS($B$5:$B$204,$B133,$C$5:$C$204,"Variation")))),IF($C133="Milestone",IF(COUNTIFS($D$5:$D$204,$A133,$C$5:$C$204,"Activity")+COUNTIFS($D$5:$D$204,$A133,$C$5:$C$204,"Variation")=0,"",IF(COUNTIFS($D$5:$D$204,$A133,$C$5:$C$204,"Activity")+COUNTIFS($D$5:$D$204,$A133,$C$5:$C$204,"Variation")&lt;&gt;COUNTIFS($D$5:$D$204,$A133,$C$5:$C$204,"Activity",$J$5:$J$204,"&lt;&gt;",$J$5:$J$204,"&gt;=0",$J$5:$J$204,"&lt;=1")+COUNTIFS($D$5:$D$204,$A133,$C$5:$C$204,"Variation",$J$5:$J$204,"&lt;&gt;",$J$5:$J$204,"&gt;=0",$J$5:$J$204,"&lt;=1"),"",(SUMIFS($J$5:$J$204,$D$5:$D$204,$A133,$C$5:$C$204,"Activity")+SUMIFS($J$5:$J$204,$D$5:$D$204,$A133,$C$5:$C$204,"Variation"))/(COUNTIFS($D$5:$D$204,$A133,$C$5:$C$204,"Activity")+COUNTIFS($D$5:$D$204,$A133,$C$5:$C$204,"Variation")))),IF(OR($C133="Activity",$C133="Variation"),IF(AND(ISNUMBER($J133),$J133&gt;=0,$J133&lt;=1),$J133,""),""))))</x:f>
      </x:c>
      <x:c r="M133" s="7" t="str">
        <x:f t="shared" si="4">IF(OR($K133="",$L133=""),"",$L133-$K133)</x:f>
      </x:c>
      <x:c r="N133" s="6" t="str">
        <x:f>IF(OR($B133="",$I133="",$L133=""),"",IF(AND($L133&lt;1,$I133&lt;TODAY()),"Late",IF(AND($H133&lt;&gt;"",$I133&gt;$H133),"Forecast Slip","On Plan")))</x:f>
      </x:c>
      <x:c r="O133" s="19"/>
      <x:c r="P133" s="6" t="str">
        <x:f t="shared" si="5">IF($B133="","",IF($A133="","Enter item ID",IF(COUNTIF($A$5:$A$204,$A133)&gt;1,"Duplicate item ID",IF($C133="Initiative",IF($D133&lt;&gt;"","Parent must be blank",IF(COUNTIFS($B$5:$B$204,$B133,$C$5:$C$204,"Initiative")&lt;&gt;1,"One Initiative row required",IF(COUNTIFS($D$5:$D$204,$A133,$C$5:$C$204,"Milestone")=0,"Add milestone","OK"))),IF($C133="Milestone",IF(COUNTIFS($A$5:$A$204,$D133,$B$5:$B$204,$B133,$C$5:$C$204,"Initiative")&lt;&gt;1,"Parent must be Initiative",IF(COUNTIFS($D$5:$D$204,$A133,$C$5:$C$204,"Activity")+COUNTIFS($D$5:$D$204,$A133,$C$5:$C$204,"Variation")=0,"Add activity or variation","OK")),IF(OR($C133="Activity",$C133="Variation"),IF(COUNTIFS($A$5:$A$204,$D133,$B$5:$B$204,$B133,$C$5:$C$204,"Milestone")&lt;&gt;1,"Parent must be Milestone",IF(OR($G133="",$H133=""),"Enter baseline dates",IF($H133&lt;$G133,"Baseline finish before start",IF($I133="","Enter forecast finish",IF(COUNT($J133)=0,"Enter actual %",IF(OR(NOT(ISNUMBER($J133)),$J133&lt;0,$J133&gt;1),"Actual % must be 0–100%","OK")))))),"Select level"))))))</x:f>
      </x:c>
    </x:row>
    <x:row r="134">
      <x:c r="A134" s="66" t="str" cm="1">
        <x:f t="array" ref="A134">IF(OR(B134="",C134=""),"",IF(C134="Initiative",COUNTIF($C$5:C134,"Initiative"),IF(C134="Milestone",IF(D134="","",D134&amp;"."&amp;COUNTIFS($D$5:D134,D134,$C$5:C134,"Milestone")),IF(OR(C134="Activity",C134="Variation"),IF(D134="","",D134&amp;"."&amp;(COUNTIFS($D$5:D134,D134,$C$5:C134,"Activity")+COUNTIFS($D$5:D134,D134,$C$5:C134,"Variation"))),""))))</x:f>
      </x:c>
      <x:c r="B134" s="19"/>
      <x:c r="C134" s="19"/>
      <x:c r="D134" s="20"/>
      <x:c r="E134" s="21"/>
      <x:c r="F134" s="21"/>
      <x:c r="G134" s="102"/>
      <x:c r="H134" s="102"/>
      <x:c r="I134" s="102"/>
      <x:c r="J134" s="100"/>
      <x:c r="K134" s="7" t="str">
        <x:f>IF($B134="","",IF($C134="Initiative",IF(COUNTIFS($B$135:$B$204,$B134,$C$135:$C$204,"Activity")+COUNTIFS($B$135:$B$204,$B134,$C$135:$C$204,"Variation")=0,"",IF(COUNTIFS($B$135:$B$204,$B134,$C$135:$C$204,"Activity")+COUNTIFS($B$135:$B$204,$B134,$C$135:$C$204,"Variation")&lt;&gt;COUNTIFS($B$135:$B$204,$B134,$C$135:$C$204,"Activity",$G$135:$G$204,"&lt;&gt;",$H$135:$H$204,"&lt;&gt;")+COUNTIFS($B$135:$B$204,$B134,$C$135:$C$204,"Variation",$G$135:$G$204,"&lt;&gt;",$H$135:$H$204,"&lt;&gt;"),"",(SUMIFS($K$135:$K$204,$B$135:$B$204,$B134,$C$135:$C$204,"Activity")+SUMIFS($K$135:$K$204,$B$135:$B$204,$B134,$C$135:$C$204,"Variation"))/(COUNTIFS($B$135:$B$204,$B134,$C$135:$C$204,"Activity")+COUNTIFS($B$135:$B$204,$B134,$C$135:$C$204,"Variation")))),IF($C134="Milestone",IF(COUNTIFS($D$135:$D$204,$A134,$C$135:$C$204,"Activity")+COUNTIFS($D$135:$D$204,$A134,$C$135:$C$204,"Variation")=0,"",IF(COUNTIFS($D$135:$D$204,$A134,$C$135:$C$204,"Activity")+COUNTIFS($D$135:$D$204,$A134,$C$135:$C$204,"Variation")&lt;&gt;COUNTIFS($D$135:$D$204,$A134,$C$135:$C$204,"Activity",$G$135:$G$204,"&lt;&gt;",$H$135:$H$204,"&lt;&gt;")+COUNTIFS($D$135:$D$204,$A134,$C$135:$C$204,"Variation",$G$135:$G$204,"&lt;&gt;",$H$135:$H$204,"&lt;&gt;"),"",(SUMIFS($K$135:$K$204,$D$135:$D$204,$A134,$C$135:$C$204,"Activity")+SUMIFS($K$135:$K$204,$D$135:$D$204,$A134,$C$135:$C$204,"Variation"))/(COUNTIFS($D$135:$D$204,$A134,$C$135:$C$204,"Activity")+COUNTIFS($D$135:$D$204,$A134,$C$135:$C$204,"Variation")))),IF(OR($C134="Activity",$C134="Variation"),IF(OR($G134="",$H134=""),"",IF($H134&lt;$G134,"",IF($H134=$G134,--(TODAY()&gt;=$H134),MAX(0,MIN(1,(TODAY()-$G134)/($H134-$G134)))))),""))))</x:f>
      </x:c>
      <x:c r="L134" s="7" t="str">
        <x:f t="shared" si="6">IF($B134="","",IF($C134="Initiative",IF(COUNTIFS($B$5:$B$204,$B134,$C$5:$C$204,"Activity")+COUNTIFS($B$5:$B$204,$B134,$C$5:$C$204,"Variation")=0,"",IF(COUNTIFS($B$5:$B$204,$B134,$C$5:$C$204,"Activity")+COUNTIFS($B$5:$B$204,$B134,$C$5:$C$204,"Variation")&lt;&gt;COUNTIFS($B$5:$B$204,$B134,$C$5:$C$204,"Activity",$J$5:$J$204,"&lt;&gt;",$J$5:$J$204,"&gt;=0",$J$5:$J$204,"&lt;=1")+COUNTIFS($B$5:$B$204,$B134,$C$5:$C$204,"Variation",$J$5:$J$204,"&lt;&gt;",$J$5:$J$204,"&gt;=0",$J$5:$J$204,"&lt;=1"),"",(SUMIFS($J$5:$J$204,$B$5:$B$204,$B134,$C$5:$C$204,"Activity")+SUMIFS($J$5:$J$204,$B$5:$B$204,$B134,$C$5:$C$204,"Variation"))/(COUNTIFS($B$5:$B$204,$B134,$C$5:$C$204,"Activity")+COUNTIFS($B$5:$B$204,$B134,$C$5:$C$204,"Variation")))),IF($C134="Milestone",IF(COUNTIFS($D$5:$D$204,$A134,$C$5:$C$204,"Activity")+COUNTIFS($D$5:$D$204,$A134,$C$5:$C$204,"Variation")=0,"",IF(COUNTIFS($D$5:$D$204,$A134,$C$5:$C$204,"Activity")+COUNTIFS($D$5:$D$204,$A134,$C$5:$C$204,"Variation")&lt;&gt;COUNTIFS($D$5:$D$204,$A134,$C$5:$C$204,"Activity",$J$5:$J$204,"&lt;&gt;",$J$5:$J$204,"&gt;=0",$J$5:$J$204,"&lt;=1")+COUNTIFS($D$5:$D$204,$A134,$C$5:$C$204,"Variation",$J$5:$J$204,"&lt;&gt;",$J$5:$J$204,"&gt;=0",$J$5:$J$204,"&lt;=1"),"",(SUMIFS($J$5:$J$204,$D$5:$D$204,$A134,$C$5:$C$204,"Activity")+SUMIFS($J$5:$J$204,$D$5:$D$204,$A134,$C$5:$C$204,"Variation"))/(COUNTIFS($D$5:$D$204,$A134,$C$5:$C$204,"Activity")+COUNTIFS($D$5:$D$204,$A134,$C$5:$C$204,"Variation")))),IF(OR($C134="Activity",$C134="Variation"),IF(AND(ISNUMBER($J134),$J134&gt;=0,$J134&lt;=1),$J134,""),""))))</x:f>
      </x:c>
      <x:c r="M134" s="7" t="str">
        <x:f t="shared" ref="M134:M197" si="7">IF(OR($K134="",$L134=""),"",$L134-$K134)</x:f>
      </x:c>
      <x:c r="N134" s="6" t="str">
        <x:f>IF(OR($B134="",$I134="",$L134=""),"",IF(AND($L134&lt;1,$I134&lt;TODAY()),"Late",IF(AND($H134&lt;&gt;"",$I134&gt;$H134),"Forecast Slip","On Plan")))</x:f>
      </x:c>
      <x:c r="O134" s="19"/>
      <x:c r="P134" s="6" t="str">
        <x:f t="shared" ref="P134:P197" si="8">IF($B134="","",IF($A134="","Enter item ID",IF(COUNTIF($A$5:$A$204,$A134)&gt;1,"Duplicate item ID",IF($C134="Initiative",IF($D134&lt;&gt;"","Parent must be blank",IF(COUNTIFS($B$5:$B$204,$B134,$C$5:$C$204,"Initiative")&lt;&gt;1,"One Initiative row required",IF(COUNTIFS($D$5:$D$204,$A134,$C$5:$C$204,"Milestone")=0,"Add milestone","OK"))),IF($C134="Milestone",IF(COUNTIFS($A$5:$A$204,$D134,$B$5:$B$204,$B134,$C$5:$C$204,"Initiative")&lt;&gt;1,"Parent must be Initiative",IF(COUNTIFS($D$5:$D$204,$A134,$C$5:$C$204,"Activity")+COUNTIFS($D$5:$D$204,$A134,$C$5:$C$204,"Variation")=0,"Add activity or variation","OK")),IF(OR($C134="Activity",$C134="Variation"),IF(COUNTIFS($A$5:$A$204,$D134,$B$5:$B$204,$B134,$C$5:$C$204,"Milestone")&lt;&gt;1,"Parent must be Milestone",IF(OR($G134="",$H134=""),"Enter baseline dates",IF($H134&lt;$G134,"Baseline finish before start",IF($I134="","Enter forecast finish",IF(COUNT($J134)=0,"Enter actual %",IF(OR(NOT(ISNUMBER($J134)),$J134&lt;0,$J134&gt;1),"Actual % must be 0–100%","OK")))))),"Select level"))))))</x:f>
      </x:c>
    </x:row>
    <x:row r="135">
      <x:c r="A135" s="66" t="str" cm="1">
        <x:f t="array" ref="A135">IF(OR(B135="",C135=""),"",IF(C135="Initiative",COUNTIF($C$5:C135,"Initiative"),IF(C135="Milestone",IF(D135="","",D135&amp;"."&amp;COUNTIFS($D$5:D135,D135,$C$5:C135,"Milestone")),IF(OR(C135="Activity",C135="Variation"),IF(D135="","",D135&amp;"."&amp;(COUNTIFS($D$5:D135,D135,$C$5:C135,"Activity")+COUNTIFS($D$5:D135,D135,$C$5:C135,"Variation"))),""))))</x:f>
      </x:c>
      <x:c r="B135" s="19"/>
      <x:c r="C135" s="19"/>
      <x:c r="D135" s="20"/>
      <x:c r="E135" s="21"/>
      <x:c r="F135" s="21"/>
      <x:c r="G135" s="102"/>
      <x:c r="H135" s="102"/>
      <x:c r="I135" s="102"/>
      <x:c r="J135" s="100"/>
      <x:c r="K135" s="7" t="str">
        <x:f>IF($B135="","",IF($C135="Initiative",IF(COUNTIFS($B$136:$B$204,$B135,$C$136:$C$204,"Activity")+COUNTIFS($B$136:$B$204,$B135,$C$136:$C$204,"Variation")=0,"",IF(COUNTIFS($B$136:$B$204,$B135,$C$136:$C$204,"Activity")+COUNTIFS($B$136:$B$204,$B135,$C$136:$C$204,"Variation")&lt;&gt;COUNTIFS($B$136:$B$204,$B135,$C$136:$C$204,"Activity",$G$136:$G$204,"&lt;&gt;",$H$136:$H$204,"&lt;&gt;")+COUNTIFS($B$136:$B$204,$B135,$C$136:$C$204,"Variation",$G$136:$G$204,"&lt;&gt;",$H$136:$H$204,"&lt;&gt;"),"",(SUMIFS($K$136:$K$204,$B$136:$B$204,$B135,$C$136:$C$204,"Activity")+SUMIFS($K$136:$K$204,$B$136:$B$204,$B135,$C$136:$C$204,"Variation"))/(COUNTIFS($B$136:$B$204,$B135,$C$136:$C$204,"Activity")+COUNTIFS($B$136:$B$204,$B135,$C$136:$C$204,"Variation")))),IF($C135="Milestone",IF(COUNTIFS($D$136:$D$204,$A135,$C$136:$C$204,"Activity")+COUNTIFS($D$136:$D$204,$A135,$C$136:$C$204,"Variation")=0,"",IF(COUNTIFS($D$136:$D$204,$A135,$C$136:$C$204,"Activity")+COUNTIFS($D$136:$D$204,$A135,$C$136:$C$204,"Variation")&lt;&gt;COUNTIFS($D$136:$D$204,$A135,$C$136:$C$204,"Activity",$G$136:$G$204,"&lt;&gt;",$H$136:$H$204,"&lt;&gt;")+COUNTIFS($D$136:$D$204,$A135,$C$136:$C$204,"Variation",$G$136:$G$204,"&lt;&gt;",$H$136:$H$204,"&lt;&gt;"),"",(SUMIFS($K$136:$K$204,$D$136:$D$204,$A135,$C$136:$C$204,"Activity")+SUMIFS($K$136:$K$204,$D$136:$D$204,$A135,$C$136:$C$204,"Variation"))/(COUNTIFS($D$136:$D$204,$A135,$C$136:$C$204,"Activity")+COUNTIFS($D$136:$D$204,$A135,$C$136:$C$204,"Variation")))),IF(OR($C135="Activity",$C135="Variation"),IF(OR($G135="",$H135=""),"",IF($H135&lt;$G135,"",IF($H135=$G135,--(TODAY()&gt;=$H135),MAX(0,MIN(1,(TODAY()-$G135)/($H135-$G135)))))),""))))</x:f>
      </x:c>
      <x:c r="L135" s="7" t="str">
        <x:f t="shared" si="6">IF($B135="","",IF($C135="Initiative",IF(COUNTIFS($B$5:$B$204,$B135,$C$5:$C$204,"Activity")+COUNTIFS($B$5:$B$204,$B135,$C$5:$C$204,"Variation")=0,"",IF(COUNTIFS($B$5:$B$204,$B135,$C$5:$C$204,"Activity")+COUNTIFS($B$5:$B$204,$B135,$C$5:$C$204,"Variation")&lt;&gt;COUNTIFS($B$5:$B$204,$B135,$C$5:$C$204,"Activity",$J$5:$J$204,"&lt;&gt;",$J$5:$J$204,"&gt;=0",$J$5:$J$204,"&lt;=1")+COUNTIFS($B$5:$B$204,$B135,$C$5:$C$204,"Variation",$J$5:$J$204,"&lt;&gt;",$J$5:$J$204,"&gt;=0",$J$5:$J$204,"&lt;=1"),"",(SUMIFS($J$5:$J$204,$B$5:$B$204,$B135,$C$5:$C$204,"Activity")+SUMIFS($J$5:$J$204,$B$5:$B$204,$B135,$C$5:$C$204,"Variation"))/(COUNTIFS($B$5:$B$204,$B135,$C$5:$C$204,"Activity")+COUNTIFS($B$5:$B$204,$B135,$C$5:$C$204,"Variation")))),IF($C135="Milestone",IF(COUNTIFS($D$5:$D$204,$A135,$C$5:$C$204,"Activity")+COUNTIFS($D$5:$D$204,$A135,$C$5:$C$204,"Variation")=0,"",IF(COUNTIFS($D$5:$D$204,$A135,$C$5:$C$204,"Activity")+COUNTIFS($D$5:$D$204,$A135,$C$5:$C$204,"Variation")&lt;&gt;COUNTIFS($D$5:$D$204,$A135,$C$5:$C$204,"Activity",$J$5:$J$204,"&lt;&gt;",$J$5:$J$204,"&gt;=0",$J$5:$J$204,"&lt;=1")+COUNTIFS($D$5:$D$204,$A135,$C$5:$C$204,"Variation",$J$5:$J$204,"&lt;&gt;",$J$5:$J$204,"&gt;=0",$J$5:$J$204,"&lt;=1"),"",(SUMIFS($J$5:$J$204,$D$5:$D$204,$A135,$C$5:$C$204,"Activity")+SUMIFS($J$5:$J$204,$D$5:$D$204,$A135,$C$5:$C$204,"Variation"))/(COUNTIFS($D$5:$D$204,$A135,$C$5:$C$204,"Activity")+COUNTIFS($D$5:$D$204,$A135,$C$5:$C$204,"Variation")))),IF(OR($C135="Activity",$C135="Variation"),IF(AND(ISNUMBER($J135),$J135&gt;=0,$J135&lt;=1),$J135,""),""))))</x:f>
      </x:c>
      <x:c r="M135" s="7" t="str">
        <x:f t="shared" si="7">IF(OR($K135="",$L135=""),"",$L135-$K135)</x:f>
      </x:c>
      <x:c r="N135" s="6" t="str">
        <x:f>IF(OR($B135="",$I135="",$L135=""),"",IF(AND($L135&lt;1,$I135&lt;TODAY()),"Late",IF(AND($H135&lt;&gt;"",$I135&gt;$H135),"Forecast Slip","On Plan")))</x:f>
      </x:c>
      <x:c r="O135" s="19"/>
      <x:c r="P135" s="6" t="str">
        <x:f t="shared" si="8">IF($B135="","",IF($A135="","Enter item ID",IF(COUNTIF($A$5:$A$204,$A135)&gt;1,"Duplicate item ID",IF($C135="Initiative",IF($D135&lt;&gt;"","Parent must be blank",IF(COUNTIFS($B$5:$B$204,$B135,$C$5:$C$204,"Initiative")&lt;&gt;1,"One Initiative row required",IF(COUNTIFS($D$5:$D$204,$A135,$C$5:$C$204,"Milestone")=0,"Add milestone","OK"))),IF($C135="Milestone",IF(COUNTIFS($A$5:$A$204,$D135,$B$5:$B$204,$B135,$C$5:$C$204,"Initiative")&lt;&gt;1,"Parent must be Initiative",IF(COUNTIFS($D$5:$D$204,$A135,$C$5:$C$204,"Activity")+COUNTIFS($D$5:$D$204,$A135,$C$5:$C$204,"Variation")=0,"Add activity or variation","OK")),IF(OR($C135="Activity",$C135="Variation"),IF(COUNTIFS($A$5:$A$204,$D135,$B$5:$B$204,$B135,$C$5:$C$204,"Milestone")&lt;&gt;1,"Parent must be Milestone",IF(OR($G135="",$H135=""),"Enter baseline dates",IF($H135&lt;$G135,"Baseline finish before start",IF($I135="","Enter forecast finish",IF(COUNT($J135)=0,"Enter actual %",IF(OR(NOT(ISNUMBER($J135)),$J135&lt;0,$J135&gt;1),"Actual % must be 0–100%","OK")))))),"Select level"))))))</x:f>
      </x:c>
    </x:row>
    <x:row r="136">
      <x:c r="A136" s="66" t="str" cm="1">
        <x:f t="array" ref="A136">IF(OR(B136="",C136=""),"",IF(C136="Initiative",COUNTIF($C$5:C136,"Initiative"),IF(C136="Milestone",IF(D136="","",D136&amp;"."&amp;COUNTIFS($D$5:D136,D136,$C$5:C136,"Milestone")),IF(OR(C136="Activity",C136="Variation"),IF(D136="","",D136&amp;"."&amp;(COUNTIFS($D$5:D136,D136,$C$5:C136,"Activity")+COUNTIFS($D$5:D136,D136,$C$5:C136,"Variation"))),""))))</x:f>
      </x:c>
      <x:c r="B136" s="19"/>
      <x:c r="C136" s="19"/>
      <x:c r="D136" s="20"/>
      <x:c r="E136" s="21"/>
      <x:c r="F136" s="21"/>
      <x:c r="G136" s="102"/>
      <x:c r="H136" s="102"/>
      <x:c r="I136" s="102"/>
      <x:c r="J136" s="100"/>
      <x:c r="K136" s="7" t="str">
        <x:f>IF($B136="","",IF($C136="Initiative",IF(COUNTIFS($B$137:$B$204,$B136,$C$137:$C$204,"Activity")+COUNTIFS($B$137:$B$204,$B136,$C$137:$C$204,"Variation")=0,"",IF(COUNTIFS($B$137:$B$204,$B136,$C$137:$C$204,"Activity")+COUNTIFS($B$137:$B$204,$B136,$C$137:$C$204,"Variation")&lt;&gt;COUNTIFS($B$137:$B$204,$B136,$C$137:$C$204,"Activity",$G$137:$G$204,"&lt;&gt;",$H$137:$H$204,"&lt;&gt;")+COUNTIFS($B$137:$B$204,$B136,$C$137:$C$204,"Variation",$G$137:$G$204,"&lt;&gt;",$H$137:$H$204,"&lt;&gt;"),"",(SUMIFS($K$137:$K$204,$B$137:$B$204,$B136,$C$137:$C$204,"Activity")+SUMIFS($K$137:$K$204,$B$137:$B$204,$B136,$C$137:$C$204,"Variation"))/(COUNTIFS($B$137:$B$204,$B136,$C$137:$C$204,"Activity")+COUNTIFS($B$137:$B$204,$B136,$C$137:$C$204,"Variation")))),IF($C136="Milestone",IF(COUNTIFS($D$137:$D$204,$A136,$C$137:$C$204,"Activity")+COUNTIFS($D$137:$D$204,$A136,$C$137:$C$204,"Variation")=0,"",IF(COUNTIFS($D$137:$D$204,$A136,$C$137:$C$204,"Activity")+COUNTIFS($D$137:$D$204,$A136,$C$137:$C$204,"Variation")&lt;&gt;COUNTIFS($D$137:$D$204,$A136,$C$137:$C$204,"Activity",$G$137:$G$204,"&lt;&gt;",$H$137:$H$204,"&lt;&gt;")+COUNTIFS($D$137:$D$204,$A136,$C$137:$C$204,"Variation",$G$137:$G$204,"&lt;&gt;",$H$137:$H$204,"&lt;&gt;"),"",(SUMIFS($K$137:$K$204,$D$137:$D$204,$A136,$C$137:$C$204,"Activity")+SUMIFS($K$137:$K$204,$D$137:$D$204,$A136,$C$137:$C$204,"Variation"))/(COUNTIFS($D$137:$D$204,$A136,$C$137:$C$204,"Activity")+COUNTIFS($D$137:$D$204,$A136,$C$137:$C$204,"Variation")))),IF(OR($C136="Activity",$C136="Variation"),IF(OR($G136="",$H136=""),"",IF($H136&lt;$G136,"",IF($H136=$G136,--(TODAY()&gt;=$H136),MAX(0,MIN(1,(TODAY()-$G136)/($H136-$G136)))))),""))))</x:f>
      </x:c>
      <x:c r="L136" s="7" t="str">
        <x:f t="shared" si="6">IF($B136="","",IF($C136="Initiative",IF(COUNTIFS($B$5:$B$204,$B136,$C$5:$C$204,"Activity")+COUNTIFS($B$5:$B$204,$B136,$C$5:$C$204,"Variation")=0,"",IF(COUNTIFS($B$5:$B$204,$B136,$C$5:$C$204,"Activity")+COUNTIFS($B$5:$B$204,$B136,$C$5:$C$204,"Variation")&lt;&gt;COUNTIFS($B$5:$B$204,$B136,$C$5:$C$204,"Activity",$J$5:$J$204,"&lt;&gt;",$J$5:$J$204,"&gt;=0",$J$5:$J$204,"&lt;=1")+COUNTIFS($B$5:$B$204,$B136,$C$5:$C$204,"Variation",$J$5:$J$204,"&lt;&gt;",$J$5:$J$204,"&gt;=0",$J$5:$J$204,"&lt;=1"),"",(SUMIFS($J$5:$J$204,$B$5:$B$204,$B136,$C$5:$C$204,"Activity")+SUMIFS($J$5:$J$204,$B$5:$B$204,$B136,$C$5:$C$204,"Variation"))/(COUNTIFS($B$5:$B$204,$B136,$C$5:$C$204,"Activity")+COUNTIFS($B$5:$B$204,$B136,$C$5:$C$204,"Variation")))),IF($C136="Milestone",IF(COUNTIFS($D$5:$D$204,$A136,$C$5:$C$204,"Activity")+COUNTIFS($D$5:$D$204,$A136,$C$5:$C$204,"Variation")=0,"",IF(COUNTIFS($D$5:$D$204,$A136,$C$5:$C$204,"Activity")+COUNTIFS($D$5:$D$204,$A136,$C$5:$C$204,"Variation")&lt;&gt;COUNTIFS($D$5:$D$204,$A136,$C$5:$C$204,"Activity",$J$5:$J$204,"&lt;&gt;",$J$5:$J$204,"&gt;=0",$J$5:$J$204,"&lt;=1")+COUNTIFS($D$5:$D$204,$A136,$C$5:$C$204,"Variation",$J$5:$J$204,"&lt;&gt;",$J$5:$J$204,"&gt;=0",$J$5:$J$204,"&lt;=1"),"",(SUMIFS($J$5:$J$204,$D$5:$D$204,$A136,$C$5:$C$204,"Activity")+SUMIFS($J$5:$J$204,$D$5:$D$204,$A136,$C$5:$C$204,"Variation"))/(COUNTIFS($D$5:$D$204,$A136,$C$5:$C$204,"Activity")+COUNTIFS($D$5:$D$204,$A136,$C$5:$C$204,"Variation")))),IF(OR($C136="Activity",$C136="Variation"),IF(AND(ISNUMBER($J136),$J136&gt;=0,$J136&lt;=1),$J136,""),""))))</x:f>
      </x:c>
      <x:c r="M136" s="7" t="str">
        <x:f t="shared" si="7">IF(OR($K136="",$L136=""),"",$L136-$K136)</x:f>
      </x:c>
      <x:c r="N136" s="6" t="str">
        <x:f>IF(OR($B136="",$I136="",$L136=""),"",IF(AND($L136&lt;1,$I136&lt;TODAY()),"Late",IF(AND($H136&lt;&gt;"",$I136&gt;$H136),"Forecast Slip","On Plan")))</x:f>
      </x:c>
      <x:c r="O136" s="19"/>
      <x:c r="P136" s="6" t="str">
        <x:f t="shared" si="8">IF($B136="","",IF($A136="","Enter item ID",IF(COUNTIF($A$5:$A$204,$A136)&gt;1,"Duplicate item ID",IF($C136="Initiative",IF($D136&lt;&gt;"","Parent must be blank",IF(COUNTIFS($B$5:$B$204,$B136,$C$5:$C$204,"Initiative")&lt;&gt;1,"One Initiative row required",IF(COUNTIFS($D$5:$D$204,$A136,$C$5:$C$204,"Milestone")=0,"Add milestone","OK"))),IF($C136="Milestone",IF(COUNTIFS($A$5:$A$204,$D136,$B$5:$B$204,$B136,$C$5:$C$204,"Initiative")&lt;&gt;1,"Parent must be Initiative",IF(COUNTIFS($D$5:$D$204,$A136,$C$5:$C$204,"Activity")+COUNTIFS($D$5:$D$204,$A136,$C$5:$C$204,"Variation")=0,"Add activity or variation","OK")),IF(OR($C136="Activity",$C136="Variation"),IF(COUNTIFS($A$5:$A$204,$D136,$B$5:$B$204,$B136,$C$5:$C$204,"Milestone")&lt;&gt;1,"Parent must be Milestone",IF(OR($G136="",$H136=""),"Enter baseline dates",IF($H136&lt;$G136,"Baseline finish before start",IF($I136="","Enter forecast finish",IF(COUNT($J136)=0,"Enter actual %",IF(OR(NOT(ISNUMBER($J136)),$J136&lt;0,$J136&gt;1),"Actual % must be 0–100%","OK")))))),"Select level"))))))</x:f>
      </x:c>
    </x:row>
    <x:row r="137">
      <x:c r="A137" s="66" t="str" cm="1">
        <x:f t="array" ref="A137">IF(OR(B137="",C137=""),"",IF(C137="Initiative",COUNTIF($C$5:C137,"Initiative"),IF(C137="Milestone",IF(D137="","",D137&amp;"."&amp;COUNTIFS($D$5:D137,D137,$C$5:C137,"Milestone")),IF(OR(C137="Activity",C137="Variation"),IF(D137="","",D137&amp;"."&amp;(COUNTIFS($D$5:D137,D137,$C$5:C137,"Activity")+COUNTIFS($D$5:D137,D137,$C$5:C137,"Variation"))),""))))</x:f>
      </x:c>
      <x:c r="B137" s="19"/>
      <x:c r="C137" s="19"/>
      <x:c r="D137" s="20"/>
      <x:c r="E137" s="21"/>
      <x:c r="F137" s="21"/>
      <x:c r="G137" s="102"/>
      <x:c r="H137" s="102"/>
      <x:c r="I137" s="102"/>
      <x:c r="J137" s="100"/>
      <x:c r="K137" s="7" t="str">
        <x:f>IF($B137="","",IF($C137="Initiative",IF(COUNTIFS($B$138:$B$204,$B137,$C$138:$C$204,"Activity")+COUNTIFS($B$138:$B$204,$B137,$C$138:$C$204,"Variation")=0,"",IF(COUNTIFS($B$138:$B$204,$B137,$C$138:$C$204,"Activity")+COUNTIFS($B$138:$B$204,$B137,$C$138:$C$204,"Variation")&lt;&gt;COUNTIFS($B$138:$B$204,$B137,$C$138:$C$204,"Activity",$G$138:$G$204,"&lt;&gt;",$H$138:$H$204,"&lt;&gt;")+COUNTIFS($B$138:$B$204,$B137,$C$138:$C$204,"Variation",$G$138:$G$204,"&lt;&gt;",$H$138:$H$204,"&lt;&gt;"),"",(SUMIFS($K$138:$K$204,$B$138:$B$204,$B137,$C$138:$C$204,"Activity")+SUMIFS($K$138:$K$204,$B$138:$B$204,$B137,$C$138:$C$204,"Variation"))/(COUNTIFS($B$138:$B$204,$B137,$C$138:$C$204,"Activity")+COUNTIFS($B$138:$B$204,$B137,$C$138:$C$204,"Variation")))),IF($C137="Milestone",IF(COUNTIFS($D$138:$D$204,$A137,$C$138:$C$204,"Activity")+COUNTIFS($D$138:$D$204,$A137,$C$138:$C$204,"Variation")=0,"",IF(COUNTIFS($D$138:$D$204,$A137,$C$138:$C$204,"Activity")+COUNTIFS($D$138:$D$204,$A137,$C$138:$C$204,"Variation")&lt;&gt;COUNTIFS($D$138:$D$204,$A137,$C$138:$C$204,"Activity",$G$138:$G$204,"&lt;&gt;",$H$138:$H$204,"&lt;&gt;")+COUNTIFS($D$138:$D$204,$A137,$C$138:$C$204,"Variation",$G$138:$G$204,"&lt;&gt;",$H$138:$H$204,"&lt;&gt;"),"",(SUMIFS($K$138:$K$204,$D$138:$D$204,$A137,$C$138:$C$204,"Activity")+SUMIFS($K$138:$K$204,$D$138:$D$204,$A137,$C$138:$C$204,"Variation"))/(COUNTIFS($D$138:$D$204,$A137,$C$138:$C$204,"Activity")+COUNTIFS($D$138:$D$204,$A137,$C$138:$C$204,"Variation")))),IF(OR($C137="Activity",$C137="Variation"),IF(OR($G137="",$H137=""),"",IF($H137&lt;$G137,"",IF($H137=$G137,--(TODAY()&gt;=$H137),MAX(0,MIN(1,(TODAY()-$G137)/($H137-$G137)))))),""))))</x:f>
      </x:c>
      <x:c r="L137" s="7" t="str">
        <x:f t="shared" si="6">IF($B137="","",IF($C137="Initiative",IF(COUNTIFS($B$5:$B$204,$B137,$C$5:$C$204,"Activity")+COUNTIFS($B$5:$B$204,$B137,$C$5:$C$204,"Variation")=0,"",IF(COUNTIFS($B$5:$B$204,$B137,$C$5:$C$204,"Activity")+COUNTIFS($B$5:$B$204,$B137,$C$5:$C$204,"Variation")&lt;&gt;COUNTIFS($B$5:$B$204,$B137,$C$5:$C$204,"Activity",$J$5:$J$204,"&lt;&gt;",$J$5:$J$204,"&gt;=0",$J$5:$J$204,"&lt;=1")+COUNTIFS($B$5:$B$204,$B137,$C$5:$C$204,"Variation",$J$5:$J$204,"&lt;&gt;",$J$5:$J$204,"&gt;=0",$J$5:$J$204,"&lt;=1"),"",(SUMIFS($J$5:$J$204,$B$5:$B$204,$B137,$C$5:$C$204,"Activity")+SUMIFS($J$5:$J$204,$B$5:$B$204,$B137,$C$5:$C$204,"Variation"))/(COUNTIFS($B$5:$B$204,$B137,$C$5:$C$204,"Activity")+COUNTIFS($B$5:$B$204,$B137,$C$5:$C$204,"Variation")))),IF($C137="Milestone",IF(COUNTIFS($D$5:$D$204,$A137,$C$5:$C$204,"Activity")+COUNTIFS($D$5:$D$204,$A137,$C$5:$C$204,"Variation")=0,"",IF(COUNTIFS($D$5:$D$204,$A137,$C$5:$C$204,"Activity")+COUNTIFS($D$5:$D$204,$A137,$C$5:$C$204,"Variation")&lt;&gt;COUNTIFS($D$5:$D$204,$A137,$C$5:$C$204,"Activity",$J$5:$J$204,"&lt;&gt;",$J$5:$J$204,"&gt;=0",$J$5:$J$204,"&lt;=1")+COUNTIFS($D$5:$D$204,$A137,$C$5:$C$204,"Variation",$J$5:$J$204,"&lt;&gt;",$J$5:$J$204,"&gt;=0",$J$5:$J$204,"&lt;=1"),"",(SUMIFS($J$5:$J$204,$D$5:$D$204,$A137,$C$5:$C$204,"Activity")+SUMIFS($J$5:$J$204,$D$5:$D$204,$A137,$C$5:$C$204,"Variation"))/(COUNTIFS($D$5:$D$204,$A137,$C$5:$C$204,"Activity")+COUNTIFS($D$5:$D$204,$A137,$C$5:$C$204,"Variation")))),IF(OR($C137="Activity",$C137="Variation"),IF(AND(ISNUMBER($J137),$J137&gt;=0,$J137&lt;=1),$J137,""),""))))</x:f>
      </x:c>
      <x:c r="M137" s="7" t="str">
        <x:f t="shared" si="7">IF(OR($K137="",$L137=""),"",$L137-$K137)</x:f>
      </x:c>
      <x:c r="N137" s="6" t="str">
        <x:f>IF(OR($B137="",$I137="",$L137=""),"",IF(AND($L137&lt;1,$I137&lt;TODAY()),"Late",IF(AND($H137&lt;&gt;"",$I137&gt;$H137),"Forecast Slip","On Plan")))</x:f>
      </x:c>
      <x:c r="O137" s="19"/>
      <x:c r="P137" s="6" t="str">
        <x:f t="shared" si="8">IF($B137="","",IF($A137="","Enter item ID",IF(COUNTIF($A$5:$A$204,$A137)&gt;1,"Duplicate item ID",IF($C137="Initiative",IF($D137&lt;&gt;"","Parent must be blank",IF(COUNTIFS($B$5:$B$204,$B137,$C$5:$C$204,"Initiative")&lt;&gt;1,"One Initiative row required",IF(COUNTIFS($D$5:$D$204,$A137,$C$5:$C$204,"Milestone")=0,"Add milestone","OK"))),IF($C137="Milestone",IF(COUNTIFS($A$5:$A$204,$D137,$B$5:$B$204,$B137,$C$5:$C$204,"Initiative")&lt;&gt;1,"Parent must be Initiative",IF(COUNTIFS($D$5:$D$204,$A137,$C$5:$C$204,"Activity")+COUNTIFS($D$5:$D$204,$A137,$C$5:$C$204,"Variation")=0,"Add activity or variation","OK")),IF(OR($C137="Activity",$C137="Variation"),IF(COUNTIFS($A$5:$A$204,$D137,$B$5:$B$204,$B137,$C$5:$C$204,"Milestone")&lt;&gt;1,"Parent must be Milestone",IF(OR($G137="",$H137=""),"Enter baseline dates",IF($H137&lt;$G137,"Baseline finish before start",IF($I137="","Enter forecast finish",IF(COUNT($J137)=0,"Enter actual %",IF(OR(NOT(ISNUMBER($J137)),$J137&lt;0,$J137&gt;1),"Actual % must be 0–100%","OK")))))),"Select level"))))))</x:f>
      </x:c>
    </x:row>
    <x:row r="138">
      <x:c r="A138" s="66" t="str" cm="1">
        <x:f t="array" ref="A138">IF(OR(B138="",C138=""),"",IF(C138="Initiative",COUNTIF($C$5:C138,"Initiative"),IF(C138="Milestone",IF(D138="","",D138&amp;"."&amp;COUNTIFS($D$5:D138,D138,$C$5:C138,"Milestone")),IF(OR(C138="Activity",C138="Variation"),IF(D138="","",D138&amp;"."&amp;(COUNTIFS($D$5:D138,D138,$C$5:C138,"Activity")+COUNTIFS($D$5:D138,D138,$C$5:C138,"Variation"))),""))))</x:f>
      </x:c>
      <x:c r="B138" s="19"/>
      <x:c r="C138" s="19"/>
      <x:c r="D138" s="20"/>
      <x:c r="E138" s="21"/>
      <x:c r="F138" s="21"/>
      <x:c r="G138" s="102"/>
      <x:c r="H138" s="102"/>
      <x:c r="I138" s="102"/>
      <x:c r="J138" s="100"/>
      <x:c r="K138" s="7" t="str">
        <x:f>IF($B138="","",IF($C138="Initiative",IF(COUNTIFS($B$139:$B$204,$B138,$C$139:$C$204,"Activity")+COUNTIFS($B$139:$B$204,$B138,$C$139:$C$204,"Variation")=0,"",IF(COUNTIFS($B$139:$B$204,$B138,$C$139:$C$204,"Activity")+COUNTIFS($B$139:$B$204,$B138,$C$139:$C$204,"Variation")&lt;&gt;COUNTIFS($B$139:$B$204,$B138,$C$139:$C$204,"Activity",$G$139:$G$204,"&lt;&gt;",$H$139:$H$204,"&lt;&gt;")+COUNTIFS($B$139:$B$204,$B138,$C$139:$C$204,"Variation",$G$139:$G$204,"&lt;&gt;",$H$139:$H$204,"&lt;&gt;"),"",(SUMIFS($K$139:$K$204,$B$139:$B$204,$B138,$C$139:$C$204,"Activity")+SUMIFS($K$139:$K$204,$B$139:$B$204,$B138,$C$139:$C$204,"Variation"))/(COUNTIFS($B$139:$B$204,$B138,$C$139:$C$204,"Activity")+COUNTIFS($B$139:$B$204,$B138,$C$139:$C$204,"Variation")))),IF($C138="Milestone",IF(COUNTIFS($D$139:$D$204,$A138,$C$139:$C$204,"Activity")+COUNTIFS($D$139:$D$204,$A138,$C$139:$C$204,"Variation")=0,"",IF(COUNTIFS($D$139:$D$204,$A138,$C$139:$C$204,"Activity")+COUNTIFS($D$139:$D$204,$A138,$C$139:$C$204,"Variation")&lt;&gt;COUNTIFS($D$139:$D$204,$A138,$C$139:$C$204,"Activity",$G$139:$G$204,"&lt;&gt;",$H$139:$H$204,"&lt;&gt;")+COUNTIFS($D$139:$D$204,$A138,$C$139:$C$204,"Variation",$G$139:$G$204,"&lt;&gt;",$H$139:$H$204,"&lt;&gt;"),"",(SUMIFS($K$139:$K$204,$D$139:$D$204,$A138,$C$139:$C$204,"Activity")+SUMIFS($K$139:$K$204,$D$139:$D$204,$A138,$C$139:$C$204,"Variation"))/(COUNTIFS($D$139:$D$204,$A138,$C$139:$C$204,"Activity")+COUNTIFS($D$139:$D$204,$A138,$C$139:$C$204,"Variation")))),IF(OR($C138="Activity",$C138="Variation"),IF(OR($G138="",$H138=""),"",IF($H138&lt;$G138,"",IF($H138=$G138,--(TODAY()&gt;=$H138),MAX(0,MIN(1,(TODAY()-$G138)/($H138-$G138)))))),""))))</x:f>
      </x:c>
      <x:c r="L138" s="7" t="str">
        <x:f t="shared" si="6">IF($B138="","",IF($C138="Initiative",IF(COUNTIFS($B$5:$B$204,$B138,$C$5:$C$204,"Activity")+COUNTIFS($B$5:$B$204,$B138,$C$5:$C$204,"Variation")=0,"",IF(COUNTIFS($B$5:$B$204,$B138,$C$5:$C$204,"Activity")+COUNTIFS($B$5:$B$204,$B138,$C$5:$C$204,"Variation")&lt;&gt;COUNTIFS($B$5:$B$204,$B138,$C$5:$C$204,"Activity",$J$5:$J$204,"&lt;&gt;",$J$5:$J$204,"&gt;=0",$J$5:$J$204,"&lt;=1")+COUNTIFS($B$5:$B$204,$B138,$C$5:$C$204,"Variation",$J$5:$J$204,"&lt;&gt;",$J$5:$J$204,"&gt;=0",$J$5:$J$204,"&lt;=1"),"",(SUMIFS($J$5:$J$204,$B$5:$B$204,$B138,$C$5:$C$204,"Activity")+SUMIFS($J$5:$J$204,$B$5:$B$204,$B138,$C$5:$C$204,"Variation"))/(COUNTIFS($B$5:$B$204,$B138,$C$5:$C$204,"Activity")+COUNTIFS($B$5:$B$204,$B138,$C$5:$C$204,"Variation")))),IF($C138="Milestone",IF(COUNTIFS($D$5:$D$204,$A138,$C$5:$C$204,"Activity")+COUNTIFS($D$5:$D$204,$A138,$C$5:$C$204,"Variation")=0,"",IF(COUNTIFS($D$5:$D$204,$A138,$C$5:$C$204,"Activity")+COUNTIFS($D$5:$D$204,$A138,$C$5:$C$204,"Variation")&lt;&gt;COUNTIFS($D$5:$D$204,$A138,$C$5:$C$204,"Activity",$J$5:$J$204,"&lt;&gt;",$J$5:$J$204,"&gt;=0",$J$5:$J$204,"&lt;=1")+COUNTIFS($D$5:$D$204,$A138,$C$5:$C$204,"Variation",$J$5:$J$204,"&lt;&gt;",$J$5:$J$204,"&gt;=0",$J$5:$J$204,"&lt;=1"),"",(SUMIFS($J$5:$J$204,$D$5:$D$204,$A138,$C$5:$C$204,"Activity")+SUMIFS($J$5:$J$204,$D$5:$D$204,$A138,$C$5:$C$204,"Variation"))/(COUNTIFS($D$5:$D$204,$A138,$C$5:$C$204,"Activity")+COUNTIFS($D$5:$D$204,$A138,$C$5:$C$204,"Variation")))),IF(OR($C138="Activity",$C138="Variation"),IF(AND(ISNUMBER($J138),$J138&gt;=0,$J138&lt;=1),$J138,""),""))))</x:f>
      </x:c>
      <x:c r="M138" s="7" t="str">
        <x:f t="shared" si="7">IF(OR($K138="",$L138=""),"",$L138-$K138)</x:f>
      </x:c>
      <x:c r="N138" s="6" t="str">
        <x:f>IF(OR($B138="",$I138="",$L138=""),"",IF(AND($L138&lt;1,$I138&lt;TODAY()),"Late",IF(AND($H138&lt;&gt;"",$I138&gt;$H138),"Forecast Slip","On Plan")))</x:f>
      </x:c>
      <x:c r="O138" s="19"/>
      <x:c r="P138" s="6" t="str">
        <x:f t="shared" si="8">IF($B138="","",IF($A138="","Enter item ID",IF(COUNTIF($A$5:$A$204,$A138)&gt;1,"Duplicate item ID",IF($C138="Initiative",IF($D138&lt;&gt;"","Parent must be blank",IF(COUNTIFS($B$5:$B$204,$B138,$C$5:$C$204,"Initiative")&lt;&gt;1,"One Initiative row required",IF(COUNTIFS($D$5:$D$204,$A138,$C$5:$C$204,"Milestone")=0,"Add milestone","OK"))),IF($C138="Milestone",IF(COUNTIFS($A$5:$A$204,$D138,$B$5:$B$204,$B138,$C$5:$C$204,"Initiative")&lt;&gt;1,"Parent must be Initiative",IF(COUNTIFS($D$5:$D$204,$A138,$C$5:$C$204,"Activity")+COUNTIFS($D$5:$D$204,$A138,$C$5:$C$204,"Variation")=0,"Add activity or variation","OK")),IF(OR($C138="Activity",$C138="Variation"),IF(COUNTIFS($A$5:$A$204,$D138,$B$5:$B$204,$B138,$C$5:$C$204,"Milestone")&lt;&gt;1,"Parent must be Milestone",IF(OR($G138="",$H138=""),"Enter baseline dates",IF($H138&lt;$G138,"Baseline finish before start",IF($I138="","Enter forecast finish",IF(COUNT($J138)=0,"Enter actual %",IF(OR(NOT(ISNUMBER($J138)),$J138&lt;0,$J138&gt;1),"Actual % must be 0–100%","OK")))))),"Select level"))))))</x:f>
      </x:c>
    </x:row>
    <x:row r="139">
      <x:c r="A139" s="66" t="str" cm="1">
        <x:f t="array" ref="A139">IF(OR(B139="",C139=""),"",IF(C139="Initiative",COUNTIF($C$5:C139,"Initiative"),IF(C139="Milestone",IF(D139="","",D139&amp;"."&amp;COUNTIFS($D$5:D139,D139,$C$5:C139,"Milestone")),IF(OR(C139="Activity",C139="Variation"),IF(D139="","",D139&amp;"."&amp;(COUNTIFS($D$5:D139,D139,$C$5:C139,"Activity")+COUNTIFS($D$5:D139,D139,$C$5:C139,"Variation"))),""))))</x:f>
      </x:c>
      <x:c r="B139" s="19"/>
      <x:c r="C139" s="19"/>
      <x:c r="D139" s="20"/>
      <x:c r="E139" s="21"/>
      <x:c r="F139" s="21"/>
      <x:c r="G139" s="102"/>
      <x:c r="H139" s="102"/>
      <x:c r="I139" s="102"/>
      <x:c r="J139" s="100"/>
      <x:c r="K139" s="7" t="str">
        <x:f>IF($B139="","",IF($C139="Initiative",IF(COUNTIFS($B$140:$B$204,$B139,$C$140:$C$204,"Activity")+COUNTIFS($B$140:$B$204,$B139,$C$140:$C$204,"Variation")=0,"",IF(COUNTIFS($B$140:$B$204,$B139,$C$140:$C$204,"Activity")+COUNTIFS($B$140:$B$204,$B139,$C$140:$C$204,"Variation")&lt;&gt;COUNTIFS($B$140:$B$204,$B139,$C$140:$C$204,"Activity",$G$140:$G$204,"&lt;&gt;",$H$140:$H$204,"&lt;&gt;")+COUNTIFS($B$140:$B$204,$B139,$C$140:$C$204,"Variation",$G$140:$G$204,"&lt;&gt;",$H$140:$H$204,"&lt;&gt;"),"",(SUMIFS($K$140:$K$204,$B$140:$B$204,$B139,$C$140:$C$204,"Activity")+SUMIFS($K$140:$K$204,$B$140:$B$204,$B139,$C$140:$C$204,"Variation"))/(COUNTIFS($B$140:$B$204,$B139,$C$140:$C$204,"Activity")+COUNTIFS($B$140:$B$204,$B139,$C$140:$C$204,"Variation")))),IF($C139="Milestone",IF(COUNTIFS($D$140:$D$204,$A139,$C$140:$C$204,"Activity")+COUNTIFS($D$140:$D$204,$A139,$C$140:$C$204,"Variation")=0,"",IF(COUNTIFS($D$140:$D$204,$A139,$C$140:$C$204,"Activity")+COUNTIFS($D$140:$D$204,$A139,$C$140:$C$204,"Variation")&lt;&gt;COUNTIFS($D$140:$D$204,$A139,$C$140:$C$204,"Activity",$G$140:$G$204,"&lt;&gt;",$H$140:$H$204,"&lt;&gt;")+COUNTIFS($D$140:$D$204,$A139,$C$140:$C$204,"Variation",$G$140:$G$204,"&lt;&gt;",$H$140:$H$204,"&lt;&gt;"),"",(SUMIFS($K$140:$K$204,$D$140:$D$204,$A139,$C$140:$C$204,"Activity")+SUMIFS($K$140:$K$204,$D$140:$D$204,$A139,$C$140:$C$204,"Variation"))/(COUNTIFS($D$140:$D$204,$A139,$C$140:$C$204,"Activity")+COUNTIFS($D$140:$D$204,$A139,$C$140:$C$204,"Variation")))),IF(OR($C139="Activity",$C139="Variation"),IF(OR($G139="",$H139=""),"",IF($H139&lt;$G139,"",IF($H139=$G139,--(TODAY()&gt;=$H139),MAX(0,MIN(1,(TODAY()-$G139)/($H139-$G139)))))),""))))</x:f>
      </x:c>
      <x:c r="L139" s="7" t="str">
        <x:f t="shared" si="6">IF($B139="","",IF($C139="Initiative",IF(COUNTIFS($B$5:$B$204,$B139,$C$5:$C$204,"Activity")+COUNTIFS($B$5:$B$204,$B139,$C$5:$C$204,"Variation")=0,"",IF(COUNTIFS($B$5:$B$204,$B139,$C$5:$C$204,"Activity")+COUNTIFS($B$5:$B$204,$B139,$C$5:$C$204,"Variation")&lt;&gt;COUNTIFS($B$5:$B$204,$B139,$C$5:$C$204,"Activity",$J$5:$J$204,"&lt;&gt;",$J$5:$J$204,"&gt;=0",$J$5:$J$204,"&lt;=1")+COUNTIFS($B$5:$B$204,$B139,$C$5:$C$204,"Variation",$J$5:$J$204,"&lt;&gt;",$J$5:$J$204,"&gt;=0",$J$5:$J$204,"&lt;=1"),"",(SUMIFS($J$5:$J$204,$B$5:$B$204,$B139,$C$5:$C$204,"Activity")+SUMIFS($J$5:$J$204,$B$5:$B$204,$B139,$C$5:$C$204,"Variation"))/(COUNTIFS($B$5:$B$204,$B139,$C$5:$C$204,"Activity")+COUNTIFS($B$5:$B$204,$B139,$C$5:$C$204,"Variation")))),IF($C139="Milestone",IF(COUNTIFS($D$5:$D$204,$A139,$C$5:$C$204,"Activity")+COUNTIFS($D$5:$D$204,$A139,$C$5:$C$204,"Variation")=0,"",IF(COUNTIFS($D$5:$D$204,$A139,$C$5:$C$204,"Activity")+COUNTIFS($D$5:$D$204,$A139,$C$5:$C$204,"Variation")&lt;&gt;COUNTIFS($D$5:$D$204,$A139,$C$5:$C$204,"Activity",$J$5:$J$204,"&lt;&gt;",$J$5:$J$204,"&gt;=0",$J$5:$J$204,"&lt;=1")+COUNTIFS($D$5:$D$204,$A139,$C$5:$C$204,"Variation",$J$5:$J$204,"&lt;&gt;",$J$5:$J$204,"&gt;=0",$J$5:$J$204,"&lt;=1"),"",(SUMIFS($J$5:$J$204,$D$5:$D$204,$A139,$C$5:$C$204,"Activity")+SUMIFS($J$5:$J$204,$D$5:$D$204,$A139,$C$5:$C$204,"Variation"))/(COUNTIFS($D$5:$D$204,$A139,$C$5:$C$204,"Activity")+COUNTIFS($D$5:$D$204,$A139,$C$5:$C$204,"Variation")))),IF(OR($C139="Activity",$C139="Variation"),IF(AND(ISNUMBER($J139),$J139&gt;=0,$J139&lt;=1),$J139,""),""))))</x:f>
      </x:c>
      <x:c r="M139" s="7" t="str">
        <x:f t="shared" si="7">IF(OR($K139="",$L139=""),"",$L139-$K139)</x:f>
      </x:c>
      <x:c r="N139" s="6" t="str">
        <x:f>IF(OR($B139="",$I139="",$L139=""),"",IF(AND($L139&lt;1,$I139&lt;TODAY()),"Late",IF(AND($H139&lt;&gt;"",$I139&gt;$H139),"Forecast Slip","On Plan")))</x:f>
      </x:c>
      <x:c r="O139" s="19"/>
      <x:c r="P139" s="6" t="str">
        <x:f t="shared" si="8">IF($B139="","",IF($A139="","Enter item ID",IF(COUNTIF($A$5:$A$204,$A139)&gt;1,"Duplicate item ID",IF($C139="Initiative",IF($D139&lt;&gt;"","Parent must be blank",IF(COUNTIFS($B$5:$B$204,$B139,$C$5:$C$204,"Initiative")&lt;&gt;1,"One Initiative row required",IF(COUNTIFS($D$5:$D$204,$A139,$C$5:$C$204,"Milestone")=0,"Add milestone","OK"))),IF($C139="Milestone",IF(COUNTIFS($A$5:$A$204,$D139,$B$5:$B$204,$B139,$C$5:$C$204,"Initiative")&lt;&gt;1,"Parent must be Initiative",IF(COUNTIFS($D$5:$D$204,$A139,$C$5:$C$204,"Activity")+COUNTIFS($D$5:$D$204,$A139,$C$5:$C$204,"Variation")=0,"Add activity or variation","OK")),IF(OR($C139="Activity",$C139="Variation"),IF(COUNTIFS($A$5:$A$204,$D139,$B$5:$B$204,$B139,$C$5:$C$204,"Milestone")&lt;&gt;1,"Parent must be Milestone",IF(OR($G139="",$H139=""),"Enter baseline dates",IF($H139&lt;$G139,"Baseline finish before start",IF($I139="","Enter forecast finish",IF(COUNT($J139)=0,"Enter actual %",IF(OR(NOT(ISNUMBER($J139)),$J139&lt;0,$J139&gt;1),"Actual % must be 0–100%","OK")))))),"Select level"))))))</x:f>
      </x:c>
    </x:row>
    <x:row r="140">
      <x:c r="A140" s="66" t="str" cm="1">
        <x:f t="array" ref="A140">IF(OR(B140="",C140=""),"",IF(C140="Initiative",COUNTIF($C$5:C140,"Initiative"),IF(C140="Milestone",IF(D140="","",D140&amp;"."&amp;COUNTIFS($D$5:D140,D140,$C$5:C140,"Milestone")),IF(OR(C140="Activity",C140="Variation"),IF(D140="","",D140&amp;"."&amp;(COUNTIFS($D$5:D140,D140,$C$5:C140,"Activity")+COUNTIFS($D$5:D140,D140,$C$5:C140,"Variation"))),""))))</x:f>
      </x:c>
      <x:c r="B140" s="19"/>
      <x:c r="C140" s="19"/>
      <x:c r="D140" s="20"/>
      <x:c r="E140" s="21"/>
      <x:c r="F140" s="21"/>
      <x:c r="G140" s="102"/>
      <x:c r="H140" s="102"/>
      <x:c r="I140" s="102"/>
      <x:c r="J140" s="100"/>
      <x:c r="K140" s="7" t="str">
        <x:f>IF($B140="","",IF($C140="Initiative",IF(COUNTIFS($B$141:$B$204,$B140,$C$141:$C$204,"Activity")+COUNTIFS($B$141:$B$204,$B140,$C$141:$C$204,"Variation")=0,"",IF(COUNTIFS($B$141:$B$204,$B140,$C$141:$C$204,"Activity")+COUNTIFS($B$141:$B$204,$B140,$C$141:$C$204,"Variation")&lt;&gt;COUNTIFS($B$141:$B$204,$B140,$C$141:$C$204,"Activity",$G$141:$G$204,"&lt;&gt;",$H$141:$H$204,"&lt;&gt;")+COUNTIFS($B$141:$B$204,$B140,$C$141:$C$204,"Variation",$G$141:$G$204,"&lt;&gt;",$H$141:$H$204,"&lt;&gt;"),"",(SUMIFS($K$141:$K$204,$B$141:$B$204,$B140,$C$141:$C$204,"Activity")+SUMIFS($K$141:$K$204,$B$141:$B$204,$B140,$C$141:$C$204,"Variation"))/(COUNTIFS($B$141:$B$204,$B140,$C$141:$C$204,"Activity")+COUNTIFS($B$141:$B$204,$B140,$C$141:$C$204,"Variation")))),IF($C140="Milestone",IF(COUNTIFS($D$141:$D$204,$A140,$C$141:$C$204,"Activity")+COUNTIFS($D$141:$D$204,$A140,$C$141:$C$204,"Variation")=0,"",IF(COUNTIFS($D$141:$D$204,$A140,$C$141:$C$204,"Activity")+COUNTIFS($D$141:$D$204,$A140,$C$141:$C$204,"Variation")&lt;&gt;COUNTIFS($D$141:$D$204,$A140,$C$141:$C$204,"Activity",$G$141:$G$204,"&lt;&gt;",$H$141:$H$204,"&lt;&gt;")+COUNTIFS($D$141:$D$204,$A140,$C$141:$C$204,"Variation",$G$141:$G$204,"&lt;&gt;",$H$141:$H$204,"&lt;&gt;"),"",(SUMIFS($K$141:$K$204,$D$141:$D$204,$A140,$C$141:$C$204,"Activity")+SUMIFS($K$141:$K$204,$D$141:$D$204,$A140,$C$141:$C$204,"Variation"))/(COUNTIFS($D$141:$D$204,$A140,$C$141:$C$204,"Activity")+COUNTIFS($D$141:$D$204,$A140,$C$141:$C$204,"Variation")))),IF(OR($C140="Activity",$C140="Variation"),IF(OR($G140="",$H140=""),"",IF($H140&lt;$G140,"",IF($H140=$G140,--(TODAY()&gt;=$H140),MAX(0,MIN(1,(TODAY()-$G140)/($H140-$G140)))))),""))))</x:f>
      </x:c>
      <x:c r="L140" s="7" t="str">
        <x:f t="shared" si="6">IF($B140="","",IF($C140="Initiative",IF(COUNTIFS($B$5:$B$204,$B140,$C$5:$C$204,"Activity")+COUNTIFS($B$5:$B$204,$B140,$C$5:$C$204,"Variation")=0,"",IF(COUNTIFS($B$5:$B$204,$B140,$C$5:$C$204,"Activity")+COUNTIFS($B$5:$B$204,$B140,$C$5:$C$204,"Variation")&lt;&gt;COUNTIFS($B$5:$B$204,$B140,$C$5:$C$204,"Activity",$J$5:$J$204,"&lt;&gt;",$J$5:$J$204,"&gt;=0",$J$5:$J$204,"&lt;=1")+COUNTIFS($B$5:$B$204,$B140,$C$5:$C$204,"Variation",$J$5:$J$204,"&lt;&gt;",$J$5:$J$204,"&gt;=0",$J$5:$J$204,"&lt;=1"),"",(SUMIFS($J$5:$J$204,$B$5:$B$204,$B140,$C$5:$C$204,"Activity")+SUMIFS($J$5:$J$204,$B$5:$B$204,$B140,$C$5:$C$204,"Variation"))/(COUNTIFS($B$5:$B$204,$B140,$C$5:$C$204,"Activity")+COUNTIFS($B$5:$B$204,$B140,$C$5:$C$204,"Variation")))),IF($C140="Milestone",IF(COUNTIFS($D$5:$D$204,$A140,$C$5:$C$204,"Activity")+COUNTIFS($D$5:$D$204,$A140,$C$5:$C$204,"Variation")=0,"",IF(COUNTIFS($D$5:$D$204,$A140,$C$5:$C$204,"Activity")+COUNTIFS($D$5:$D$204,$A140,$C$5:$C$204,"Variation")&lt;&gt;COUNTIFS($D$5:$D$204,$A140,$C$5:$C$204,"Activity",$J$5:$J$204,"&lt;&gt;",$J$5:$J$204,"&gt;=0",$J$5:$J$204,"&lt;=1")+COUNTIFS($D$5:$D$204,$A140,$C$5:$C$204,"Variation",$J$5:$J$204,"&lt;&gt;",$J$5:$J$204,"&gt;=0",$J$5:$J$204,"&lt;=1"),"",(SUMIFS($J$5:$J$204,$D$5:$D$204,$A140,$C$5:$C$204,"Activity")+SUMIFS($J$5:$J$204,$D$5:$D$204,$A140,$C$5:$C$204,"Variation"))/(COUNTIFS($D$5:$D$204,$A140,$C$5:$C$204,"Activity")+COUNTIFS($D$5:$D$204,$A140,$C$5:$C$204,"Variation")))),IF(OR($C140="Activity",$C140="Variation"),IF(AND(ISNUMBER($J140),$J140&gt;=0,$J140&lt;=1),$J140,""),""))))</x:f>
      </x:c>
      <x:c r="M140" s="7" t="str">
        <x:f t="shared" si="7">IF(OR($K140="",$L140=""),"",$L140-$K140)</x:f>
      </x:c>
      <x:c r="N140" s="6" t="str">
        <x:f>IF(OR($B140="",$I140="",$L140=""),"",IF(AND($L140&lt;1,$I140&lt;TODAY()),"Late",IF(AND($H140&lt;&gt;"",$I140&gt;$H140),"Forecast Slip","On Plan")))</x:f>
      </x:c>
      <x:c r="O140" s="19"/>
      <x:c r="P140" s="6" t="str">
        <x:f t="shared" si="8">IF($B140="","",IF($A140="","Enter item ID",IF(COUNTIF($A$5:$A$204,$A140)&gt;1,"Duplicate item ID",IF($C140="Initiative",IF($D140&lt;&gt;"","Parent must be blank",IF(COUNTIFS($B$5:$B$204,$B140,$C$5:$C$204,"Initiative")&lt;&gt;1,"One Initiative row required",IF(COUNTIFS($D$5:$D$204,$A140,$C$5:$C$204,"Milestone")=0,"Add milestone","OK"))),IF($C140="Milestone",IF(COUNTIFS($A$5:$A$204,$D140,$B$5:$B$204,$B140,$C$5:$C$204,"Initiative")&lt;&gt;1,"Parent must be Initiative",IF(COUNTIFS($D$5:$D$204,$A140,$C$5:$C$204,"Activity")+COUNTIFS($D$5:$D$204,$A140,$C$5:$C$204,"Variation")=0,"Add activity or variation","OK")),IF(OR($C140="Activity",$C140="Variation"),IF(COUNTIFS($A$5:$A$204,$D140,$B$5:$B$204,$B140,$C$5:$C$204,"Milestone")&lt;&gt;1,"Parent must be Milestone",IF(OR($G140="",$H140=""),"Enter baseline dates",IF($H140&lt;$G140,"Baseline finish before start",IF($I140="","Enter forecast finish",IF(COUNT($J140)=0,"Enter actual %",IF(OR(NOT(ISNUMBER($J140)),$J140&lt;0,$J140&gt;1),"Actual % must be 0–100%","OK")))))),"Select level"))))))</x:f>
      </x:c>
    </x:row>
    <x:row r="141">
      <x:c r="A141" s="66" t="str" cm="1">
        <x:f t="array" ref="A141">IF(OR(B141="",C141=""),"",IF(C141="Initiative",COUNTIF($C$5:C141,"Initiative"),IF(C141="Milestone",IF(D141="","",D141&amp;"."&amp;COUNTIFS($D$5:D141,D141,$C$5:C141,"Milestone")),IF(OR(C141="Activity",C141="Variation"),IF(D141="","",D141&amp;"."&amp;(COUNTIFS($D$5:D141,D141,$C$5:C141,"Activity")+COUNTIFS($D$5:D141,D141,$C$5:C141,"Variation"))),""))))</x:f>
      </x:c>
      <x:c r="B141" s="19"/>
      <x:c r="C141" s="19"/>
      <x:c r="D141" s="20"/>
      <x:c r="E141" s="21"/>
      <x:c r="F141" s="21"/>
      <x:c r="G141" s="102"/>
      <x:c r="H141" s="102"/>
      <x:c r="I141" s="102"/>
      <x:c r="J141" s="100"/>
      <x:c r="K141" s="7" t="str">
        <x:f>IF($B141="","",IF($C141="Initiative",IF(COUNTIFS($B$142:$B$204,$B141,$C$142:$C$204,"Activity")+COUNTIFS($B$142:$B$204,$B141,$C$142:$C$204,"Variation")=0,"",IF(COUNTIFS($B$142:$B$204,$B141,$C$142:$C$204,"Activity")+COUNTIFS($B$142:$B$204,$B141,$C$142:$C$204,"Variation")&lt;&gt;COUNTIFS($B$142:$B$204,$B141,$C$142:$C$204,"Activity",$G$142:$G$204,"&lt;&gt;",$H$142:$H$204,"&lt;&gt;")+COUNTIFS($B$142:$B$204,$B141,$C$142:$C$204,"Variation",$G$142:$G$204,"&lt;&gt;",$H$142:$H$204,"&lt;&gt;"),"",(SUMIFS($K$142:$K$204,$B$142:$B$204,$B141,$C$142:$C$204,"Activity")+SUMIFS($K$142:$K$204,$B$142:$B$204,$B141,$C$142:$C$204,"Variation"))/(COUNTIFS($B$142:$B$204,$B141,$C$142:$C$204,"Activity")+COUNTIFS($B$142:$B$204,$B141,$C$142:$C$204,"Variation")))),IF($C141="Milestone",IF(COUNTIFS($D$142:$D$204,$A141,$C$142:$C$204,"Activity")+COUNTIFS($D$142:$D$204,$A141,$C$142:$C$204,"Variation")=0,"",IF(COUNTIFS($D$142:$D$204,$A141,$C$142:$C$204,"Activity")+COUNTIFS($D$142:$D$204,$A141,$C$142:$C$204,"Variation")&lt;&gt;COUNTIFS($D$142:$D$204,$A141,$C$142:$C$204,"Activity",$G$142:$G$204,"&lt;&gt;",$H$142:$H$204,"&lt;&gt;")+COUNTIFS($D$142:$D$204,$A141,$C$142:$C$204,"Variation",$G$142:$G$204,"&lt;&gt;",$H$142:$H$204,"&lt;&gt;"),"",(SUMIFS($K$142:$K$204,$D$142:$D$204,$A141,$C$142:$C$204,"Activity")+SUMIFS($K$142:$K$204,$D$142:$D$204,$A141,$C$142:$C$204,"Variation"))/(COUNTIFS($D$142:$D$204,$A141,$C$142:$C$204,"Activity")+COUNTIFS($D$142:$D$204,$A141,$C$142:$C$204,"Variation")))),IF(OR($C141="Activity",$C141="Variation"),IF(OR($G141="",$H141=""),"",IF($H141&lt;$G141,"",IF($H141=$G141,--(TODAY()&gt;=$H141),MAX(0,MIN(1,(TODAY()-$G141)/($H141-$G141)))))),""))))</x:f>
      </x:c>
      <x:c r="L141" s="7" t="str">
        <x:f t="shared" si="6">IF($B141="","",IF($C141="Initiative",IF(COUNTIFS($B$5:$B$204,$B141,$C$5:$C$204,"Activity")+COUNTIFS($B$5:$B$204,$B141,$C$5:$C$204,"Variation")=0,"",IF(COUNTIFS($B$5:$B$204,$B141,$C$5:$C$204,"Activity")+COUNTIFS($B$5:$B$204,$B141,$C$5:$C$204,"Variation")&lt;&gt;COUNTIFS($B$5:$B$204,$B141,$C$5:$C$204,"Activity",$J$5:$J$204,"&lt;&gt;",$J$5:$J$204,"&gt;=0",$J$5:$J$204,"&lt;=1")+COUNTIFS($B$5:$B$204,$B141,$C$5:$C$204,"Variation",$J$5:$J$204,"&lt;&gt;",$J$5:$J$204,"&gt;=0",$J$5:$J$204,"&lt;=1"),"",(SUMIFS($J$5:$J$204,$B$5:$B$204,$B141,$C$5:$C$204,"Activity")+SUMIFS($J$5:$J$204,$B$5:$B$204,$B141,$C$5:$C$204,"Variation"))/(COUNTIFS($B$5:$B$204,$B141,$C$5:$C$204,"Activity")+COUNTIFS($B$5:$B$204,$B141,$C$5:$C$204,"Variation")))),IF($C141="Milestone",IF(COUNTIFS($D$5:$D$204,$A141,$C$5:$C$204,"Activity")+COUNTIFS($D$5:$D$204,$A141,$C$5:$C$204,"Variation")=0,"",IF(COUNTIFS($D$5:$D$204,$A141,$C$5:$C$204,"Activity")+COUNTIFS($D$5:$D$204,$A141,$C$5:$C$204,"Variation")&lt;&gt;COUNTIFS($D$5:$D$204,$A141,$C$5:$C$204,"Activity",$J$5:$J$204,"&lt;&gt;",$J$5:$J$204,"&gt;=0",$J$5:$J$204,"&lt;=1")+COUNTIFS($D$5:$D$204,$A141,$C$5:$C$204,"Variation",$J$5:$J$204,"&lt;&gt;",$J$5:$J$204,"&gt;=0",$J$5:$J$204,"&lt;=1"),"",(SUMIFS($J$5:$J$204,$D$5:$D$204,$A141,$C$5:$C$204,"Activity")+SUMIFS($J$5:$J$204,$D$5:$D$204,$A141,$C$5:$C$204,"Variation"))/(COUNTIFS($D$5:$D$204,$A141,$C$5:$C$204,"Activity")+COUNTIFS($D$5:$D$204,$A141,$C$5:$C$204,"Variation")))),IF(OR($C141="Activity",$C141="Variation"),IF(AND(ISNUMBER($J141),$J141&gt;=0,$J141&lt;=1),$J141,""),""))))</x:f>
      </x:c>
      <x:c r="M141" s="7" t="str">
        <x:f t="shared" si="7">IF(OR($K141="",$L141=""),"",$L141-$K141)</x:f>
      </x:c>
      <x:c r="N141" s="6" t="str">
        <x:f>IF(OR($B141="",$I141="",$L141=""),"",IF(AND($L141&lt;1,$I141&lt;TODAY()),"Late",IF(AND($H141&lt;&gt;"",$I141&gt;$H141),"Forecast Slip","On Plan")))</x:f>
      </x:c>
      <x:c r="O141" s="19"/>
      <x:c r="P141" s="6" t="str">
        <x:f t="shared" si="8">IF($B141="","",IF($A141="","Enter item ID",IF(COUNTIF($A$5:$A$204,$A141)&gt;1,"Duplicate item ID",IF($C141="Initiative",IF($D141&lt;&gt;"","Parent must be blank",IF(COUNTIFS($B$5:$B$204,$B141,$C$5:$C$204,"Initiative")&lt;&gt;1,"One Initiative row required",IF(COUNTIFS($D$5:$D$204,$A141,$C$5:$C$204,"Milestone")=0,"Add milestone","OK"))),IF($C141="Milestone",IF(COUNTIFS($A$5:$A$204,$D141,$B$5:$B$204,$B141,$C$5:$C$204,"Initiative")&lt;&gt;1,"Parent must be Initiative",IF(COUNTIFS($D$5:$D$204,$A141,$C$5:$C$204,"Activity")+COUNTIFS($D$5:$D$204,$A141,$C$5:$C$204,"Variation")=0,"Add activity or variation","OK")),IF(OR($C141="Activity",$C141="Variation"),IF(COUNTIFS($A$5:$A$204,$D141,$B$5:$B$204,$B141,$C$5:$C$204,"Milestone")&lt;&gt;1,"Parent must be Milestone",IF(OR($G141="",$H141=""),"Enter baseline dates",IF($H141&lt;$G141,"Baseline finish before start",IF($I141="","Enter forecast finish",IF(COUNT($J141)=0,"Enter actual %",IF(OR(NOT(ISNUMBER($J141)),$J141&lt;0,$J141&gt;1),"Actual % must be 0–100%","OK")))))),"Select level"))))))</x:f>
      </x:c>
    </x:row>
    <x:row r="142">
      <x:c r="A142" s="66" t="str" cm="1">
        <x:f t="array" ref="A142">IF(OR(B142="",C142=""),"",IF(C142="Initiative",COUNTIF($C$5:C142,"Initiative"),IF(C142="Milestone",IF(D142="","",D142&amp;"."&amp;COUNTIFS($D$5:D142,D142,$C$5:C142,"Milestone")),IF(OR(C142="Activity",C142="Variation"),IF(D142="","",D142&amp;"."&amp;(COUNTIFS($D$5:D142,D142,$C$5:C142,"Activity")+COUNTIFS($D$5:D142,D142,$C$5:C142,"Variation"))),""))))</x:f>
      </x:c>
      <x:c r="B142" s="19"/>
      <x:c r="C142" s="19"/>
      <x:c r="D142" s="20"/>
      <x:c r="E142" s="21"/>
      <x:c r="F142" s="21"/>
      <x:c r="G142" s="102"/>
      <x:c r="H142" s="102"/>
      <x:c r="I142" s="102"/>
      <x:c r="J142" s="100"/>
      <x:c r="K142" s="7" t="str">
        <x:f>IF($B142="","",IF($C142="Initiative",IF(COUNTIFS($B$143:$B$204,$B142,$C$143:$C$204,"Activity")+COUNTIFS($B$143:$B$204,$B142,$C$143:$C$204,"Variation")=0,"",IF(COUNTIFS($B$143:$B$204,$B142,$C$143:$C$204,"Activity")+COUNTIFS($B$143:$B$204,$B142,$C$143:$C$204,"Variation")&lt;&gt;COUNTIFS($B$143:$B$204,$B142,$C$143:$C$204,"Activity",$G$143:$G$204,"&lt;&gt;",$H$143:$H$204,"&lt;&gt;")+COUNTIFS($B$143:$B$204,$B142,$C$143:$C$204,"Variation",$G$143:$G$204,"&lt;&gt;",$H$143:$H$204,"&lt;&gt;"),"",(SUMIFS($K$143:$K$204,$B$143:$B$204,$B142,$C$143:$C$204,"Activity")+SUMIFS($K$143:$K$204,$B$143:$B$204,$B142,$C$143:$C$204,"Variation"))/(COUNTIFS($B$143:$B$204,$B142,$C$143:$C$204,"Activity")+COUNTIFS($B$143:$B$204,$B142,$C$143:$C$204,"Variation")))),IF($C142="Milestone",IF(COUNTIFS($D$143:$D$204,$A142,$C$143:$C$204,"Activity")+COUNTIFS($D$143:$D$204,$A142,$C$143:$C$204,"Variation")=0,"",IF(COUNTIFS($D$143:$D$204,$A142,$C$143:$C$204,"Activity")+COUNTIFS($D$143:$D$204,$A142,$C$143:$C$204,"Variation")&lt;&gt;COUNTIFS($D$143:$D$204,$A142,$C$143:$C$204,"Activity",$G$143:$G$204,"&lt;&gt;",$H$143:$H$204,"&lt;&gt;")+COUNTIFS($D$143:$D$204,$A142,$C$143:$C$204,"Variation",$G$143:$G$204,"&lt;&gt;",$H$143:$H$204,"&lt;&gt;"),"",(SUMIFS($K$143:$K$204,$D$143:$D$204,$A142,$C$143:$C$204,"Activity")+SUMIFS($K$143:$K$204,$D$143:$D$204,$A142,$C$143:$C$204,"Variation"))/(COUNTIFS($D$143:$D$204,$A142,$C$143:$C$204,"Activity")+COUNTIFS($D$143:$D$204,$A142,$C$143:$C$204,"Variation")))),IF(OR($C142="Activity",$C142="Variation"),IF(OR($G142="",$H142=""),"",IF($H142&lt;$G142,"",IF($H142=$G142,--(TODAY()&gt;=$H142),MAX(0,MIN(1,(TODAY()-$G142)/($H142-$G142)))))),""))))</x:f>
      </x:c>
      <x:c r="L142" s="7" t="str">
        <x:f t="shared" si="6">IF($B142="","",IF($C142="Initiative",IF(COUNTIFS($B$5:$B$204,$B142,$C$5:$C$204,"Activity")+COUNTIFS($B$5:$B$204,$B142,$C$5:$C$204,"Variation")=0,"",IF(COUNTIFS($B$5:$B$204,$B142,$C$5:$C$204,"Activity")+COUNTIFS($B$5:$B$204,$B142,$C$5:$C$204,"Variation")&lt;&gt;COUNTIFS($B$5:$B$204,$B142,$C$5:$C$204,"Activity",$J$5:$J$204,"&lt;&gt;",$J$5:$J$204,"&gt;=0",$J$5:$J$204,"&lt;=1")+COUNTIFS($B$5:$B$204,$B142,$C$5:$C$204,"Variation",$J$5:$J$204,"&lt;&gt;",$J$5:$J$204,"&gt;=0",$J$5:$J$204,"&lt;=1"),"",(SUMIFS($J$5:$J$204,$B$5:$B$204,$B142,$C$5:$C$204,"Activity")+SUMIFS($J$5:$J$204,$B$5:$B$204,$B142,$C$5:$C$204,"Variation"))/(COUNTIFS($B$5:$B$204,$B142,$C$5:$C$204,"Activity")+COUNTIFS($B$5:$B$204,$B142,$C$5:$C$204,"Variation")))),IF($C142="Milestone",IF(COUNTIFS($D$5:$D$204,$A142,$C$5:$C$204,"Activity")+COUNTIFS($D$5:$D$204,$A142,$C$5:$C$204,"Variation")=0,"",IF(COUNTIFS($D$5:$D$204,$A142,$C$5:$C$204,"Activity")+COUNTIFS($D$5:$D$204,$A142,$C$5:$C$204,"Variation")&lt;&gt;COUNTIFS($D$5:$D$204,$A142,$C$5:$C$204,"Activity",$J$5:$J$204,"&lt;&gt;",$J$5:$J$204,"&gt;=0",$J$5:$J$204,"&lt;=1")+COUNTIFS($D$5:$D$204,$A142,$C$5:$C$204,"Variation",$J$5:$J$204,"&lt;&gt;",$J$5:$J$204,"&gt;=0",$J$5:$J$204,"&lt;=1"),"",(SUMIFS($J$5:$J$204,$D$5:$D$204,$A142,$C$5:$C$204,"Activity")+SUMIFS($J$5:$J$204,$D$5:$D$204,$A142,$C$5:$C$204,"Variation"))/(COUNTIFS($D$5:$D$204,$A142,$C$5:$C$204,"Activity")+COUNTIFS($D$5:$D$204,$A142,$C$5:$C$204,"Variation")))),IF(OR($C142="Activity",$C142="Variation"),IF(AND(ISNUMBER($J142),$J142&gt;=0,$J142&lt;=1),$J142,""),""))))</x:f>
      </x:c>
      <x:c r="M142" s="7" t="str">
        <x:f t="shared" si="7">IF(OR($K142="",$L142=""),"",$L142-$K142)</x:f>
      </x:c>
      <x:c r="N142" s="6" t="str">
        <x:f>IF(OR($B142="",$I142="",$L142=""),"",IF(AND($L142&lt;1,$I142&lt;TODAY()),"Late",IF(AND($H142&lt;&gt;"",$I142&gt;$H142),"Forecast Slip","On Plan")))</x:f>
      </x:c>
      <x:c r="O142" s="19"/>
      <x:c r="P142" s="6" t="str">
        <x:f t="shared" si="8">IF($B142="","",IF($A142="","Enter item ID",IF(COUNTIF($A$5:$A$204,$A142)&gt;1,"Duplicate item ID",IF($C142="Initiative",IF($D142&lt;&gt;"","Parent must be blank",IF(COUNTIFS($B$5:$B$204,$B142,$C$5:$C$204,"Initiative")&lt;&gt;1,"One Initiative row required",IF(COUNTIFS($D$5:$D$204,$A142,$C$5:$C$204,"Milestone")=0,"Add milestone","OK"))),IF($C142="Milestone",IF(COUNTIFS($A$5:$A$204,$D142,$B$5:$B$204,$B142,$C$5:$C$204,"Initiative")&lt;&gt;1,"Parent must be Initiative",IF(COUNTIFS($D$5:$D$204,$A142,$C$5:$C$204,"Activity")+COUNTIFS($D$5:$D$204,$A142,$C$5:$C$204,"Variation")=0,"Add activity or variation","OK")),IF(OR($C142="Activity",$C142="Variation"),IF(COUNTIFS($A$5:$A$204,$D142,$B$5:$B$204,$B142,$C$5:$C$204,"Milestone")&lt;&gt;1,"Parent must be Milestone",IF(OR($G142="",$H142=""),"Enter baseline dates",IF($H142&lt;$G142,"Baseline finish before start",IF($I142="","Enter forecast finish",IF(COUNT($J142)=0,"Enter actual %",IF(OR(NOT(ISNUMBER($J142)),$J142&lt;0,$J142&gt;1),"Actual % must be 0–100%","OK")))))),"Select level"))))))</x:f>
      </x:c>
    </x:row>
    <x:row r="143">
      <x:c r="A143" s="66" t="str" cm="1">
        <x:f t="array" ref="A143">IF(OR(B143="",C143=""),"",IF(C143="Initiative",COUNTIF($C$5:C143,"Initiative"),IF(C143="Milestone",IF(D143="","",D143&amp;"."&amp;COUNTIFS($D$5:D143,D143,$C$5:C143,"Milestone")),IF(OR(C143="Activity",C143="Variation"),IF(D143="","",D143&amp;"."&amp;(COUNTIFS($D$5:D143,D143,$C$5:C143,"Activity")+COUNTIFS($D$5:D143,D143,$C$5:C143,"Variation"))),""))))</x:f>
      </x:c>
      <x:c r="B143" s="19"/>
      <x:c r="C143" s="19"/>
      <x:c r="D143" s="20"/>
      <x:c r="E143" s="21"/>
      <x:c r="F143" s="21"/>
      <x:c r="G143" s="102"/>
      <x:c r="H143" s="102"/>
      <x:c r="I143" s="102"/>
      <x:c r="J143" s="100"/>
      <x:c r="K143" s="7" t="str">
        <x:f>IF($B143="","",IF($C143="Initiative",IF(COUNTIFS($B$144:$B$204,$B143,$C$144:$C$204,"Activity")+COUNTIFS($B$144:$B$204,$B143,$C$144:$C$204,"Variation")=0,"",IF(COUNTIFS($B$144:$B$204,$B143,$C$144:$C$204,"Activity")+COUNTIFS($B$144:$B$204,$B143,$C$144:$C$204,"Variation")&lt;&gt;COUNTIFS($B$144:$B$204,$B143,$C$144:$C$204,"Activity",$G$144:$G$204,"&lt;&gt;",$H$144:$H$204,"&lt;&gt;")+COUNTIFS($B$144:$B$204,$B143,$C$144:$C$204,"Variation",$G$144:$G$204,"&lt;&gt;",$H$144:$H$204,"&lt;&gt;"),"",(SUMIFS($K$144:$K$204,$B$144:$B$204,$B143,$C$144:$C$204,"Activity")+SUMIFS($K$144:$K$204,$B$144:$B$204,$B143,$C$144:$C$204,"Variation"))/(COUNTIFS($B$144:$B$204,$B143,$C$144:$C$204,"Activity")+COUNTIFS($B$144:$B$204,$B143,$C$144:$C$204,"Variation")))),IF($C143="Milestone",IF(COUNTIFS($D$144:$D$204,$A143,$C$144:$C$204,"Activity")+COUNTIFS($D$144:$D$204,$A143,$C$144:$C$204,"Variation")=0,"",IF(COUNTIFS($D$144:$D$204,$A143,$C$144:$C$204,"Activity")+COUNTIFS($D$144:$D$204,$A143,$C$144:$C$204,"Variation")&lt;&gt;COUNTIFS($D$144:$D$204,$A143,$C$144:$C$204,"Activity",$G$144:$G$204,"&lt;&gt;",$H$144:$H$204,"&lt;&gt;")+COUNTIFS($D$144:$D$204,$A143,$C$144:$C$204,"Variation",$G$144:$G$204,"&lt;&gt;",$H$144:$H$204,"&lt;&gt;"),"",(SUMIFS($K$144:$K$204,$D$144:$D$204,$A143,$C$144:$C$204,"Activity")+SUMIFS($K$144:$K$204,$D$144:$D$204,$A143,$C$144:$C$204,"Variation"))/(COUNTIFS($D$144:$D$204,$A143,$C$144:$C$204,"Activity")+COUNTIFS($D$144:$D$204,$A143,$C$144:$C$204,"Variation")))),IF(OR($C143="Activity",$C143="Variation"),IF(OR($G143="",$H143=""),"",IF($H143&lt;$G143,"",IF($H143=$G143,--(TODAY()&gt;=$H143),MAX(0,MIN(1,(TODAY()-$G143)/($H143-$G143)))))),""))))</x:f>
      </x:c>
      <x:c r="L143" s="7" t="str">
        <x:f t="shared" si="6">IF($B143="","",IF($C143="Initiative",IF(COUNTIFS($B$5:$B$204,$B143,$C$5:$C$204,"Activity")+COUNTIFS($B$5:$B$204,$B143,$C$5:$C$204,"Variation")=0,"",IF(COUNTIFS($B$5:$B$204,$B143,$C$5:$C$204,"Activity")+COUNTIFS($B$5:$B$204,$B143,$C$5:$C$204,"Variation")&lt;&gt;COUNTIFS($B$5:$B$204,$B143,$C$5:$C$204,"Activity",$J$5:$J$204,"&lt;&gt;",$J$5:$J$204,"&gt;=0",$J$5:$J$204,"&lt;=1")+COUNTIFS($B$5:$B$204,$B143,$C$5:$C$204,"Variation",$J$5:$J$204,"&lt;&gt;",$J$5:$J$204,"&gt;=0",$J$5:$J$204,"&lt;=1"),"",(SUMIFS($J$5:$J$204,$B$5:$B$204,$B143,$C$5:$C$204,"Activity")+SUMIFS($J$5:$J$204,$B$5:$B$204,$B143,$C$5:$C$204,"Variation"))/(COUNTIFS($B$5:$B$204,$B143,$C$5:$C$204,"Activity")+COUNTIFS($B$5:$B$204,$B143,$C$5:$C$204,"Variation")))),IF($C143="Milestone",IF(COUNTIFS($D$5:$D$204,$A143,$C$5:$C$204,"Activity")+COUNTIFS($D$5:$D$204,$A143,$C$5:$C$204,"Variation")=0,"",IF(COUNTIFS($D$5:$D$204,$A143,$C$5:$C$204,"Activity")+COUNTIFS($D$5:$D$204,$A143,$C$5:$C$204,"Variation")&lt;&gt;COUNTIFS($D$5:$D$204,$A143,$C$5:$C$204,"Activity",$J$5:$J$204,"&lt;&gt;",$J$5:$J$204,"&gt;=0",$J$5:$J$204,"&lt;=1")+COUNTIFS($D$5:$D$204,$A143,$C$5:$C$204,"Variation",$J$5:$J$204,"&lt;&gt;",$J$5:$J$204,"&gt;=0",$J$5:$J$204,"&lt;=1"),"",(SUMIFS($J$5:$J$204,$D$5:$D$204,$A143,$C$5:$C$204,"Activity")+SUMIFS($J$5:$J$204,$D$5:$D$204,$A143,$C$5:$C$204,"Variation"))/(COUNTIFS($D$5:$D$204,$A143,$C$5:$C$204,"Activity")+COUNTIFS($D$5:$D$204,$A143,$C$5:$C$204,"Variation")))),IF(OR($C143="Activity",$C143="Variation"),IF(AND(ISNUMBER($J143),$J143&gt;=0,$J143&lt;=1),$J143,""),""))))</x:f>
      </x:c>
      <x:c r="M143" s="7" t="str">
        <x:f t="shared" si="7">IF(OR($K143="",$L143=""),"",$L143-$K143)</x:f>
      </x:c>
      <x:c r="N143" s="6" t="str">
        <x:f>IF(OR($B143="",$I143="",$L143=""),"",IF(AND($L143&lt;1,$I143&lt;TODAY()),"Late",IF(AND($H143&lt;&gt;"",$I143&gt;$H143),"Forecast Slip","On Plan")))</x:f>
      </x:c>
      <x:c r="O143" s="19"/>
      <x:c r="P143" s="6" t="str">
        <x:f t="shared" si="8">IF($B143="","",IF($A143="","Enter item ID",IF(COUNTIF($A$5:$A$204,$A143)&gt;1,"Duplicate item ID",IF($C143="Initiative",IF($D143&lt;&gt;"","Parent must be blank",IF(COUNTIFS($B$5:$B$204,$B143,$C$5:$C$204,"Initiative")&lt;&gt;1,"One Initiative row required",IF(COUNTIFS($D$5:$D$204,$A143,$C$5:$C$204,"Milestone")=0,"Add milestone","OK"))),IF($C143="Milestone",IF(COUNTIFS($A$5:$A$204,$D143,$B$5:$B$204,$B143,$C$5:$C$204,"Initiative")&lt;&gt;1,"Parent must be Initiative",IF(COUNTIFS($D$5:$D$204,$A143,$C$5:$C$204,"Activity")+COUNTIFS($D$5:$D$204,$A143,$C$5:$C$204,"Variation")=0,"Add activity or variation","OK")),IF(OR($C143="Activity",$C143="Variation"),IF(COUNTIFS($A$5:$A$204,$D143,$B$5:$B$204,$B143,$C$5:$C$204,"Milestone")&lt;&gt;1,"Parent must be Milestone",IF(OR($G143="",$H143=""),"Enter baseline dates",IF($H143&lt;$G143,"Baseline finish before start",IF($I143="","Enter forecast finish",IF(COUNT($J143)=0,"Enter actual %",IF(OR(NOT(ISNUMBER($J143)),$J143&lt;0,$J143&gt;1),"Actual % must be 0–100%","OK")))))),"Select level"))))))</x:f>
      </x:c>
    </x:row>
    <x:row r="144">
      <x:c r="A144" s="66" t="str" cm="1">
        <x:f t="array" ref="A144">IF(OR(B144="",C144=""),"",IF(C144="Initiative",COUNTIF($C$5:C144,"Initiative"),IF(C144="Milestone",IF(D144="","",D144&amp;"."&amp;COUNTIFS($D$5:D144,D144,$C$5:C144,"Milestone")),IF(OR(C144="Activity",C144="Variation"),IF(D144="","",D144&amp;"."&amp;(COUNTIFS($D$5:D144,D144,$C$5:C144,"Activity")+COUNTIFS($D$5:D144,D144,$C$5:C144,"Variation"))),""))))</x:f>
      </x:c>
      <x:c r="B144" s="19"/>
      <x:c r="C144" s="19"/>
      <x:c r="D144" s="20"/>
      <x:c r="E144" s="21"/>
      <x:c r="F144" s="21"/>
      <x:c r="G144" s="102"/>
      <x:c r="H144" s="102"/>
      <x:c r="I144" s="102"/>
      <x:c r="J144" s="100"/>
      <x:c r="K144" s="7" t="str">
        <x:f>IF($B144="","",IF($C144="Initiative",IF(COUNTIFS($B$145:$B$204,$B144,$C$145:$C$204,"Activity")+COUNTIFS($B$145:$B$204,$B144,$C$145:$C$204,"Variation")=0,"",IF(COUNTIFS($B$145:$B$204,$B144,$C$145:$C$204,"Activity")+COUNTIFS($B$145:$B$204,$B144,$C$145:$C$204,"Variation")&lt;&gt;COUNTIFS($B$145:$B$204,$B144,$C$145:$C$204,"Activity",$G$145:$G$204,"&lt;&gt;",$H$145:$H$204,"&lt;&gt;")+COUNTIFS($B$145:$B$204,$B144,$C$145:$C$204,"Variation",$G$145:$G$204,"&lt;&gt;",$H$145:$H$204,"&lt;&gt;"),"",(SUMIFS($K$145:$K$204,$B$145:$B$204,$B144,$C$145:$C$204,"Activity")+SUMIFS($K$145:$K$204,$B$145:$B$204,$B144,$C$145:$C$204,"Variation"))/(COUNTIFS($B$145:$B$204,$B144,$C$145:$C$204,"Activity")+COUNTIFS($B$145:$B$204,$B144,$C$145:$C$204,"Variation")))),IF($C144="Milestone",IF(COUNTIFS($D$145:$D$204,$A144,$C$145:$C$204,"Activity")+COUNTIFS($D$145:$D$204,$A144,$C$145:$C$204,"Variation")=0,"",IF(COUNTIFS($D$145:$D$204,$A144,$C$145:$C$204,"Activity")+COUNTIFS($D$145:$D$204,$A144,$C$145:$C$204,"Variation")&lt;&gt;COUNTIFS($D$145:$D$204,$A144,$C$145:$C$204,"Activity",$G$145:$G$204,"&lt;&gt;",$H$145:$H$204,"&lt;&gt;")+COUNTIFS($D$145:$D$204,$A144,$C$145:$C$204,"Variation",$G$145:$G$204,"&lt;&gt;",$H$145:$H$204,"&lt;&gt;"),"",(SUMIFS($K$145:$K$204,$D$145:$D$204,$A144,$C$145:$C$204,"Activity")+SUMIFS($K$145:$K$204,$D$145:$D$204,$A144,$C$145:$C$204,"Variation"))/(COUNTIFS($D$145:$D$204,$A144,$C$145:$C$204,"Activity")+COUNTIFS($D$145:$D$204,$A144,$C$145:$C$204,"Variation")))),IF(OR($C144="Activity",$C144="Variation"),IF(OR($G144="",$H144=""),"",IF($H144&lt;$G144,"",IF($H144=$G144,--(TODAY()&gt;=$H144),MAX(0,MIN(1,(TODAY()-$G144)/($H144-$G144)))))),""))))</x:f>
      </x:c>
      <x:c r="L144" s="7" t="str">
        <x:f t="shared" si="6">IF($B144="","",IF($C144="Initiative",IF(COUNTIFS($B$5:$B$204,$B144,$C$5:$C$204,"Activity")+COUNTIFS($B$5:$B$204,$B144,$C$5:$C$204,"Variation")=0,"",IF(COUNTIFS($B$5:$B$204,$B144,$C$5:$C$204,"Activity")+COUNTIFS($B$5:$B$204,$B144,$C$5:$C$204,"Variation")&lt;&gt;COUNTIFS($B$5:$B$204,$B144,$C$5:$C$204,"Activity",$J$5:$J$204,"&lt;&gt;",$J$5:$J$204,"&gt;=0",$J$5:$J$204,"&lt;=1")+COUNTIFS($B$5:$B$204,$B144,$C$5:$C$204,"Variation",$J$5:$J$204,"&lt;&gt;",$J$5:$J$204,"&gt;=0",$J$5:$J$204,"&lt;=1"),"",(SUMIFS($J$5:$J$204,$B$5:$B$204,$B144,$C$5:$C$204,"Activity")+SUMIFS($J$5:$J$204,$B$5:$B$204,$B144,$C$5:$C$204,"Variation"))/(COUNTIFS($B$5:$B$204,$B144,$C$5:$C$204,"Activity")+COUNTIFS($B$5:$B$204,$B144,$C$5:$C$204,"Variation")))),IF($C144="Milestone",IF(COUNTIFS($D$5:$D$204,$A144,$C$5:$C$204,"Activity")+COUNTIFS($D$5:$D$204,$A144,$C$5:$C$204,"Variation")=0,"",IF(COUNTIFS($D$5:$D$204,$A144,$C$5:$C$204,"Activity")+COUNTIFS($D$5:$D$204,$A144,$C$5:$C$204,"Variation")&lt;&gt;COUNTIFS($D$5:$D$204,$A144,$C$5:$C$204,"Activity",$J$5:$J$204,"&lt;&gt;",$J$5:$J$204,"&gt;=0",$J$5:$J$204,"&lt;=1")+COUNTIFS($D$5:$D$204,$A144,$C$5:$C$204,"Variation",$J$5:$J$204,"&lt;&gt;",$J$5:$J$204,"&gt;=0",$J$5:$J$204,"&lt;=1"),"",(SUMIFS($J$5:$J$204,$D$5:$D$204,$A144,$C$5:$C$204,"Activity")+SUMIFS($J$5:$J$204,$D$5:$D$204,$A144,$C$5:$C$204,"Variation"))/(COUNTIFS($D$5:$D$204,$A144,$C$5:$C$204,"Activity")+COUNTIFS($D$5:$D$204,$A144,$C$5:$C$204,"Variation")))),IF(OR($C144="Activity",$C144="Variation"),IF(AND(ISNUMBER($J144),$J144&gt;=0,$J144&lt;=1),$J144,""),""))))</x:f>
      </x:c>
      <x:c r="M144" s="7" t="str">
        <x:f t="shared" si="7">IF(OR($K144="",$L144=""),"",$L144-$K144)</x:f>
      </x:c>
      <x:c r="N144" s="6" t="str">
        <x:f>IF(OR($B144="",$I144="",$L144=""),"",IF(AND($L144&lt;1,$I144&lt;TODAY()),"Late",IF(AND($H144&lt;&gt;"",$I144&gt;$H144),"Forecast Slip","On Plan")))</x:f>
      </x:c>
      <x:c r="O144" s="19"/>
      <x:c r="P144" s="6" t="str">
        <x:f t="shared" si="8">IF($B144="","",IF($A144="","Enter item ID",IF(COUNTIF($A$5:$A$204,$A144)&gt;1,"Duplicate item ID",IF($C144="Initiative",IF($D144&lt;&gt;"","Parent must be blank",IF(COUNTIFS($B$5:$B$204,$B144,$C$5:$C$204,"Initiative")&lt;&gt;1,"One Initiative row required",IF(COUNTIFS($D$5:$D$204,$A144,$C$5:$C$204,"Milestone")=0,"Add milestone","OK"))),IF($C144="Milestone",IF(COUNTIFS($A$5:$A$204,$D144,$B$5:$B$204,$B144,$C$5:$C$204,"Initiative")&lt;&gt;1,"Parent must be Initiative",IF(COUNTIFS($D$5:$D$204,$A144,$C$5:$C$204,"Activity")+COUNTIFS($D$5:$D$204,$A144,$C$5:$C$204,"Variation")=0,"Add activity or variation","OK")),IF(OR($C144="Activity",$C144="Variation"),IF(COUNTIFS($A$5:$A$204,$D144,$B$5:$B$204,$B144,$C$5:$C$204,"Milestone")&lt;&gt;1,"Parent must be Milestone",IF(OR($G144="",$H144=""),"Enter baseline dates",IF($H144&lt;$G144,"Baseline finish before start",IF($I144="","Enter forecast finish",IF(COUNT($J144)=0,"Enter actual %",IF(OR(NOT(ISNUMBER($J144)),$J144&lt;0,$J144&gt;1),"Actual % must be 0–100%","OK")))))),"Select level"))))))</x:f>
      </x:c>
    </x:row>
    <x:row r="145">
      <x:c r="A145" s="66" t="str" cm="1">
        <x:f t="array" ref="A145">IF(OR(B145="",C145=""),"",IF(C145="Initiative",COUNTIF($C$5:C145,"Initiative"),IF(C145="Milestone",IF(D145="","",D145&amp;"."&amp;COUNTIFS($D$5:D145,D145,$C$5:C145,"Milestone")),IF(OR(C145="Activity",C145="Variation"),IF(D145="","",D145&amp;"."&amp;(COUNTIFS($D$5:D145,D145,$C$5:C145,"Activity")+COUNTIFS($D$5:D145,D145,$C$5:C145,"Variation"))),""))))</x:f>
      </x:c>
      <x:c r="B145" s="19"/>
      <x:c r="C145" s="19"/>
      <x:c r="D145" s="20"/>
      <x:c r="E145" s="21"/>
      <x:c r="F145" s="21"/>
      <x:c r="G145" s="102"/>
      <x:c r="H145" s="102"/>
      <x:c r="I145" s="102"/>
      <x:c r="J145" s="100"/>
      <x:c r="K145" s="7" t="str">
        <x:f>IF($B145="","",IF($C145="Initiative",IF(COUNTIFS($B$146:$B$204,$B145,$C$146:$C$204,"Activity")+COUNTIFS($B$146:$B$204,$B145,$C$146:$C$204,"Variation")=0,"",IF(COUNTIFS($B$146:$B$204,$B145,$C$146:$C$204,"Activity")+COUNTIFS($B$146:$B$204,$B145,$C$146:$C$204,"Variation")&lt;&gt;COUNTIFS($B$146:$B$204,$B145,$C$146:$C$204,"Activity",$G$146:$G$204,"&lt;&gt;",$H$146:$H$204,"&lt;&gt;")+COUNTIFS($B$146:$B$204,$B145,$C$146:$C$204,"Variation",$G$146:$G$204,"&lt;&gt;",$H$146:$H$204,"&lt;&gt;"),"",(SUMIFS($K$146:$K$204,$B$146:$B$204,$B145,$C$146:$C$204,"Activity")+SUMIFS($K$146:$K$204,$B$146:$B$204,$B145,$C$146:$C$204,"Variation"))/(COUNTIFS($B$146:$B$204,$B145,$C$146:$C$204,"Activity")+COUNTIFS($B$146:$B$204,$B145,$C$146:$C$204,"Variation")))),IF($C145="Milestone",IF(COUNTIFS($D$146:$D$204,$A145,$C$146:$C$204,"Activity")+COUNTIFS($D$146:$D$204,$A145,$C$146:$C$204,"Variation")=0,"",IF(COUNTIFS($D$146:$D$204,$A145,$C$146:$C$204,"Activity")+COUNTIFS($D$146:$D$204,$A145,$C$146:$C$204,"Variation")&lt;&gt;COUNTIFS($D$146:$D$204,$A145,$C$146:$C$204,"Activity",$G$146:$G$204,"&lt;&gt;",$H$146:$H$204,"&lt;&gt;")+COUNTIFS($D$146:$D$204,$A145,$C$146:$C$204,"Variation",$G$146:$G$204,"&lt;&gt;",$H$146:$H$204,"&lt;&gt;"),"",(SUMIFS($K$146:$K$204,$D$146:$D$204,$A145,$C$146:$C$204,"Activity")+SUMIFS($K$146:$K$204,$D$146:$D$204,$A145,$C$146:$C$204,"Variation"))/(COUNTIFS($D$146:$D$204,$A145,$C$146:$C$204,"Activity")+COUNTIFS($D$146:$D$204,$A145,$C$146:$C$204,"Variation")))),IF(OR($C145="Activity",$C145="Variation"),IF(OR($G145="",$H145=""),"",IF($H145&lt;$G145,"",IF($H145=$G145,--(TODAY()&gt;=$H145),MAX(0,MIN(1,(TODAY()-$G145)/($H145-$G145)))))),""))))</x:f>
      </x:c>
      <x:c r="L145" s="7" t="str">
        <x:f t="shared" si="6">IF($B145="","",IF($C145="Initiative",IF(COUNTIFS($B$5:$B$204,$B145,$C$5:$C$204,"Activity")+COUNTIFS($B$5:$B$204,$B145,$C$5:$C$204,"Variation")=0,"",IF(COUNTIFS($B$5:$B$204,$B145,$C$5:$C$204,"Activity")+COUNTIFS($B$5:$B$204,$B145,$C$5:$C$204,"Variation")&lt;&gt;COUNTIFS($B$5:$B$204,$B145,$C$5:$C$204,"Activity",$J$5:$J$204,"&lt;&gt;",$J$5:$J$204,"&gt;=0",$J$5:$J$204,"&lt;=1")+COUNTIFS($B$5:$B$204,$B145,$C$5:$C$204,"Variation",$J$5:$J$204,"&lt;&gt;",$J$5:$J$204,"&gt;=0",$J$5:$J$204,"&lt;=1"),"",(SUMIFS($J$5:$J$204,$B$5:$B$204,$B145,$C$5:$C$204,"Activity")+SUMIFS($J$5:$J$204,$B$5:$B$204,$B145,$C$5:$C$204,"Variation"))/(COUNTIFS($B$5:$B$204,$B145,$C$5:$C$204,"Activity")+COUNTIFS($B$5:$B$204,$B145,$C$5:$C$204,"Variation")))),IF($C145="Milestone",IF(COUNTIFS($D$5:$D$204,$A145,$C$5:$C$204,"Activity")+COUNTIFS($D$5:$D$204,$A145,$C$5:$C$204,"Variation")=0,"",IF(COUNTIFS($D$5:$D$204,$A145,$C$5:$C$204,"Activity")+COUNTIFS($D$5:$D$204,$A145,$C$5:$C$204,"Variation")&lt;&gt;COUNTIFS($D$5:$D$204,$A145,$C$5:$C$204,"Activity",$J$5:$J$204,"&lt;&gt;",$J$5:$J$204,"&gt;=0",$J$5:$J$204,"&lt;=1")+COUNTIFS($D$5:$D$204,$A145,$C$5:$C$204,"Variation",$J$5:$J$204,"&lt;&gt;",$J$5:$J$204,"&gt;=0",$J$5:$J$204,"&lt;=1"),"",(SUMIFS($J$5:$J$204,$D$5:$D$204,$A145,$C$5:$C$204,"Activity")+SUMIFS($J$5:$J$204,$D$5:$D$204,$A145,$C$5:$C$204,"Variation"))/(COUNTIFS($D$5:$D$204,$A145,$C$5:$C$204,"Activity")+COUNTIFS($D$5:$D$204,$A145,$C$5:$C$204,"Variation")))),IF(OR($C145="Activity",$C145="Variation"),IF(AND(ISNUMBER($J145),$J145&gt;=0,$J145&lt;=1),$J145,""),""))))</x:f>
      </x:c>
      <x:c r="M145" s="7" t="str">
        <x:f t="shared" si="7">IF(OR($K145="",$L145=""),"",$L145-$K145)</x:f>
      </x:c>
      <x:c r="N145" s="6" t="str">
        <x:f>IF(OR($B145="",$I145="",$L145=""),"",IF(AND($L145&lt;1,$I145&lt;TODAY()),"Late",IF(AND($H145&lt;&gt;"",$I145&gt;$H145),"Forecast Slip","On Plan")))</x:f>
      </x:c>
      <x:c r="O145" s="19"/>
      <x:c r="P145" s="6" t="str">
        <x:f t="shared" si="8">IF($B145="","",IF($A145="","Enter item ID",IF(COUNTIF($A$5:$A$204,$A145)&gt;1,"Duplicate item ID",IF($C145="Initiative",IF($D145&lt;&gt;"","Parent must be blank",IF(COUNTIFS($B$5:$B$204,$B145,$C$5:$C$204,"Initiative")&lt;&gt;1,"One Initiative row required",IF(COUNTIFS($D$5:$D$204,$A145,$C$5:$C$204,"Milestone")=0,"Add milestone","OK"))),IF($C145="Milestone",IF(COUNTIFS($A$5:$A$204,$D145,$B$5:$B$204,$B145,$C$5:$C$204,"Initiative")&lt;&gt;1,"Parent must be Initiative",IF(COUNTIFS($D$5:$D$204,$A145,$C$5:$C$204,"Activity")+COUNTIFS($D$5:$D$204,$A145,$C$5:$C$204,"Variation")=0,"Add activity or variation","OK")),IF(OR($C145="Activity",$C145="Variation"),IF(COUNTIFS($A$5:$A$204,$D145,$B$5:$B$204,$B145,$C$5:$C$204,"Milestone")&lt;&gt;1,"Parent must be Milestone",IF(OR($G145="",$H145=""),"Enter baseline dates",IF($H145&lt;$G145,"Baseline finish before start",IF($I145="","Enter forecast finish",IF(COUNT($J145)=0,"Enter actual %",IF(OR(NOT(ISNUMBER($J145)),$J145&lt;0,$J145&gt;1),"Actual % must be 0–100%","OK")))))),"Select level"))))))</x:f>
      </x:c>
    </x:row>
    <x:row r="146">
      <x:c r="A146" s="66" t="str" cm="1">
        <x:f t="array" ref="A146">IF(OR(B146="",C146=""),"",IF(C146="Initiative",COUNTIF($C$5:C146,"Initiative"),IF(C146="Milestone",IF(D146="","",D146&amp;"."&amp;COUNTIFS($D$5:D146,D146,$C$5:C146,"Milestone")),IF(OR(C146="Activity",C146="Variation"),IF(D146="","",D146&amp;"."&amp;(COUNTIFS($D$5:D146,D146,$C$5:C146,"Activity")+COUNTIFS($D$5:D146,D146,$C$5:C146,"Variation"))),""))))</x:f>
      </x:c>
      <x:c r="B146" s="19"/>
      <x:c r="C146" s="19"/>
      <x:c r="D146" s="20"/>
      <x:c r="E146" s="21"/>
      <x:c r="F146" s="21"/>
      <x:c r="G146" s="102"/>
      <x:c r="H146" s="102"/>
      <x:c r="I146" s="102"/>
      <x:c r="J146" s="100"/>
      <x:c r="K146" s="7" t="str">
        <x:f>IF($B146="","",IF($C146="Initiative",IF(COUNTIFS($B$147:$B$204,$B146,$C$147:$C$204,"Activity")+COUNTIFS($B$147:$B$204,$B146,$C$147:$C$204,"Variation")=0,"",IF(COUNTIFS($B$147:$B$204,$B146,$C$147:$C$204,"Activity")+COUNTIFS($B$147:$B$204,$B146,$C$147:$C$204,"Variation")&lt;&gt;COUNTIFS($B$147:$B$204,$B146,$C$147:$C$204,"Activity",$G$147:$G$204,"&lt;&gt;",$H$147:$H$204,"&lt;&gt;")+COUNTIFS($B$147:$B$204,$B146,$C$147:$C$204,"Variation",$G$147:$G$204,"&lt;&gt;",$H$147:$H$204,"&lt;&gt;"),"",(SUMIFS($K$147:$K$204,$B$147:$B$204,$B146,$C$147:$C$204,"Activity")+SUMIFS($K$147:$K$204,$B$147:$B$204,$B146,$C$147:$C$204,"Variation"))/(COUNTIFS($B$147:$B$204,$B146,$C$147:$C$204,"Activity")+COUNTIFS($B$147:$B$204,$B146,$C$147:$C$204,"Variation")))),IF($C146="Milestone",IF(COUNTIFS($D$147:$D$204,$A146,$C$147:$C$204,"Activity")+COUNTIFS($D$147:$D$204,$A146,$C$147:$C$204,"Variation")=0,"",IF(COUNTIFS($D$147:$D$204,$A146,$C$147:$C$204,"Activity")+COUNTIFS($D$147:$D$204,$A146,$C$147:$C$204,"Variation")&lt;&gt;COUNTIFS($D$147:$D$204,$A146,$C$147:$C$204,"Activity",$G$147:$G$204,"&lt;&gt;",$H$147:$H$204,"&lt;&gt;")+COUNTIFS($D$147:$D$204,$A146,$C$147:$C$204,"Variation",$G$147:$G$204,"&lt;&gt;",$H$147:$H$204,"&lt;&gt;"),"",(SUMIFS($K$147:$K$204,$D$147:$D$204,$A146,$C$147:$C$204,"Activity")+SUMIFS($K$147:$K$204,$D$147:$D$204,$A146,$C$147:$C$204,"Variation"))/(COUNTIFS($D$147:$D$204,$A146,$C$147:$C$204,"Activity")+COUNTIFS($D$147:$D$204,$A146,$C$147:$C$204,"Variation")))),IF(OR($C146="Activity",$C146="Variation"),IF(OR($G146="",$H146=""),"",IF($H146&lt;$G146,"",IF($H146=$G146,--(TODAY()&gt;=$H146),MAX(0,MIN(1,(TODAY()-$G146)/($H146-$G146)))))),""))))</x:f>
      </x:c>
      <x:c r="L146" s="7" t="str">
        <x:f t="shared" si="6">IF($B146="","",IF($C146="Initiative",IF(COUNTIFS($B$5:$B$204,$B146,$C$5:$C$204,"Activity")+COUNTIFS($B$5:$B$204,$B146,$C$5:$C$204,"Variation")=0,"",IF(COUNTIFS($B$5:$B$204,$B146,$C$5:$C$204,"Activity")+COUNTIFS($B$5:$B$204,$B146,$C$5:$C$204,"Variation")&lt;&gt;COUNTIFS($B$5:$B$204,$B146,$C$5:$C$204,"Activity",$J$5:$J$204,"&lt;&gt;",$J$5:$J$204,"&gt;=0",$J$5:$J$204,"&lt;=1")+COUNTIFS($B$5:$B$204,$B146,$C$5:$C$204,"Variation",$J$5:$J$204,"&lt;&gt;",$J$5:$J$204,"&gt;=0",$J$5:$J$204,"&lt;=1"),"",(SUMIFS($J$5:$J$204,$B$5:$B$204,$B146,$C$5:$C$204,"Activity")+SUMIFS($J$5:$J$204,$B$5:$B$204,$B146,$C$5:$C$204,"Variation"))/(COUNTIFS($B$5:$B$204,$B146,$C$5:$C$204,"Activity")+COUNTIFS($B$5:$B$204,$B146,$C$5:$C$204,"Variation")))),IF($C146="Milestone",IF(COUNTIFS($D$5:$D$204,$A146,$C$5:$C$204,"Activity")+COUNTIFS($D$5:$D$204,$A146,$C$5:$C$204,"Variation")=0,"",IF(COUNTIFS($D$5:$D$204,$A146,$C$5:$C$204,"Activity")+COUNTIFS($D$5:$D$204,$A146,$C$5:$C$204,"Variation")&lt;&gt;COUNTIFS($D$5:$D$204,$A146,$C$5:$C$204,"Activity",$J$5:$J$204,"&lt;&gt;",$J$5:$J$204,"&gt;=0",$J$5:$J$204,"&lt;=1")+COUNTIFS($D$5:$D$204,$A146,$C$5:$C$204,"Variation",$J$5:$J$204,"&lt;&gt;",$J$5:$J$204,"&gt;=0",$J$5:$J$204,"&lt;=1"),"",(SUMIFS($J$5:$J$204,$D$5:$D$204,$A146,$C$5:$C$204,"Activity")+SUMIFS($J$5:$J$204,$D$5:$D$204,$A146,$C$5:$C$204,"Variation"))/(COUNTIFS($D$5:$D$204,$A146,$C$5:$C$204,"Activity")+COUNTIFS($D$5:$D$204,$A146,$C$5:$C$204,"Variation")))),IF(OR($C146="Activity",$C146="Variation"),IF(AND(ISNUMBER($J146),$J146&gt;=0,$J146&lt;=1),$J146,""),""))))</x:f>
      </x:c>
      <x:c r="M146" s="7" t="str">
        <x:f t="shared" si="7">IF(OR($K146="",$L146=""),"",$L146-$K146)</x:f>
      </x:c>
      <x:c r="N146" s="6" t="str">
        <x:f>IF(OR($B146="",$I146="",$L146=""),"",IF(AND($L146&lt;1,$I146&lt;TODAY()),"Late",IF(AND($H146&lt;&gt;"",$I146&gt;$H146),"Forecast Slip","On Plan")))</x:f>
      </x:c>
      <x:c r="O146" s="19"/>
      <x:c r="P146" s="6" t="str">
        <x:f t="shared" si="8">IF($B146="","",IF($A146="","Enter item ID",IF(COUNTIF($A$5:$A$204,$A146)&gt;1,"Duplicate item ID",IF($C146="Initiative",IF($D146&lt;&gt;"","Parent must be blank",IF(COUNTIFS($B$5:$B$204,$B146,$C$5:$C$204,"Initiative")&lt;&gt;1,"One Initiative row required",IF(COUNTIFS($D$5:$D$204,$A146,$C$5:$C$204,"Milestone")=0,"Add milestone","OK"))),IF($C146="Milestone",IF(COUNTIFS($A$5:$A$204,$D146,$B$5:$B$204,$B146,$C$5:$C$204,"Initiative")&lt;&gt;1,"Parent must be Initiative",IF(COUNTIFS($D$5:$D$204,$A146,$C$5:$C$204,"Activity")+COUNTIFS($D$5:$D$204,$A146,$C$5:$C$204,"Variation")=0,"Add activity or variation","OK")),IF(OR($C146="Activity",$C146="Variation"),IF(COUNTIFS($A$5:$A$204,$D146,$B$5:$B$204,$B146,$C$5:$C$204,"Milestone")&lt;&gt;1,"Parent must be Milestone",IF(OR($G146="",$H146=""),"Enter baseline dates",IF($H146&lt;$G146,"Baseline finish before start",IF($I146="","Enter forecast finish",IF(COUNT($J146)=0,"Enter actual %",IF(OR(NOT(ISNUMBER($J146)),$J146&lt;0,$J146&gt;1),"Actual % must be 0–100%","OK")))))),"Select level"))))))</x:f>
      </x:c>
    </x:row>
    <x:row r="147">
      <x:c r="A147" s="66" t="str" cm="1">
        <x:f t="array" ref="A147">IF(OR(B147="",C147=""),"",IF(C147="Initiative",COUNTIF($C$5:C147,"Initiative"),IF(C147="Milestone",IF(D147="","",D147&amp;"."&amp;COUNTIFS($D$5:D147,D147,$C$5:C147,"Milestone")),IF(OR(C147="Activity",C147="Variation"),IF(D147="","",D147&amp;"."&amp;(COUNTIFS($D$5:D147,D147,$C$5:C147,"Activity")+COUNTIFS($D$5:D147,D147,$C$5:C147,"Variation"))),""))))</x:f>
      </x:c>
      <x:c r="B147" s="19"/>
      <x:c r="C147" s="19"/>
      <x:c r="D147" s="20"/>
      <x:c r="E147" s="21"/>
      <x:c r="F147" s="21"/>
      <x:c r="G147" s="102"/>
      <x:c r="H147" s="102"/>
      <x:c r="I147" s="102"/>
      <x:c r="J147" s="100"/>
      <x:c r="K147" s="7" t="str">
        <x:f>IF($B147="","",IF($C147="Initiative",IF(COUNTIFS($B$148:$B$204,$B147,$C$148:$C$204,"Activity")+COUNTIFS($B$148:$B$204,$B147,$C$148:$C$204,"Variation")=0,"",IF(COUNTIFS($B$148:$B$204,$B147,$C$148:$C$204,"Activity")+COUNTIFS($B$148:$B$204,$B147,$C$148:$C$204,"Variation")&lt;&gt;COUNTIFS($B$148:$B$204,$B147,$C$148:$C$204,"Activity",$G$148:$G$204,"&lt;&gt;",$H$148:$H$204,"&lt;&gt;")+COUNTIFS($B$148:$B$204,$B147,$C$148:$C$204,"Variation",$G$148:$G$204,"&lt;&gt;",$H$148:$H$204,"&lt;&gt;"),"",(SUMIFS($K$148:$K$204,$B$148:$B$204,$B147,$C$148:$C$204,"Activity")+SUMIFS($K$148:$K$204,$B$148:$B$204,$B147,$C$148:$C$204,"Variation"))/(COUNTIFS($B$148:$B$204,$B147,$C$148:$C$204,"Activity")+COUNTIFS($B$148:$B$204,$B147,$C$148:$C$204,"Variation")))),IF($C147="Milestone",IF(COUNTIFS($D$148:$D$204,$A147,$C$148:$C$204,"Activity")+COUNTIFS($D$148:$D$204,$A147,$C$148:$C$204,"Variation")=0,"",IF(COUNTIFS($D$148:$D$204,$A147,$C$148:$C$204,"Activity")+COUNTIFS($D$148:$D$204,$A147,$C$148:$C$204,"Variation")&lt;&gt;COUNTIFS($D$148:$D$204,$A147,$C$148:$C$204,"Activity",$G$148:$G$204,"&lt;&gt;",$H$148:$H$204,"&lt;&gt;")+COUNTIFS($D$148:$D$204,$A147,$C$148:$C$204,"Variation",$G$148:$G$204,"&lt;&gt;",$H$148:$H$204,"&lt;&gt;"),"",(SUMIFS($K$148:$K$204,$D$148:$D$204,$A147,$C$148:$C$204,"Activity")+SUMIFS($K$148:$K$204,$D$148:$D$204,$A147,$C$148:$C$204,"Variation"))/(COUNTIFS($D$148:$D$204,$A147,$C$148:$C$204,"Activity")+COUNTIFS($D$148:$D$204,$A147,$C$148:$C$204,"Variation")))),IF(OR($C147="Activity",$C147="Variation"),IF(OR($G147="",$H147=""),"",IF($H147&lt;$G147,"",IF($H147=$G147,--(TODAY()&gt;=$H147),MAX(0,MIN(1,(TODAY()-$G147)/($H147-$G147)))))),""))))</x:f>
      </x:c>
      <x:c r="L147" s="7" t="str">
        <x:f t="shared" si="6">IF($B147="","",IF($C147="Initiative",IF(COUNTIFS($B$5:$B$204,$B147,$C$5:$C$204,"Activity")+COUNTIFS($B$5:$B$204,$B147,$C$5:$C$204,"Variation")=0,"",IF(COUNTIFS($B$5:$B$204,$B147,$C$5:$C$204,"Activity")+COUNTIFS($B$5:$B$204,$B147,$C$5:$C$204,"Variation")&lt;&gt;COUNTIFS($B$5:$B$204,$B147,$C$5:$C$204,"Activity",$J$5:$J$204,"&lt;&gt;",$J$5:$J$204,"&gt;=0",$J$5:$J$204,"&lt;=1")+COUNTIFS($B$5:$B$204,$B147,$C$5:$C$204,"Variation",$J$5:$J$204,"&lt;&gt;",$J$5:$J$204,"&gt;=0",$J$5:$J$204,"&lt;=1"),"",(SUMIFS($J$5:$J$204,$B$5:$B$204,$B147,$C$5:$C$204,"Activity")+SUMIFS($J$5:$J$204,$B$5:$B$204,$B147,$C$5:$C$204,"Variation"))/(COUNTIFS($B$5:$B$204,$B147,$C$5:$C$204,"Activity")+COUNTIFS($B$5:$B$204,$B147,$C$5:$C$204,"Variation")))),IF($C147="Milestone",IF(COUNTIFS($D$5:$D$204,$A147,$C$5:$C$204,"Activity")+COUNTIFS($D$5:$D$204,$A147,$C$5:$C$204,"Variation")=0,"",IF(COUNTIFS($D$5:$D$204,$A147,$C$5:$C$204,"Activity")+COUNTIFS($D$5:$D$204,$A147,$C$5:$C$204,"Variation")&lt;&gt;COUNTIFS($D$5:$D$204,$A147,$C$5:$C$204,"Activity",$J$5:$J$204,"&lt;&gt;",$J$5:$J$204,"&gt;=0",$J$5:$J$204,"&lt;=1")+COUNTIFS($D$5:$D$204,$A147,$C$5:$C$204,"Variation",$J$5:$J$204,"&lt;&gt;",$J$5:$J$204,"&gt;=0",$J$5:$J$204,"&lt;=1"),"",(SUMIFS($J$5:$J$204,$D$5:$D$204,$A147,$C$5:$C$204,"Activity")+SUMIFS($J$5:$J$204,$D$5:$D$204,$A147,$C$5:$C$204,"Variation"))/(COUNTIFS($D$5:$D$204,$A147,$C$5:$C$204,"Activity")+COUNTIFS($D$5:$D$204,$A147,$C$5:$C$204,"Variation")))),IF(OR($C147="Activity",$C147="Variation"),IF(AND(ISNUMBER($J147),$J147&gt;=0,$J147&lt;=1),$J147,""),""))))</x:f>
      </x:c>
      <x:c r="M147" s="7" t="str">
        <x:f t="shared" si="7">IF(OR($K147="",$L147=""),"",$L147-$K147)</x:f>
      </x:c>
      <x:c r="N147" s="6" t="str">
        <x:f>IF(OR($B147="",$I147="",$L147=""),"",IF(AND($L147&lt;1,$I147&lt;TODAY()),"Late",IF(AND($H147&lt;&gt;"",$I147&gt;$H147),"Forecast Slip","On Plan")))</x:f>
      </x:c>
      <x:c r="O147" s="19"/>
      <x:c r="P147" s="6" t="str">
        <x:f t="shared" si="8">IF($B147="","",IF($A147="","Enter item ID",IF(COUNTIF($A$5:$A$204,$A147)&gt;1,"Duplicate item ID",IF($C147="Initiative",IF($D147&lt;&gt;"","Parent must be blank",IF(COUNTIFS($B$5:$B$204,$B147,$C$5:$C$204,"Initiative")&lt;&gt;1,"One Initiative row required",IF(COUNTIFS($D$5:$D$204,$A147,$C$5:$C$204,"Milestone")=0,"Add milestone","OK"))),IF($C147="Milestone",IF(COUNTIFS($A$5:$A$204,$D147,$B$5:$B$204,$B147,$C$5:$C$204,"Initiative")&lt;&gt;1,"Parent must be Initiative",IF(COUNTIFS($D$5:$D$204,$A147,$C$5:$C$204,"Activity")+COUNTIFS($D$5:$D$204,$A147,$C$5:$C$204,"Variation")=0,"Add activity or variation","OK")),IF(OR($C147="Activity",$C147="Variation"),IF(COUNTIFS($A$5:$A$204,$D147,$B$5:$B$204,$B147,$C$5:$C$204,"Milestone")&lt;&gt;1,"Parent must be Milestone",IF(OR($G147="",$H147=""),"Enter baseline dates",IF($H147&lt;$G147,"Baseline finish before start",IF($I147="","Enter forecast finish",IF(COUNT($J147)=0,"Enter actual %",IF(OR(NOT(ISNUMBER($J147)),$J147&lt;0,$J147&gt;1),"Actual % must be 0–100%","OK")))))),"Select level"))))))</x:f>
      </x:c>
    </x:row>
    <x:row r="148">
      <x:c r="A148" s="66" t="str" cm="1">
        <x:f t="array" ref="A148">IF(OR(B148="",C148=""),"",IF(C148="Initiative",COUNTIF($C$5:C148,"Initiative"),IF(C148="Milestone",IF(D148="","",D148&amp;"."&amp;COUNTIFS($D$5:D148,D148,$C$5:C148,"Milestone")),IF(OR(C148="Activity",C148="Variation"),IF(D148="","",D148&amp;"."&amp;(COUNTIFS($D$5:D148,D148,$C$5:C148,"Activity")+COUNTIFS($D$5:D148,D148,$C$5:C148,"Variation"))),""))))</x:f>
      </x:c>
      <x:c r="B148" s="19"/>
      <x:c r="C148" s="19"/>
      <x:c r="D148" s="20"/>
      <x:c r="E148" s="21"/>
      <x:c r="F148" s="21"/>
      <x:c r="G148" s="102"/>
      <x:c r="H148" s="102"/>
      <x:c r="I148" s="102"/>
      <x:c r="J148" s="100"/>
      <x:c r="K148" s="7" t="str">
        <x:f>IF($B148="","",IF($C148="Initiative",IF(COUNTIFS($B$149:$B$204,$B148,$C$149:$C$204,"Activity")+COUNTIFS($B$149:$B$204,$B148,$C$149:$C$204,"Variation")=0,"",IF(COUNTIFS($B$149:$B$204,$B148,$C$149:$C$204,"Activity")+COUNTIFS($B$149:$B$204,$B148,$C$149:$C$204,"Variation")&lt;&gt;COUNTIFS($B$149:$B$204,$B148,$C$149:$C$204,"Activity",$G$149:$G$204,"&lt;&gt;",$H$149:$H$204,"&lt;&gt;")+COUNTIFS($B$149:$B$204,$B148,$C$149:$C$204,"Variation",$G$149:$G$204,"&lt;&gt;",$H$149:$H$204,"&lt;&gt;"),"",(SUMIFS($K$149:$K$204,$B$149:$B$204,$B148,$C$149:$C$204,"Activity")+SUMIFS($K$149:$K$204,$B$149:$B$204,$B148,$C$149:$C$204,"Variation"))/(COUNTIFS($B$149:$B$204,$B148,$C$149:$C$204,"Activity")+COUNTIFS($B$149:$B$204,$B148,$C$149:$C$204,"Variation")))),IF($C148="Milestone",IF(COUNTIFS($D$149:$D$204,$A148,$C$149:$C$204,"Activity")+COUNTIFS($D$149:$D$204,$A148,$C$149:$C$204,"Variation")=0,"",IF(COUNTIFS($D$149:$D$204,$A148,$C$149:$C$204,"Activity")+COUNTIFS($D$149:$D$204,$A148,$C$149:$C$204,"Variation")&lt;&gt;COUNTIFS($D$149:$D$204,$A148,$C$149:$C$204,"Activity",$G$149:$G$204,"&lt;&gt;",$H$149:$H$204,"&lt;&gt;")+COUNTIFS($D$149:$D$204,$A148,$C$149:$C$204,"Variation",$G$149:$G$204,"&lt;&gt;",$H$149:$H$204,"&lt;&gt;"),"",(SUMIFS($K$149:$K$204,$D$149:$D$204,$A148,$C$149:$C$204,"Activity")+SUMIFS($K$149:$K$204,$D$149:$D$204,$A148,$C$149:$C$204,"Variation"))/(COUNTIFS($D$149:$D$204,$A148,$C$149:$C$204,"Activity")+COUNTIFS($D$149:$D$204,$A148,$C$149:$C$204,"Variation")))),IF(OR($C148="Activity",$C148="Variation"),IF(OR($G148="",$H148=""),"",IF($H148&lt;$G148,"",IF($H148=$G148,--(TODAY()&gt;=$H148),MAX(0,MIN(1,(TODAY()-$G148)/($H148-$G148)))))),""))))</x:f>
      </x:c>
      <x:c r="L148" s="7" t="str">
        <x:f t="shared" si="6">IF($B148="","",IF($C148="Initiative",IF(COUNTIFS($B$5:$B$204,$B148,$C$5:$C$204,"Activity")+COUNTIFS($B$5:$B$204,$B148,$C$5:$C$204,"Variation")=0,"",IF(COUNTIFS($B$5:$B$204,$B148,$C$5:$C$204,"Activity")+COUNTIFS($B$5:$B$204,$B148,$C$5:$C$204,"Variation")&lt;&gt;COUNTIFS($B$5:$B$204,$B148,$C$5:$C$204,"Activity",$J$5:$J$204,"&lt;&gt;",$J$5:$J$204,"&gt;=0",$J$5:$J$204,"&lt;=1")+COUNTIFS($B$5:$B$204,$B148,$C$5:$C$204,"Variation",$J$5:$J$204,"&lt;&gt;",$J$5:$J$204,"&gt;=0",$J$5:$J$204,"&lt;=1"),"",(SUMIFS($J$5:$J$204,$B$5:$B$204,$B148,$C$5:$C$204,"Activity")+SUMIFS($J$5:$J$204,$B$5:$B$204,$B148,$C$5:$C$204,"Variation"))/(COUNTIFS($B$5:$B$204,$B148,$C$5:$C$204,"Activity")+COUNTIFS($B$5:$B$204,$B148,$C$5:$C$204,"Variation")))),IF($C148="Milestone",IF(COUNTIFS($D$5:$D$204,$A148,$C$5:$C$204,"Activity")+COUNTIFS($D$5:$D$204,$A148,$C$5:$C$204,"Variation")=0,"",IF(COUNTIFS($D$5:$D$204,$A148,$C$5:$C$204,"Activity")+COUNTIFS($D$5:$D$204,$A148,$C$5:$C$204,"Variation")&lt;&gt;COUNTIFS($D$5:$D$204,$A148,$C$5:$C$204,"Activity",$J$5:$J$204,"&lt;&gt;",$J$5:$J$204,"&gt;=0",$J$5:$J$204,"&lt;=1")+COUNTIFS($D$5:$D$204,$A148,$C$5:$C$204,"Variation",$J$5:$J$204,"&lt;&gt;",$J$5:$J$204,"&gt;=0",$J$5:$J$204,"&lt;=1"),"",(SUMIFS($J$5:$J$204,$D$5:$D$204,$A148,$C$5:$C$204,"Activity")+SUMIFS($J$5:$J$204,$D$5:$D$204,$A148,$C$5:$C$204,"Variation"))/(COUNTIFS($D$5:$D$204,$A148,$C$5:$C$204,"Activity")+COUNTIFS($D$5:$D$204,$A148,$C$5:$C$204,"Variation")))),IF(OR($C148="Activity",$C148="Variation"),IF(AND(ISNUMBER($J148),$J148&gt;=0,$J148&lt;=1),$J148,""),""))))</x:f>
      </x:c>
      <x:c r="M148" s="7" t="str">
        <x:f t="shared" si="7">IF(OR($K148="",$L148=""),"",$L148-$K148)</x:f>
      </x:c>
      <x:c r="N148" s="6" t="str">
        <x:f>IF(OR($B148="",$I148="",$L148=""),"",IF(AND($L148&lt;1,$I148&lt;TODAY()),"Late",IF(AND($H148&lt;&gt;"",$I148&gt;$H148),"Forecast Slip","On Plan")))</x:f>
      </x:c>
      <x:c r="O148" s="19"/>
      <x:c r="P148" s="6" t="str">
        <x:f t="shared" si="8">IF($B148="","",IF($A148="","Enter item ID",IF(COUNTIF($A$5:$A$204,$A148)&gt;1,"Duplicate item ID",IF($C148="Initiative",IF($D148&lt;&gt;"","Parent must be blank",IF(COUNTIFS($B$5:$B$204,$B148,$C$5:$C$204,"Initiative")&lt;&gt;1,"One Initiative row required",IF(COUNTIFS($D$5:$D$204,$A148,$C$5:$C$204,"Milestone")=0,"Add milestone","OK"))),IF($C148="Milestone",IF(COUNTIFS($A$5:$A$204,$D148,$B$5:$B$204,$B148,$C$5:$C$204,"Initiative")&lt;&gt;1,"Parent must be Initiative",IF(COUNTIFS($D$5:$D$204,$A148,$C$5:$C$204,"Activity")+COUNTIFS($D$5:$D$204,$A148,$C$5:$C$204,"Variation")=0,"Add activity or variation","OK")),IF(OR($C148="Activity",$C148="Variation"),IF(COUNTIFS($A$5:$A$204,$D148,$B$5:$B$204,$B148,$C$5:$C$204,"Milestone")&lt;&gt;1,"Parent must be Milestone",IF(OR($G148="",$H148=""),"Enter baseline dates",IF($H148&lt;$G148,"Baseline finish before start",IF($I148="","Enter forecast finish",IF(COUNT($J148)=0,"Enter actual %",IF(OR(NOT(ISNUMBER($J148)),$J148&lt;0,$J148&gt;1),"Actual % must be 0–100%","OK")))))),"Select level"))))))</x:f>
      </x:c>
    </x:row>
    <x:row r="149">
      <x:c r="A149" s="66" t="str" cm="1">
        <x:f t="array" ref="A149">IF(OR(B149="",C149=""),"",IF(C149="Initiative",COUNTIF($C$5:C149,"Initiative"),IF(C149="Milestone",IF(D149="","",D149&amp;"."&amp;COUNTIFS($D$5:D149,D149,$C$5:C149,"Milestone")),IF(OR(C149="Activity",C149="Variation"),IF(D149="","",D149&amp;"."&amp;(COUNTIFS($D$5:D149,D149,$C$5:C149,"Activity")+COUNTIFS($D$5:D149,D149,$C$5:C149,"Variation"))),""))))</x:f>
      </x:c>
      <x:c r="B149" s="19"/>
      <x:c r="C149" s="19"/>
      <x:c r="D149" s="20"/>
      <x:c r="E149" s="21"/>
      <x:c r="F149" s="21"/>
      <x:c r="G149" s="102"/>
      <x:c r="H149" s="102"/>
      <x:c r="I149" s="102"/>
      <x:c r="J149" s="100"/>
      <x:c r="K149" s="7" t="str">
        <x:f>IF($B149="","",IF($C149="Initiative",IF(COUNTIFS($B$150:$B$204,$B149,$C$150:$C$204,"Activity")+COUNTIFS($B$150:$B$204,$B149,$C$150:$C$204,"Variation")=0,"",IF(COUNTIFS($B$150:$B$204,$B149,$C$150:$C$204,"Activity")+COUNTIFS($B$150:$B$204,$B149,$C$150:$C$204,"Variation")&lt;&gt;COUNTIFS($B$150:$B$204,$B149,$C$150:$C$204,"Activity",$G$150:$G$204,"&lt;&gt;",$H$150:$H$204,"&lt;&gt;")+COUNTIFS($B$150:$B$204,$B149,$C$150:$C$204,"Variation",$G$150:$G$204,"&lt;&gt;",$H$150:$H$204,"&lt;&gt;"),"",(SUMIFS($K$150:$K$204,$B$150:$B$204,$B149,$C$150:$C$204,"Activity")+SUMIFS($K$150:$K$204,$B$150:$B$204,$B149,$C$150:$C$204,"Variation"))/(COUNTIFS($B$150:$B$204,$B149,$C$150:$C$204,"Activity")+COUNTIFS($B$150:$B$204,$B149,$C$150:$C$204,"Variation")))),IF($C149="Milestone",IF(COUNTIFS($D$150:$D$204,$A149,$C$150:$C$204,"Activity")+COUNTIFS($D$150:$D$204,$A149,$C$150:$C$204,"Variation")=0,"",IF(COUNTIFS($D$150:$D$204,$A149,$C$150:$C$204,"Activity")+COUNTIFS($D$150:$D$204,$A149,$C$150:$C$204,"Variation")&lt;&gt;COUNTIFS($D$150:$D$204,$A149,$C$150:$C$204,"Activity",$G$150:$G$204,"&lt;&gt;",$H$150:$H$204,"&lt;&gt;")+COUNTIFS($D$150:$D$204,$A149,$C$150:$C$204,"Variation",$G$150:$G$204,"&lt;&gt;",$H$150:$H$204,"&lt;&gt;"),"",(SUMIFS($K$150:$K$204,$D$150:$D$204,$A149,$C$150:$C$204,"Activity")+SUMIFS($K$150:$K$204,$D$150:$D$204,$A149,$C$150:$C$204,"Variation"))/(COUNTIFS($D$150:$D$204,$A149,$C$150:$C$204,"Activity")+COUNTIFS($D$150:$D$204,$A149,$C$150:$C$204,"Variation")))),IF(OR($C149="Activity",$C149="Variation"),IF(OR($G149="",$H149=""),"",IF($H149&lt;$G149,"",IF($H149=$G149,--(TODAY()&gt;=$H149),MAX(0,MIN(1,(TODAY()-$G149)/($H149-$G149)))))),""))))</x:f>
      </x:c>
      <x:c r="L149" s="7" t="str">
        <x:f t="shared" si="6">IF($B149="","",IF($C149="Initiative",IF(COUNTIFS($B$5:$B$204,$B149,$C$5:$C$204,"Activity")+COUNTIFS($B$5:$B$204,$B149,$C$5:$C$204,"Variation")=0,"",IF(COUNTIFS($B$5:$B$204,$B149,$C$5:$C$204,"Activity")+COUNTIFS($B$5:$B$204,$B149,$C$5:$C$204,"Variation")&lt;&gt;COUNTIFS($B$5:$B$204,$B149,$C$5:$C$204,"Activity",$J$5:$J$204,"&lt;&gt;",$J$5:$J$204,"&gt;=0",$J$5:$J$204,"&lt;=1")+COUNTIFS($B$5:$B$204,$B149,$C$5:$C$204,"Variation",$J$5:$J$204,"&lt;&gt;",$J$5:$J$204,"&gt;=0",$J$5:$J$204,"&lt;=1"),"",(SUMIFS($J$5:$J$204,$B$5:$B$204,$B149,$C$5:$C$204,"Activity")+SUMIFS($J$5:$J$204,$B$5:$B$204,$B149,$C$5:$C$204,"Variation"))/(COUNTIFS($B$5:$B$204,$B149,$C$5:$C$204,"Activity")+COUNTIFS($B$5:$B$204,$B149,$C$5:$C$204,"Variation")))),IF($C149="Milestone",IF(COUNTIFS($D$5:$D$204,$A149,$C$5:$C$204,"Activity")+COUNTIFS($D$5:$D$204,$A149,$C$5:$C$204,"Variation")=0,"",IF(COUNTIFS($D$5:$D$204,$A149,$C$5:$C$204,"Activity")+COUNTIFS($D$5:$D$204,$A149,$C$5:$C$204,"Variation")&lt;&gt;COUNTIFS($D$5:$D$204,$A149,$C$5:$C$204,"Activity",$J$5:$J$204,"&lt;&gt;",$J$5:$J$204,"&gt;=0",$J$5:$J$204,"&lt;=1")+COUNTIFS($D$5:$D$204,$A149,$C$5:$C$204,"Variation",$J$5:$J$204,"&lt;&gt;",$J$5:$J$204,"&gt;=0",$J$5:$J$204,"&lt;=1"),"",(SUMIFS($J$5:$J$204,$D$5:$D$204,$A149,$C$5:$C$204,"Activity")+SUMIFS($J$5:$J$204,$D$5:$D$204,$A149,$C$5:$C$204,"Variation"))/(COUNTIFS($D$5:$D$204,$A149,$C$5:$C$204,"Activity")+COUNTIFS($D$5:$D$204,$A149,$C$5:$C$204,"Variation")))),IF(OR($C149="Activity",$C149="Variation"),IF(AND(ISNUMBER($J149),$J149&gt;=0,$J149&lt;=1),$J149,""),""))))</x:f>
      </x:c>
      <x:c r="M149" s="7" t="str">
        <x:f t="shared" si="7">IF(OR($K149="",$L149=""),"",$L149-$K149)</x:f>
      </x:c>
      <x:c r="N149" s="6" t="str">
        <x:f>IF(OR($B149="",$I149="",$L149=""),"",IF(AND($L149&lt;1,$I149&lt;TODAY()),"Late",IF(AND($H149&lt;&gt;"",$I149&gt;$H149),"Forecast Slip","On Plan")))</x:f>
      </x:c>
      <x:c r="O149" s="19"/>
      <x:c r="P149" s="6" t="str">
        <x:f t="shared" si="8">IF($B149="","",IF($A149="","Enter item ID",IF(COUNTIF($A$5:$A$204,$A149)&gt;1,"Duplicate item ID",IF($C149="Initiative",IF($D149&lt;&gt;"","Parent must be blank",IF(COUNTIFS($B$5:$B$204,$B149,$C$5:$C$204,"Initiative")&lt;&gt;1,"One Initiative row required",IF(COUNTIFS($D$5:$D$204,$A149,$C$5:$C$204,"Milestone")=0,"Add milestone","OK"))),IF($C149="Milestone",IF(COUNTIFS($A$5:$A$204,$D149,$B$5:$B$204,$B149,$C$5:$C$204,"Initiative")&lt;&gt;1,"Parent must be Initiative",IF(COUNTIFS($D$5:$D$204,$A149,$C$5:$C$204,"Activity")+COUNTIFS($D$5:$D$204,$A149,$C$5:$C$204,"Variation")=0,"Add activity or variation","OK")),IF(OR($C149="Activity",$C149="Variation"),IF(COUNTIFS($A$5:$A$204,$D149,$B$5:$B$204,$B149,$C$5:$C$204,"Milestone")&lt;&gt;1,"Parent must be Milestone",IF(OR($G149="",$H149=""),"Enter baseline dates",IF($H149&lt;$G149,"Baseline finish before start",IF($I149="","Enter forecast finish",IF(COUNT($J149)=0,"Enter actual %",IF(OR(NOT(ISNUMBER($J149)),$J149&lt;0,$J149&gt;1),"Actual % must be 0–100%","OK")))))),"Select level"))))))</x:f>
      </x:c>
    </x:row>
    <x:row r="150">
      <x:c r="A150" s="66" t="str" cm="1">
        <x:f t="array" ref="A150">IF(OR(B150="",C150=""),"",IF(C150="Initiative",COUNTIF($C$5:C150,"Initiative"),IF(C150="Milestone",IF(D150="","",D150&amp;"."&amp;COUNTIFS($D$5:D150,D150,$C$5:C150,"Milestone")),IF(OR(C150="Activity",C150="Variation"),IF(D150="","",D150&amp;"."&amp;(COUNTIFS($D$5:D150,D150,$C$5:C150,"Activity")+COUNTIFS($D$5:D150,D150,$C$5:C150,"Variation"))),""))))</x:f>
      </x:c>
      <x:c r="B150" s="19"/>
      <x:c r="C150" s="19"/>
      <x:c r="D150" s="20"/>
      <x:c r="E150" s="21"/>
      <x:c r="F150" s="21"/>
      <x:c r="G150" s="102"/>
      <x:c r="H150" s="102"/>
      <x:c r="I150" s="102"/>
      <x:c r="J150" s="100"/>
      <x:c r="K150" s="7" t="str">
        <x:f>IF($B150="","",IF($C150="Initiative",IF(COUNTIFS($B$151:$B$204,$B150,$C$151:$C$204,"Activity")+COUNTIFS($B$151:$B$204,$B150,$C$151:$C$204,"Variation")=0,"",IF(COUNTIFS($B$151:$B$204,$B150,$C$151:$C$204,"Activity")+COUNTIFS($B$151:$B$204,$B150,$C$151:$C$204,"Variation")&lt;&gt;COUNTIFS($B$151:$B$204,$B150,$C$151:$C$204,"Activity",$G$151:$G$204,"&lt;&gt;",$H$151:$H$204,"&lt;&gt;")+COUNTIFS($B$151:$B$204,$B150,$C$151:$C$204,"Variation",$G$151:$G$204,"&lt;&gt;",$H$151:$H$204,"&lt;&gt;"),"",(SUMIFS($K$151:$K$204,$B$151:$B$204,$B150,$C$151:$C$204,"Activity")+SUMIFS($K$151:$K$204,$B$151:$B$204,$B150,$C$151:$C$204,"Variation"))/(COUNTIFS($B$151:$B$204,$B150,$C$151:$C$204,"Activity")+COUNTIFS($B$151:$B$204,$B150,$C$151:$C$204,"Variation")))),IF($C150="Milestone",IF(COUNTIFS($D$151:$D$204,$A150,$C$151:$C$204,"Activity")+COUNTIFS($D$151:$D$204,$A150,$C$151:$C$204,"Variation")=0,"",IF(COUNTIFS($D$151:$D$204,$A150,$C$151:$C$204,"Activity")+COUNTIFS($D$151:$D$204,$A150,$C$151:$C$204,"Variation")&lt;&gt;COUNTIFS($D$151:$D$204,$A150,$C$151:$C$204,"Activity",$G$151:$G$204,"&lt;&gt;",$H$151:$H$204,"&lt;&gt;")+COUNTIFS($D$151:$D$204,$A150,$C$151:$C$204,"Variation",$G$151:$G$204,"&lt;&gt;",$H$151:$H$204,"&lt;&gt;"),"",(SUMIFS($K$151:$K$204,$D$151:$D$204,$A150,$C$151:$C$204,"Activity")+SUMIFS($K$151:$K$204,$D$151:$D$204,$A150,$C$151:$C$204,"Variation"))/(COUNTIFS($D$151:$D$204,$A150,$C$151:$C$204,"Activity")+COUNTIFS($D$151:$D$204,$A150,$C$151:$C$204,"Variation")))),IF(OR($C150="Activity",$C150="Variation"),IF(OR($G150="",$H150=""),"",IF($H150&lt;$G150,"",IF($H150=$G150,--(TODAY()&gt;=$H150),MAX(0,MIN(1,(TODAY()-$G150)/($H150-$G150)))))),""))))</x:f>
      </x:c>
      <x:c r="L150" s="7" t="str">
        <x:f t="shared" si="6">IF($B150="","",IF($C150="Initiative",IF(COUNTIFS($B$5:$B$204,$B150,$C$5:$C$204,"Activity")+COUNTIFS($B$5:$B$204,$B150,$C$5:$C$204,"Variation")=0,"",IF(COUNTIFS($B$5:$B$204,$B150,$C$5:$C$204,"Activity")+COUNTIFS($B$5:$B$204,$B150,$C$5:$C$204,"Variation")&lt;&gt;COUNTIFS($B$5:$B$204,$B150,$C$5:$C$204,"Activity",$J$5:$J$204,"&lt;&gt;",$J$5:$J$204,"&gt;=0",$J$5:$J$204,"&lt;=1")+COUNTIFS($B$5:$B$204,$B150,$C$5:$C$204,"Variation",$J$5:$J$204,"&lt;&gt;",$J$5:$J$204,"&gt;=0",$J$5:$J$204,"&lt;=1"),"",(SUMIFS($J$5:$J$204,$B$5:$B$204,$B150,$C$5:$C$204,"Activity")+SUMIFS($J$5:$J$204,$B$5:$B$204,$B150,$C$5:$C$204,"Variation"))/(COUNTIFS($B$5:$B$204,$B150,$C$5:$C$204,"Activity")+COUNTIFS($B$5:$B$204,$B150,$C$5:$C$204,"Variation")))),IF($C150="Milestone",IF(COUNTIFS($D$5:$D$204,$A150,$C$5:$C$204,"Activity")+COUNTIFS($D$5:$D$204,$A150,$C$5:$C$204,"Variation")=0,"",IF(COUNTIFS($D$5:$D$204,$A150,$C$5:$C$204,"Activity")+COUNTIFS($D$5:$D$204,$A150,$C$5:$C$204,"Variation")&lt;&gt;COUNTIFS($D$5:$D$204,$A150,$C$5:$C$204,"Activity",$J$5:$J$204,"&lt;&gt;",$J$5:$J$204,"&gt;=0",$J$5:$J$204,"&lt;=1")+COUNTIFS($D$5:$D$204,$A150,$C$5:$C$204,"Variation",$J$5:$J$204,"&lt;&gt;",$J$5:$J$204,"&gt;=0",$J$5:$J$204,"&lt;=1"),"",(SUMIFS($J$5:$J$204,$D$5:$D$204,$A150,$C$5:$C$204,"Activity")+SUMIFS($J$5:$J$204,$D$5:$D$204,$A150,$C$5:$C$204,"Variation"))/(COUNTIFS($D$5:$D$204,$A150,$C$5:$C$204,"Activity")+COUNTIFS($D$5:$D$204,$A150,$C$5:$C$204,"Variation")))),IF(OR($C150="Activity",$C150="Variation"),IF(AND(ISNUMBER($J150),$J150&gt;=0,$J150&lt;=1),$J150,""),""))))</x:f>
      </x:c>
      <x:c r="M150" s="7" t="str">
        <x:f t="shared" si="7">IF(OR($K150="",$L150=""),"",$L150-$K150)</x:f>
      </x:c>
      <x:c r="N150" s="6" t="str">
        <x:f>IF(OR($B150="",$I150="",$L150=""),"",IF(AND($L150&lt;1,$I150&lt;TODAY()),"Late",IF(AND($H150&lt;&gt;"",$I150&gt;$H150),"Forecast Slip","On Plan")))</x:f>
      </x:c>
      <x:c r="O150" s="19"/>
      <x:c r="P150" s="6" t="str">
        <x:f t="shared" si="8">IF($B150="","",IF($A150="","Enter item ID",IF(COUNTIF($A$5:$A$204,$A150)&gt;1,"Duplicate item ID",IF($C150="Initiative",IF($D150&lt;&gt;"","Parent must be blank",IF(COUNTIFS($B$5:$B$204,$B150,$C$5:$C$204,"Initiative")&lt;&gt;1,"One Initiative row required",IF(COUNTIFS($D$5:$D$204,$A150,$C$5:$C$204,"Milestone")=0,"Add milestone","OK"))),IF($C150="Milestone",IF(COUNTIFS($A$5:$A$204,$D150,$B$5:$B$204,$B150,$C$5:$C$204,"Initiative")&lt;&gt;1,"Parent must be Initiative",IF(COUNTIFS($D$5:$D$204,$A150,$C$5:$C$204,"Activity")+COUNTIFS($D$5:$D$204,$A150,$C$5:$C$204,"Variation")=0,"Add activity or variation","OK")),IF(OR($C150="Activity",$C150="Variation"),IF(COUNTIFS($A$5:$A$204,$D150,$B$5:$B$204,$B150,$C$5:$C$204,"Milestone")&lt;&gt;1,"Parent must be Milestone",IF(OR($G150="",$H150=""),"Enter baseline dates",IF($H150&lt;$G150,"Baseline finish before start",IF($I150="","Enter forecast finish",IF(COUNT($J150)=0,"Enter actual %",IF(OR(NOT(ISNUMBER($J150)),$J150&lt;0,$J150&gt;1),"Actual % must be 0–100%","OK")))))),"Select level"))))))</x:f>
      </x:c>
    </x:row>
    <x:row r="151">
      <x:c r="A151" s="66" t="str" cm="1">
        <x:f t="array" ref="A151">IF(OR(B151="",C151=""),"",IF(C151="Initiative",COUNTIF($C$5:C151,"Initiative"),IF(C151="Milestone",IF(D151="","",D151&amp;"."&amp;COUNTIFS($D$5:D151,D151,$C$5:C151,"Milestone")),IF(OR(C151="Activity",C151="Variation"),IF(D151="","",D151&amp;"."&amp;(COUNTIFS($D$5:D151,D151,$C$5:C151,"Activity")+COUNTIFS($D$5:D151,D151,$C$5:C151,"Variation"))),""))))</x:f>
      </x:c>
      <x:c r="B151" s="19"/>
      <x:c r="C151" s="19"/>
      <x:c r="D151" s="20"/>
      <x:c r="E151" s="21"/>
      <x:c r="F151" s="21"/>
      <x:c r="G151" s="102"/>
      <x:c r="H151" s="102"/>
      <x:c r="I151" s="102"/>
      <x:c r="J151" s="100"/>
      <x:c r="K151" s="7" t="str">
        <x:f>IF($B151="","",IF($C151="Initiative",IF(COUNTIFS($B$152:$B$204,$B151,$C$152:$C$204,"Activity")+COUNTIFS($B$152:$B$204,$B151,$C$152:$C$204,"Variation")=0,"",IF(COUNTIFS($B$152:$B$204,$B151,$C$152:$C$204,"Activity")+COUNTIFS($B$152:$B$204,$B151,$C$152:$C$204,"Variation")&lt;&gt;COUNTIFS($B$152:$B$204,$B151,$C$152:$C$204,"Activity",$G$152:$G$204,"&lt;&gt;",$H$152:$H$204,"&lt;&gt;")+COUNTIFS($B$152:$B$204,$B151,$C$152:$C$204,"Variation",$G$152:$G$204,"&lt;&gt;",$H$152:$H$204,"&lt;&gt;"),"",(SUMIFS($K$152:$K$204,$B$152:$B$204,$B151,$C$152:$C$204,"Activity")+SUMIFS($K$152:$K$204,$B$152:$B$204,$B151,$C$152:$C$204,"Variation"))/(COUNTIFS($B$152:$B$204,$B151,$C$152:$C$204,"Activity")+COUNTIFS($B$152:$B$204,$B151,$C$152:$C$204,"Variation")))),IF($C151="Milestone",IF(COUNTIFS($D$152:$D$204,$A151,$C$152:$C$204,"Activity")+COUNTIFS($D$152:$D$204,$A151,$C$152:$C$204,"Variation")=0,"",IF(COUNTIFS($D$152:$D$204,$A151,$C$152:$C$204,"Activity")+COUNTIFS($D$152:$D$204,$A151,$C$152:$C$204,"Variation")&lt;&gt;COUNTIFS($D$152:$D$204,$A151,$C$152:$C$204,"Activity",$G$152:$G$204,"&lt;&gt;",$H$152:$H$204,"&lt;&gt;")+COUNTIFS($D$152:$D$204,$A151,$C$152:$C$204,"Variation",$G$152:$G$204,"&lt;&gt;",$H$152:$H$204,"&lt;&gt;"),"",(SUMIFS($K$152:$K$204,$D$152:$D$204,$A151,$C$152:$C$204,"Activity")+SUMIFS($K$152:$K$204,$D$152:$D$204,$A151,$C$152:$C$204,"Variation"))/(COUNTIFS($D$152:$D$204,$A151,$C$152:$C$204,"Activity")+COUNTIFS($D$152:$D$204,$A151,$C$152:$C$204,"Variation")))),IF(OR($C151="Activity",$C151="Variation"),IF(OR($G151="",$H151=""),"",IF($H151&lt;$G151,"",IF($H151=$G151,--(TODAY()&gt;=$H151),MAX(0,MIN(1,(TODAY()-$G151)/($H151-$G151)))))),""))))</x:f>
      </x:c>
      <x:c r="L151" s="7" t="str">
        <x:f t="shared" si="6">IF($B151="","",IF($C151="Initiative",IF(COUNTIFS($B$5:$B$204,$B151,$C$5:$C$204,"Activity")+COUNTIFS($B$5:$B$204,$B151,$C$5:$C$204,"Variation")=0,"",IF(COUNTIFS($B$5:$B$204,$B151,$C$5:$C$204,"Activity")+COUNTIFS($B$5:$B$204,$B151,$C$5:$C$204,"Variation")&lt;&gt;COUNTIFS($B$5:$B$204,$B151,$C$5:$C$204,"Activity",$J$5:$J$204,"&lt;&gt;",$J$5:$J$204,"&gt;=0",$J$5:$J$204,"&lt;=1")+COUNTIFS($B$5:$B$204,$B151,$C$5:$C$204,"Variation",$J$5:$J$204,"&lt;&gt;",$J$5:$J$204,"&gt;=0",$J$5:$J$204,"&lt;=1"),"",(SUMIFS($J$5:$J$204,$B$5:$B$204,$B151,$C$5:$C$204,"Activity")+SUMIFS($J$5:$J$204,$B$5:$B$204,$B151,$C$5:$C$204,"Variation"))/(COUNTIFS($B$5:$B$204,$B151,$C$5:$C$204,"Activity")+COUNTIFS($B$5:$B$204,$B151,$C$5:$C$204,"Variation")))),IF($C151="Milestone",IF(COUNTIFS($D$5:$D$204,$A151,$C$5:$C$204,"Activity")+COUNTIFS($D$5:$D$204,$A151,$C$5:$C$204,"Variation")=0,"",IF(COUNTIFS($D$5:$D$204,$A151,$C$5:$C$204,"Activity")+COUNTIFS($D$5:$D$204,$A151,$C$5:$C$204,"Variation")&lt;&gt;COUNTIFS($D$5:$D$204,$A151,$C$5:$C$204,"Activity",$J$5:$J$204,"&lt;&gt;",$J$5:$J$204,"&gt;=0",$J$5:$J$204,"&lt;=1")+COUNTIFS($D$5:$D$204,$A151,$C$5:$C$204,"Variation",$J$5:$J$204,"&lt;&gt;",$J$5:$J$204,"&gt;=0",$J$5:$J$204,"&lt;=1"),"",(SUMIFS($J$5:$J$204,$D$5:$D$204,$A151,$C$5:$C$204,"Activity")+SUMIFS($J$5:$J$204,$D$5:$D$204,$A151,$C$5:$C$204,"Variation"))/(COUNTIFS($D$5:$D$204,$A151,$C$5:$C$204,"Activity")+COUNTIFS($D$5:$D$204,$A151,$C$5:$C$204,"Variation")))),IF(OR($C151="Activity",$C151="Variation"),IF(AND(ISNUMBER($J151),$J151&gt;=0,$J151&lt;=1),$J151,""),""))))</x:f>
      </x:c>
      <x:c r="M151" s="7" t="str">
        <x:f t="shared" si="7">IF(OR($K151="",$L151=""),"",$L151-$K151)</x:f>
      </x:c>
      <x:c r="N151" s="6" t="str">
        <x:f>IF(OR($B151="",$I151="",$L151=""),"",IF(AND($L151&lt;1,$I151&lt;TODAY()),"Late",IF(AND($H151&lt;&gt;"",$I151&gt;$H151),"Forecast Slip","On Plan")))</x:f>
      </x:c>
      <x:c r="O151" s="19"/>
      <x:c r="P151" s="6" t="str">
        <x:f t="shared" si="8">IF($B151="","",IF($A151="","Enter item ID",IF(COUNTIF($A$5:$A$204,$A151)&gt;1,"Duplicate item ID",IF($C151="Initiative",IF($D151&lt;&gt;"","Parent must be blank",IF(COUNTIFS($B$5:$B$204,$B151,$C$5:$C$204,"Initiative")&lt;&gt;1,"One Initiative row required",IF(COUNTIFS($D$5:$D$204,$A151,$C$5:$C$204,"Milestone")=0,"Add milestone","OK"))),IF($C151="Milestone",IF(COUNTIFS($A$5:$A$204,$D151,$B$5:$B$204,$B151,$C$5:$C$204,"Initiative")&lt;&gt;1,"Parent must be Initiative",IF(COUNTIFS($D$5:$D$204,$A151,$C$5:$C$204,"Activity")+COUNTIFS($D$5:$D$204,$A151,$C$5:$C$204,"Variation")=0,"Add activity or variation","OK")),IF(OR($C151="Activity",$C151="Variation"),IF(COUNTIFS($A$5:$A$204,$D151,$B$5:$B$204,$B151,$C$5:$C$204,"Milestone")&lt;&gt;1,"Parent must be Milestone",IF(OR($G151="",$H151=""),"Enter baseline dates",IF($H151&lt;$G151,"Baseline finish before start",IF($I151="","Enter forecast finish",IF(COUNT($J151)=0,"Enter actual %",IF(OR(NOT(ISNUMBER($J151)),$J151&lt;0,$J151&gt;1),"Actual % must be 0–100%","OK")))))),"Select level"))))))</x:f>
      </x:c>
    </x:row>
    <x:row r="152">
      <x:c r="A152" s="66" t="str" cm="1">
        <x:f t="array" ref="A152">IF(OR(B152="",C152=""),"",IF(C152="Initiative",COUNTIF($C$5:C152,"Initiative"),IF(C152="Milestone",IF(D152="","",D152&amp;"."&amp;COUNTIFS($D$5:D152,D152,$C$5:C152,"Milestone")),IF(OR(C152="Activity",C152="Variation"),IF(D152="","",D152&amp;"."&amp;(COUNTIFS($D$5:D152,D152,$C$5:C152,"Activity")+COUNTIFS($D$5:D152,D152,$C$5:C152,"Variation"))),""))))</x:f>
      </x:c>
      <x:c r="B152" s="19"/>
      <x:c r="C152" s="19"/>
      <x:c r="D152" s="20"/>
      <x:c r="E152" s="21"/>
      <x:c r="F152" s="21"/>
      <x:c r="G152" s="102"/>
      <x:c r="H152" s="102"/>
      <x:c r="I152" s="102"/>
      <x:c r="J152" s="100"/>
      <x:c r="K152" s="7" t="str">
        <x:f>IF($B152="","",IF($C152="Initiative",IF(COUNTIFS($B$153:$B$204,$B152,$C$153:$C$204,"Activity")+COUNTIFS($B$153:$B$204,$B152,$C$153:$C$204,"Variation")=0,"",IF(COUNTIFS($B$153:$B$204,$B152,$C$153:$C$204,"Activity")+COUNTIFS($B$153:$B$204,$B152,$C$153:$C$204,"Variation")&lt;&gt;COUNTIFS($B$153:$B$204,$B152,$C$153:$C$204,"Activity",$G$153:$G$204,"&lt;&gt;",$H$153:$H$204,"&lt;&gt;")+COUNTIFS($B$153:$B$204,$B152,$C$153:$C$204,"Variation",$G$153:$G$204,"&lt;&gt;",$H$153:$H$204,"&lt;&gt;"),"",(SUMIFS($K$153:$K$204,$B$153:$B$204,$B152,$C$153:$C$204,"Activity")+SUMIFS($K$153:$K$204,$B$153:$B$204,$B152,$C$153:$C$204,"Variation"))/(COUNTIFS($B$153:$B$204,$B152,$C$153:$C$204,"Activity")+COUNTIFS($B$153:$B$204,$B152,$C$153:$C$204,"Variation")))),IF($C152="Milestone",IF(COUNTIFS($D$153:$D$204,$A152,$C$153:$C$204,"Activity")+COUNTIFS($D$153:$D$204,$A152,$C$153:$C$204,"Variation")=0,"",IF(COUNTIFS($D$153:$D$204,$A152,$C$153:$C$204,"Activity")+COUNTIFS($D$153:$D$204,$A152,$C$153:$C$204,"Variation")&lt;&gt;COUNTIFS($D$153:$D$204,$A152,$C$153:$C$204,"Activity",$G$153:$G$204,"&lt;&gt;",$H$153:$H$204,"&lt;&gt;")+COUNTIFS($D$153:$D$204,$A152,$C$153:$C$204,"Variation",$G$153:$G$204,"&lt;&gt;",$H$153:$H$204,"&lt;&gt;"),"",(SUMIFS($K$153:$K$204,$D$153:$D$204,$A152,$C$153:$C$204,"Activity")+SUMIFS($K$153:$K$204,$D$153:$D$204,$A152,$C$153:$C$204,"Variation"))/(COUNTIFS($D$153:$D$204,$A152,$C$153:$C$204,"Activity")+COUNTIFS($D$153:$D$204,$A152,$C$153:$C$204,"Variation")))),IF(OR($C152="Activity",$C152="Variation"),IF(OR($G152="",$H152=""),"",IF($H152&lt;$G152,"",IF($H152=$G152,--(TODAY()&gt;=$H152),MAX(0,MIN(1,(TODAY()-$G152)/($H152-$G152)))))),""))))</x:f>
      </x:c>
      <x:c r="L152" s="7" t="str">
        <x:f t="shared" si="6">IF($B152="","",IF($C152="Initiative",IF(COUNTIFS($B$5:$B$204,$B152,$C$5:$C$204,"Activity")+COUNTIFS($B$5:$B$204,$B152,$C$5:$C$204,"Variation")=0,"",IF(COUNTIFS($B$5:$B$204,$B152,$C$5:$C$204,"Activity")+COUNTIFS($B$5:$B$204,$B152,$C$5:$C$204,"Variation")&lt;&gt;COUNTIFS($B$5:$B$204,$B152,$C$5:$C$204,"Activity",$J$5:$J$204,"&lt;&gt;",$J$5:$J$204,"&gt;=0",$J$5:$J$204,"&lt;=1")+COUNTIFS($B$5:$B$204,$B152,$C$5:$C$204,"Variation",$J$5:$J$204,"&lt;&gt;",$J$5:$J$204,"&gt;=0",$J$5:$J$204,"&lt;=1"),"",(SUMIFS($J$5:$J$204,$B$5:$B$204,$B152,$C$5:$C$204,"Activity")+SUMIFS($J$5:$J$204,$B$5:$B$204,$B152,$C$5:$C$204,"Variation"))/(COUNTIFS($B$5:$B$204,$B152,$C$5:$C$204,"Activity")+COUNTIFS($B$5:$B$204,$B152,$C$5:$C$204,"Variation")))),IF($C152="Milestone",IF(COUNTIFS($D$5:$D$204,$A152,$C$5:$C$204,"Activity")+COUNTIFS($D$5:$D$204,$A152,$C$5:$C$204,"Variation")=0,"",IF(COUNTIFS($D$5:$D$204,$A152,$C$5:$C$204,"Activity")+COUNTIFS($D$5:$D$204,$A152,$C$5:$C$204,"Variation")&lt;&gt;COUNTIFS($D$5:$D$204,$A152,$C$5:$C$204,"Activity",$J$5:$J$204,"&lt;&gt;",$J$5:$J$204,"&gt;=0",$J$5:$J$204,"&lt;=1")+COUNTIFS($D$5:$D$204,$A152,$C$5:$C$204,"Variation",$J$5:$J$204,"&lt;&gt;",$J$5:$J$204,"&gt;=0",$J$5:$J$204,"&lt;=1"),"",(SUMIFS($J$5:$J$204,$D$5:$D$204,$A152,$C$5:$C$204,"Activity")+SUMIFS($J$5:$J$204,$D$5:$D$204,$A152,$C$5:$C$204,"Variation"))/(COUNTIFS($D$5:$D$204,$A152,$C$5:$C$204,"Activity")+COUNTIFS($D$5:$D$204,$A152,$C$5:$C$204,"Variation")))),IF(OR($C152="Activity",$C152="Variation"),IF(AND(ISNUMBER($J152),$J152&gt;=0,$J152&lt;=1),$J152,""),""))))</x:f>
      </x:c>
      <x:c r="M152" s="7" t="str">
        <x:f t="shared" si="7">IF(OR($K152="",$L152=""),"",$L152-$K152)</x:f>
      </x:c>
      <x:c r="N152" s="6" t="str">
        <x:f>IF(OR($B152="",$I152="",$L152=""),"",IF(AND($L152&lt;1,$I152&lt;TODAY()),"Late",IF(AND($H152&lt;&gt;"",$I152&gt;$H152),"Forecast Slip","On Plan")))</x:f>
      </x:c>
      <x:c r="O152" s="19"/>
      <x:c r="P152" s="6" t="str">
        <x:f t="shared" si="8">IF($B152="","",IF($A152="","Enter item ID",IF(COUNTIF($A$5:$A$204,$A152)&gt;1,"Duplicate item ID",IF($C152="Initiative",IF($D152&lt;&gt;"","Parent must be blank",IF(COUNTIFS($B$5:$B$204,$B152,$C$5:$C$204,"Initiative")&lt;&gt;1,"One Initiative row required",IF(COUNTIFS($D$5:$D$204,$A152,$C$5:$C$204,"Milestone")=0,"Add milestone","OK"))),IF($C152="Milestone",IF(COUNTIFS($A$5:$A$204,$D152,$B$5:$B$204,$B152,$C$5:$C$204,"Initiative")&lt;&gt;1,"Parent must be Initiative",IF(COUNTIFS($D$5:$D$204,$A152,$C$5:$C$204,"Activity")+COUNTIFS($D$5:$D$204,$A152,$C$5:$C$204,"Variation")=0,"Add activity or variation","OK")),IF(OR($C152="Activity",$C152="Variation"),IF(COUNTIFS($A$5:$A$204,$D152,$B$5:$B$204,$B152,$C$5:$C$204,"Milestone")&lt;&gt;1,"Parent must be Milestone",IF(OR($G152="",$H152=""),"Enter baseline dates",IF($H152&lt;$G152,"Baseline finish before start",IF($I152="","Enter forecast finish",IF(COUNT($J152)=0,"Enter actual %",IF(OR(NOT(ISNUMBER($J152)),$J152&lt;0,$J152&gt;1),"Actual % must be 0–100%","OK")))))),"Select level"))))))</x:f>
      </x:c>
    </x:row>
    <x:row r="153">
      <x:c r="A153" s="66" t="str" cm="1">
        <x:f t="array" ref="A153">IF(OR(B153="",C153=""),"",IF(C153="Initiative",COUNTIF($C$5:C153,"Initiative"),IF(C153="Milestone",IF(D153="","",D153&amp;"."&amp;COUNTIFS($D$5:D153,D153,$C$5:C153,"Milestone")),IF(OR(C153="Activity",C153="Variation"),IF(D153="","",D153&amp;"."&amp;(COUNTIFS($D$5:D153,D153,$C$5:C153,"Activity")+COUNTIFS($D$5:D153,D153,$C$5:C153,"Variation"))),""))))</x:f>
      </x:c>
      <x:c r="B153" s="19"/>
      <x:c r="C153" s="19"/>
      <x:c r="D153" s="20"/>
      <x:c r="E153" s="21"/>
      <x:c r="F153" s="21"/>
      <x:c r="G153" s="102"/>
      <x:c r="H153" s="102"/>
      <x:c r="I153" s="102"/>
      <x:c r="J153" s="100"/>
      <x:c r="K153" s="7" t="str">
        <x:f>IF($B153="","",IF($C153="Initiative",IF(COUNTIFS($B$154:$B$204,$B153,$C$154:$C$204,"Activity")+COUNTIFS($B$154:$B$204,$B153,$C$154:$C$204,"Variation")=0,"",IF(COUNTIFS($B$154:$B$204,$B153,$C$154:$C$204,"Activity")+COUNTIFS($B$154:$B$204,$B153,$C$154:$C$204,"Variation")&lt;&gt;COUNTIFS($B$154:$B$204,$B153,$C$154:$C$204,"Activity",$G$154:$G$204,"&lt;&gt;",$H$154:$H$204,"&lt;&gt;")+COUNTIFS($B$154:$B$204,$B153,$C$154:$C$204,"Variation",$G$154:$G$204,"&lt;&gt;",$H$154:$H$204,"&lt;&gt;"),"",(SUMIFS($K$154:$K$204,$B$154:$B$204,$B153,$C$154:$C$204,"Activity")+SUMIFS($K$154:$K$204,$B$154:$B$204,$B153,$C$154:$C$204,"Variation"))/(COUNTIFS($B$154:$B$204,$B153,$C$154:$C$204,"Activity")+COUNTIFS($B$154:$B$204,$B153,$C$154:$C$204,"Variation")))),IF($C153="Milestone",IF(COUNTIFS($D$154:$D$204,$A153,$C$154:$C$204,"Activity")+COUNTIFS($D$154:$D$204,$A153,$C$154:$C$204,"Variation")=0,"",IF(COUNTIFS($D$154:$D$204,$A153,$C$154:$C$204,"Activity")+COUNTIFS($D$154:$D$204,$A153,$C$154:$C$204,"Variation")&lt;&gt;COUNTIFS($D$154:$D$204,$A153,$C$154:$C$204,"Activity",$G$154:$G$204,"&lt;&gt;",$H$154:$H$204,"&lt;&gt;")+COUNTIFS($D$154:$D$204,$A153,$C$154:$C$204,"Variation",$G$154:$G$204,"&lt;&gt;",$H$154:$H$204,"&lt;&gt;"),"",(SUMIFS($K$154:$K$204,$D$154:$D$204,$A153,$C$154:$C$204,"Activity")+SUMIFS($K$154:$K$204,$D$154:$D$204,$A153,$C$154:$C$204,"Variation"))/(COUNTIFS($D$154:$D$204,$A153,$C$154:$C$204,"Activity")+COUNTIFS($D$154:$D$204,$A153,$C$154:$C$204,"Variation")))),IF(OR($C153="Activity",$C153="Variation"),IF(OR($G153="",$H153=""),"",IF($H153&lt;$G153,"",IF($H153=$G153,--(TODAY()&gt;=$H153),MAX(0,MIN(1,(TODAY()-$G153)/($H153-$G153)))))),""))))</x:f>
      </x:c>
      <x:c r="L153" s="7" t="str">
        <x:f t="shared" si="6">IF($B153="","",IF($C153="Initiative",IF(COUNTIFS($B$5:$B$204,$B153,$C$5:$C$204,"Activity")+COUNTIFS($B$5:$B$204,$B153,$C$5:$C$204,"Variation")=0,"",IF(COUNTIFS($B$5:$B$204,$B153,$C$5:$C$204,"Activity")+COUNTIFS($B$5:$B$204,$B153,$C$5:$C$204,"Variation")&lt;&gt;COUNTIFS($B$5:$B$204,$B153,$C$5:$C$204,"Activity",$J$5:$J$204,"&lt;&gt;",$J$5:$J$204,"&gt;=0",$J$5:$J$204,"&lt;=1")+COUNTIFS($B$5:$B$204,$B153,$C$5:$C$204,"Variation",$J$5:$J$204,"&lt;&gt;",$J$5:$J$204,"&gt;=0",$J$5:$J$204,"&lt;=1"),"",(SUMIFS($J$5:$J$204,$B$5:$B$204,$B153,$C$5:$C$204,"Activity")+SUMIFS($J$5:$J$204,$B$5:$B$204,$B153,$C$5:$C$204,"Variation"))/(COUNTIFS($B$5:$B$204,$B153,$C$5:$C$204,"Activity")+COUNTIFS($B$5:$B$204,$B153,$C$5:$C$204,"Variation")))),IF($C153="Milestone",IF(COUNTIFS($D$5:$D$204,$A153,$C$5:$C$204,"Activity")+COUNTIFS($D$5:$D$204,$A153,$C$5:$C$204,"Variation")=0,"",IF(COUNTIFS($D$5:$D$204,$A153,$C$5:$C$204,"Activity")+COUNTIFS($D$5:$D$204,$A153,$C$5:$C$204,"Variation")&lt;&gt;COUNTIFS($D$5:$D$204,$A153,$C$5:$C$204,"Activity",$J$5:$J$204,"&lt;&gt;",$J$5:$J$204,"&gt;=0",$J$5:$J$204,"&lt;=1")+COUNTIFS($D$5:$D$204,$A153,$C$5:$C$204,"Variation",$J$5:$J$204,"&lt;&gt;",$J$5:$J$204,"&gt;=0",$J$5:$J$204,"&lt;=1"),"",(SUMIFS($J$5:$J$204,$D$5:$D$204,$A153,$C$5:$C$204,"Activity")+SUMIFS($J$5:$J$204,$D$5:$D$204,$A153,$C$5:$C$204,"Variation"))/(COUNTIFS($D$5:$D$204,$A153,$C$5:$C$204,"Activity")+COUNTIFS($D$5:$D$204,$A153,$C$5:$C$204,"Variation")))),IF(OR($C153="Activity",$C153="Variation"),IF(AND(ISNUMBER($J153),$J153&gt;=0,$J153&lt;=1),$J153,""),""))))</x:f>
      </x:c>
      <x:c r="M153" s="7" t="str">
        <x:f t="shared" si="7">IF(OR($K153="",$L153=""),"",$L153-$K153)</x:f>
      </x:c>
      <x:c r="N153" s="6" t="str">
        <x:f>IF(OR($B153="",$I153="",$L153=""),"",IF(AND($L153&lt;1,$I153&lt;TODAY()),"Late",IF(AND($H153&lt;&gt;"",$I153&gt;$H153),"Forecast Slip","On Plan")))</x:f>
      </x:c>
      <x:c r="O153" s="19"/>
      <x:c r="P153" s="6" t="str">
        <x:f t="shared" si="8">IF($B153="","",IF($A153="","Enter item ID",IF(COUNTIF($A$5:$A$204,$A153)&gt;1,"Duplicate item ID",IF($C153="Initiative",IF($D153&lt;&gt;"","Parent must be blank",IF(COUNTIFS($B$5:$B$204,$B153,$C$5:$C$204,"Initiative")&lt;&gt;1,"One Initiative row required",IF(COUNTIFS($D$5:$D$204,$A153,$C$5:$C$204,"Milestone")=0,"Add milestone","OK"))),IF($C153="Milestone",IF(COUNTIFS($A$5:$A$204,$D153,$B$5:$B$204,$B153,$C$5:$C$204,"Initiative")&lt;&gt;1,"Parent must be Initiative",IF(COUNTIFS($D$5:$D$204,$A153,$C$5:$C$204,"Activity")+COUNTIFS($D$5:$D$204,$A153,$C$5:$C$204,"Variation")=0,"Add activity or variation","OK")),IF(OR($C153="Activity",$C153="Variation"),IF(COUNTIFS($A$5:$A$204,$D153,$B$5:$B$204,$B153,$C$5:$C$204,"Milestone")&lt;&gt;1,"Parent must be Milestone",IF(OR($G153="",$H153=""),"Enter baseline dates",IF($H153&lt;$G153,"Baseline finish before start",IF($I153="","Enter forecast finish",IF(COUNT($J153)=0,"Enter actual %",IF(OR(NOT(ISNUMBER($J153)),$J153&lt;0,$J153&gt;1),"Actual % must be 0–100%","OK")))))),"Select level"))))))</x:f>
      </x:c>
    </x:row>
    <x:row r="154">
      <x:c r="A154" s="66" t="str" cm="1">
        <x:f t="array" ref="A154">IF(OR(B154="",C154=""),"",IF(C154="Initiative",COUNTIF($C$5:C154,"Initiative"),IF(C154="Milestone",IF(D154="","",D154&amp;"."&amp;COUNTIFS($D$5:D154,D154,$C$5:C154,"Milestone")),IF(OR(C154="Activity",C154="Variation"),IF(D154="","",D154&amp;"."&amp;(COUNTIFS($D$5:D154,D154,$C$5:C154,"Activity")+COUNTIFS($D$5:D154,D154,$C$5:C154,"Variation"))),""))))</x:f>
      </x:c>
      <x:c r="B154" s="19"/>
      <x:c r="C154" s="19"/>
      <x:c r="D154" s="20"/>
      <x:c r="E154" s="21"/>
      <x:c r="F154" s="21"/>
      <x:c r="G154" s="102"/>
      <x:c r="H154" s="102"/>
      <x:c r="I154" s="102"/>
      <x:c r="J154" s="100"/>
      <x:c r="K154" s="7" t="str">
        <x:f>IF($B154="","",IF($C154="Initiative",IF(COUNTIFS($B$155:$B$204,$B154,$C$155:$C$204,"Activity")+COUNTIFS($B$155:$B$204,$B154,$C$155:$C$204,"Variation")=0,"",IF(COUNTIFS($B$155:$B$204,$B154,$C$155:$C$204,"Activity")+COUNTIFS($B$155:$B$204,$B154,$C$155:$C$204,"Variation")&lt;&gt;COUNTIFS($B$155:$B$204,$B154,$C$155:$C$204,"Activity",$G$155:$G$204,"&lt;&gt;",$H$155:$H$204,"&lt;&gt;")+COUNTIFS($B$155:$B$204,$B154,$C$155:$C$204,"Variation",$G$155:$G$204,"&lt;&gt;",$H$155:$H$204,"&lt;&gt;"),"",(SUMIFS($K$155:$K$204,$B$155:$B$204,$B154,$C$155:$C$204,"Activity")+SUMIFS($K$155:$K$204,$B$155:$B$204,$B154,$C$155:$C$204,"Variation"))/(COUNTIFS($B$155:$B$204,$B154,$C$155:$C$204,"Activity")+COUNTIFS($B$155:$B$204,$B154,$C$155:$C$204,"Variation")))),IF($C154="Milestone",IF(COUNTIFS($D$155:$D$204,$A154,$C$155:$C$204,"Activity")+COUNTIFS($D$155:$D$204,$A154,$C$155:$C$204,"Variation")=0,"",IF(COUNTIFS($D$155:$D$204,$A154,$C$155:$C$204,"Activity")+COUNTIFS($D$155:$D$204,$A154,$C$155:$C$204,"Variation")&lt;&gt;COUNTIFS($D$155:$D$204,$A154,$C$155:$C$204,"Activity",$G$155:$G$204,"&lt;&gt;",$H$155:$H$204,"&lt;&gt;")+COUNTIFS($D$155:$D$204,$A154,$C$155:$C$204,"Variation",$G$155:$G$204,"&lt;&gt;",$H$155:$H$204,"&lt;&gt;"),"",(SUMIFS($K$155:$K$204,$D$155:$D$204,$A154,$C$155:$C$204,"Activity")+SUMIFS($K$155:$K$204,$D$155:$D$204,$A154,$C$155:$C$204,"Variation"))/(COUNTIFS($D$155:$D$204,$A154,$C$155:$C$204,"Activity")+COUNTIFS($D$155:$D$204,$A154,$C$155:$C$204,"Variation")))),IF(OR($C154="Activity",$C154="Variation"),IF(OR($G154="",$H154=""),"",IF($H154&lt;$G154,"",IF($H154=$G154,--(TODAY()&gt;=$H154),MAX(0,MIN(1,(TODAY()-$G154)/($H154-$G154)))))),""))))</x:f>
      </x:c>
      <x:c r="L154" s="7" t="str">
        <x:f t="shared" si="6">IF($B154="","",IF($C154="Initiative",IF(COUNTIFS($B$5:$B$204,$B154,$C$5:$C$204,"Activity")+COUNTIFS($B$5:$B$204,$B154,$C$5:$C$204,"Variation")=0,"",IF(COUNTIFS($B$5:$B$204,$B154,$C$5:$C$204,"Activity")+COUNTIFS($B$5:$B$204,$B154,$C$5:$C$204,"Variation")&lt;&gt;COUNTIFS($B$5:$B$204,$B154,$C$5:$C$204,"Activity",$J$5:$J$204,"&lt;&gt;",$J$5:$J$204,"&gt;=0",$J$5:$J$204,"&lt;=1")+COUNTIFS($B$5:$B$204,$B154,$C$5:$C$204,"Variation",$J$5:$J$204,"&lt;&gt;",$J$5:$J$204,"&gt;=0",$J$5:$J$204,"&lt;=1"),"",(SUMIFS($J$5:$J$204,$B$5:$B$204,$B154,$C$5:$C$204,"Activity")+SUMIFS($J$5:$J$204,$B$5:$B$204,$B154,$C$5:$C$204,"Variation"))/(COUNTIFS($B$5:$B$204,$B154,$C$5:$C$204,"Activity")+COUNTIFS($B$5:$B$204,$B154,$C$5:$C$204,"Variation")))),IF($C154="Milestone",IF(COUNTIFS($D$5:$D$204,$A154,$C$5:$C$204,"Activity")+COUNTIFS($D$5:$D$204,$A154,$C$5:$C$204,"Variation")=0,"",IF(COUNTIFS($D$5:$D$204,$A154,$C$5:$C$204,"Activity")+COUNTIFS($D$5:$D$204,$A154,$C$5:$C$204,"Variation")&lt;&gt;COUNTIFS($D$5:$D$204,$A154,$C$5:$C$204,"Activity",$J$5:$J$204,"&lt;&gt;",$J$5:$J$204,"&gt;=0",$J$5:$J$204,"&lt;=1")+COUNTIFS($D$5:$D$204,$A154,$C$5:$C$204,"Variation",$J$5:$J$204,"&lt;&gt;",$J$5:$J$204,"&gt;=0",$J$5:$J$204,"&lt;=1"),"",(SUMIFS($J$5:$J$204,$D$5:$D$204,$A154,$C$5:$C$204,"Activity")+SUMIFS($J$5:$J$204,$D$5:$D$204,$A154,$C$5:$C$204,"Variation"))/(COUNTIFS($D$5:$D$204,$A154,$C$5:$C$204,"Activity")+COUNTIFS($D$5:$D$204,$A154,$C$5:$C$204,"Variation")))),IF(OR($C154="Activity",$C154="Variation"),IF(AND(ISNUMBER($J154),$J154&gt;=0,$J154&lt;=1),$J154,""),""))))</x:f>
      </x:c>
      <x:c r="M154" s="7" t="str">
        <x:f t="shared" si="7">IF(OR($K154="",$L154=""),"",$L154-$K154)</x:f>
      </x:c>
      <x:c r="N154" s="6" t="str">
        <x:f>IF(OR($B154="",$I154="",$L154=""),"",IF(AND($L154&lt;1,$I154&lt;TODAY()),"Late",IF(AND($H154&lt;&gt;"",$I154&gt;$H154),"Forecast Slip","On Plan")))</x:f>
      </x:c>
      <x:c r="O154" s="19"/>
      <x:c r="P154" s="6" t="str">
        <x:f t="shared" si="8">IF($B154="","",IF($A154="","Enter item ID",IF(COUNTIF($A$5:$A$204,$A154)&gt;1,"Duplicate item ID",IF($C154="Initiative",IF($D154&lt;&gt;"","Parent must be blank",IF(COUNTIFS($B$5:$B$204,$B154,$C$5:$C$204,"Initiative")&lt;&gt;1,"One Initiative row required",IF(COUNTIFS($D$5:$D$204,$A154,$C$5:$C$204,"Milestone")=0,"Add milestone","OK"))),IF($C154="Milestone",IF(COUNTIFS($A$5:$A$204,$D154,$B$5:$B$204,$B154,$C$5:$C$204,"Initiative")&lt;&gt;1,"Parent must be Initiative",IF(COUNTIFS($D$5:$D$204,$A154,$C$5:$C$204,"Activity")+COUNTIFS($D$5:$D$204,$A154,$C$5:$C$204,"Variation")=0,"Add activity or variation","OK")),IF(OR($C154="Activity",$C154="Variation"),IF(COUNTIFS($A$5:$A$204,$D154,$B$5:$B$204,$B154,$C$5:$C$204,"Milestone")&lt;&gt;1,"Parent must be Milestone",IF(OR($G154="",$H154=""),"Enter baseline dates",IF($H154&lt;$G154,"Baseline finish before start",IF($I154="","Enter forecast finish",IF(COUNT($J154)=0,"Enter actual %",IF(OR(NOT(ISNUMBER($J154)),$J154&lt;0,$J154&gt;1),"Actual % must be 0–100%","OK")))))),"Select level"))))))</x:f>
      </x:c>
    </x:row>
    <x:row r="155">
      <x:c r="A155" s="66" t="str" cm="1">
        <x:f t="array" ref="A155">IF(OR(B155="",C155=""),"",IF(C155="Initiative",COUNTIF($C$5:C155,"Initiative"),IF(C155="Milestone",IF(D155="","",D155&amp;"."&amp;COUNTIFS($D$5:D155,D155,$C$5:C155,"Milestone")),IF(OR(C155="Activity",C155="Variation"),IF(D155="","",D155&amp;"."&amp;(COUNTIFS($D$5:D155,D155,$C$5:C155,"Activity")+COUNTIFS($D$5:D155,D155,$C$5:C155,"Variation"))),""))))</x:f>
      </x:c>
      <x:c r="B155" s="19"/>
      <x:c r="C155" s="19"/>
      <x:c r="D155" s="20"/>
      <x:c r="E155" s="21"/>
      <x:c r="F155" s="21"/>
      <x:c r="G155" s="102"/>
      <x:c r="H155" s="102"/>
      <x:c r="I155" s="102"/>
      <x:c r="J155" s="100"/>
      <x:c r="K155" s="7" t="str">
        <x:f>IF($B155="","",IF($C155="Initiative",IF(COUNTIFS($B$156:$B$204,$B155,$C$156:$C$204,"Activity")+COUNTIFS($B$156:$B$204,$B155,$C$156:$C$204,"Variation")=0,"",IF(COUNTIFS($B$156:$B$204,$B155,$C$156:$C$204,"Activity")+COUNTIFS($B$156:$B$204,$B155,$C$156:$C$204,"Variation")&lt;&gt;COUNTIFS($B$156:$B$204,$B155,$C$156:$C$204,"Activity",$G$156:$G$204,"&lt;&gt;",$H$156:$H$204,"&lt;&gt;")+COUNTIFS($B$156:$B$204,$B155,$C$156:$C$204,"Variation",$G$156:$G$204,"&lt;&gt;",$H$156:$H$204,"&lt;&gt;"),"",(SUMIFS($K$156:$K$204,$B$156:$B$204,$B155,$C$156:$C$204,"Activity")+SUMIFS($K$156:$K$204,$B$156:$B$204,$B155,$C$156:$C$204,"Variation"))/(COUNTIFS($B$156:$B$204,$B155,$C$156:$C$204,"Activity")+COUNTIFS($B$156:$B$204,$B155,$C$156:$C$204,"Variation")))),IF($C155="Milestone",IF(COUNTIFS($D$156:$D$204,$A155,$C$156:$C$204,"Activity")+COUNTIFS($D$156:$D$204,$A155,$C$156:$C$204,"Variation")=0,"",IF(COUNTIFS($D$156:$D$204,$A155,$C$156:$C$204,"Activity")+COUNTIFS($D$156:$D$204,$A155,$C$156:$C$204,"Variation")&lt;&gt;COUNTIFS($D$156:$D$204,$A155,$C$156:$C$204,"Activity",$G$156:$G$204,"&lt;&gt;",$H$156:$H$204,"&lt;&gt;")+COUNTIFS($D$156:$D$204,$A155,$C$156:$C$204,"Variation",$G$156:$G$204,"&lt;&gt;",$H$156:$H$204,"&lt;&gt;"),"",(SUMIFS($K$156:$K$204,$D$156:$D$204,$A155,$C$156:$C$204,"Activity")+SUMIFS($K$156:$K$204,$D$156:$D$204,$A155,$C$156:$C$204,"Variation"))/(COUNTIFS($D$156:$D$204,$A155,$C$156:$C$204,"Activity")+COUNTIFS($D$156:$D$204,$A155,$C$156:$C$204,"Variation")))),IF(OR($C155="Activity",$C155="Variation"),IF(OR($G155="",$H155=""),"",IF($H155&lt;$G155,"",IF($H155=$G155,--(TODAY()&gt;=$H155),MAX(0,MIN(1,(TODAY()-$G155)/($H155-$G155)))))),""))))</x:f>
      </x:c>
      <x:c r="L155" s="7" t="str">
        <x:f t="shared" si="6">IF($B155="","",IF($C155="Initiative",IF(COUNTIFS($B$5:$B$204,$B155,$C$5:$C$204,"Activity")+COUNTIFS($B$5:$B$204,$B155,$C$5:$C$204,"Variation")=0,"",IF(COUNTIFS($B$5:$B$204,$B155,$C$5:$C$204,"Activity")+COUNTIFS($B$5:$B$204,$B155,$C$5:$C$204,"Variation")&lt;&gt;COUNTIFS($B$5:$B$204,$B155,$C$5:$C$204,"Activity",$J$5:$J$204,"&lt;&gt;",$J$5:$J$204,"&gt;=0",$J$5:$J$204,"&lt;=1")+COUNTIFS($B$5:$B$204,$B155,$C$5:$C$204,"Variation",$J$5:$J$204,"&lt;&gt;",$J$5:$J$204,"&gt;=0",$J$5:$J$204,"&lt;=1"),"",(SUMIFS($J$5:$J$204,$B$5:$B$204,$B155,$C$5:$C$204,"Activity")+SUMIFS($J$5:$J$204,$B$5:$B$204,$B155,$C$5:$C$204,"Variation"))/(COUNTIFS($B$5:$B$204,$B155,$C$5:$C$204,"Activity")+COUNTIFS($B$5:$B$204,$B155,$C$5:$C$204,"Variation")))),IF($C155="Milestone",IF(COUNTIFS($D$5:$D$204,$A155,$C$5:$C$204,"Activity")+COUNTIFS($D$5:$D$204,$A155,$C$5:$C$204,"Variation")=0,"",IF(COUNTIFS($D$5:$D$204,$A155,$C$5:$C$204,"Activity")+COUNTIFS($D$5:$D$204,$A155,$C$5:$C$204,"Variation")&lt;&gt;COUNTIFS($D$5:$D$204,$A155,$C$5:$C$204,"Activity",$J$5:$J$204,"&lt;&gt;",$J$5:$J$204,"&gt;=0",$J$5:$J$204,"&lt;=1")+COUNTIFS($D$5:$D$204,$A155,$C$5:$C$204,"Variation",$J$5:$J$204,"&lt;&gt;",$J$5:$J$204,"&gt;=0",$J$5:$J$204,"&lt;=1"),"",(SUMIFS($J$5:$J$204,$D$5:$D$204,$A155,$C$5:$C$204,"Activity")+SUMIFS($J$5:$J$204,$D$5:$D$204,$A155,$C$5:$C$204,"Variation"))/(COUNTIFS($D$5:$D$204,$A155,$C$5:$C$204,"Activity")+COUNTIFS($D$5:$D$204,$A155,$C$5:$C$204,"Variation")))),IF(OR($C155="Activity",$C155="Variation"),IF(AND(ISNUMBER($J155),$J155&gt;=0,$J155&lt;=1),$J155,""),""))))</x:f>
      </x:c>
      <x:c r="M155" s="7" t="str">
        <x:f t="shared" si="7">IF(OR($K155="",$L155=""),"",$L155-$K155)</x:f>
      </x:c>
      <x:c r="N155" s="6" t="str">
        <x:f>IF(OR($B155="",$I155="",$L155=""),"",IF(AND($L155&lt;1,$I155&lt;TODAY()),"Late",IF(AND($H155&lt;&gt;"",$I155&gt;$H155),"Forecast Slip","On Plan")))</x:f>
      </x:c>
      <x:c r="O155" s="19"/>
      <x:c r="P155" s="6" t="str">
        <x:f t="shared" si="8">IF($B155="","",IF($A155="","Enter item ID",IF(COUNTIF($A$5:$A$204,$A155)&gt;1,"Duplicate item ID",IF($C155="Initiative",IF($D155&lt;&gt;"","Parent must be blank",IF(COUNTIFS($B$5:$B$204,$B155,$C$5:$C$204,"Initiative")&lt;&gt;1,"One Initiative row required",IF(COUNTIFS($D$5:$D$204,$A155,$C$5:$C$204,"Milestone")=0,"Add milestone","OK"))),IF($C155="Milestone",IF(COUNTIFS($A$5:$A$204,$D155,$B$5:$B$204,$B155,$C$5:$C$204,"Initiative")&lt;&gt;1,"Parent must be Initiative",IF(COUNTIFS($D$5:$D$204,$A155,$C$5:$C$204,"Activity")+COUNTIFS($D$5:$D$204,$A155,$C$5:$C$204,"Variation")=0,"Add activity or variation","OK")),IF(OR($C155="Activity",$C155="Variation"),IF(COUNTIFS($A$5:$A$204,$D155,$B$5:$B$204,$B155,$C$5:$C$204,"Milestone")&lt;&gt;1,"Parent must be Milestone",IF(OR($G155="",$H155=""),"Enter baseline dates",IF($H155&lt;$G155,"Baseline finish before start",IF($I155="","Enter forecast finish",IF(COUNT($J155)=0,"Enter actual %",IF(OR(NOT(ISNUMBER($J155)),$J155&lt;0,$J155&gt;1),"Actual % must be 0–100%","OK")))))),"Select level"))))))</x:f>
      </x:c>
    </x:row>
    <x:row r="156">
      <x:c r="A156" s="66" t="str" cm="1">
        <x:f t="array" ref="A156">IF(OR(B156="",C156=""),"",IF(C156="Initiative",COUNTIF($C$5:C156,"Initiative"),IF(C156="Milestone",IF(D156="","",D156&amp;"."&amp;COUNTIFS($D$5:D156,D156,$C$5:C156,"Milestone")),IF(OR(C156="Activity",C156="Variation"),IF(D156="","",D156&amp;"."&amp;(COUNTIFS($D$5:D156,D156,$C$5:C156,"Activity")+COUNTIFS($D$5:D156,D156,$C$5:C156,"Variation"))),""))))</x:f>
      </x:c>
      <x:c r="B156" s="19"/>
      <x:c r="C156" s="19"/>
      <x:c r="D156" s="20"/>
      <x:c r="E156" s="21"/>
      <x:c r="F156" s="21"/>
      <x:c r="G156" s="102"/>
      <x:c r="H156" s="102"/>
      <x:c r="I156" s="102"/>
      <x:c r="J156" s="100"/>
      <x:c r="K156" s="7" t="str">
        <x:f>IF($B156="","",IF($C156="Initiative",IF(COUNTIFS($B$157:$B$204,$B156,$C$157:$C$204,"Activity")+COUNTIFS($B$157:$B$204,$B156,$C$157:$C$204,"Variation")=0,"",IF(COUNTIFS($B$157:$B$204,$B156,$C$157:$C$204,"Activity")+COUNTIFS($B$157:$B$204,$B156,$C$157:$C$204,"Variation")&lt;&gt;COUNTIFS($B$157:$B$204,$B156,$C$157:$C$204,"Activity",$G$157:$G$204,"&lt;&gt;",$H$157:$H$204,"&lt;&gt;")+COUNTIFS($B$157:$B$204,$B156,$C$157:$C$204,"Variation",$G$157:$G$204,"&lt;&gt;",$H$157:$H$204,"&lt;&gt;"),"",(SUMIFS($K$157:$K$204,$B$157:$B$204,$B156,$C$157:$C$204,"Activity")+SUMIFS($K$157:$K$204,$B$157:$B$204,$B156,$C$157:$C$204,"Variation"))/(COUNTIFS($B$157:$B$204,$B156,$C$157:$C$204,"Activity")+COUNTIFS($B$157:$B$204,$B156,$C$157:$C$204,"Variation")))),IF($C156="Milestone",IF(COUNTIFS($D$157:$D$204,$A156,$C$157:$C$204,"Activity")+COUNTIFS($D$157:$D$204,$A156,$C$157:$C$204,"Variation")=0,"",IF(COUNTIFS($D$157:$D$204,$A156,$C$157:$C$204,"Activity")+COUNTIFS($D$157:$D$204,$A156,$C$157:$C$204,"Variation")&lt;&gt;COUNTIFS($D$157:$D$204,$A156,$C$157:$C$204,"Activity",$G$157:$G$204,"&lt;&gt;",$H$157:$H$204,"&lt;&gt;")+COUNTIFS($D$157:$D$204,$A156,$C$157:$C$204,"Variation",$G$157:$G$204,"&lt;&gt;",$H$157:$H$204,"&lt;&gt;"),"",(SUMIFS($K$157:$K$204,$D$157:$D$204,$A156,$C$157:$C$204,"Activity")+SUMIFS($K$157:$K$204,$D$157:$D$204,$A156,$C$157:$C$204,"Variation"))/(COUNTIFS($D$157:$D$204,$A156,$C$157:$C$204,"Activity")+COUNTIFS($D$157:$D$204,$A156,$C$157:$C$204,"Variation")))),IF(OR($C156="Activity",$C156="Variation"),IF(OR($G156="",$H156=""),"",IF($H156&lt;$G156,"",IF($H156=$G156,--(TODAY()&gt;=$H156),MAX(0,MIN(1,(TODAY()-$G156)/($H156-$G156)))))),""))))</x:f>
      </x:c>
      <x:c r="L156" s="7" t="str">
        <x:f t="shared" si="6">IF($B156="","",IF($C156="Initiative",IF(COUNTIFS($B$5:$B$204,$B156,$C$5:$C$204,"Activity")+COUNTIFS($B$5:$B$204,$B156,$C$5:$C$204,"Variation")=0,"",IF(COUNTIFS($B$5:$B$204,$B156,$C$5:$C$204,"Activity")+COUNTIFS($B$5:$B$204,$B156,$C$5:$C$204,"Variation")&lt;&gt;COUNTIFS($B$5:$B$204,$B156,$C$5:$C$204,"Activity",$J$5:$J$204,"&lt;&gt;",$J$5:$J$204,"&gt;=0",$J$5:$J$204,"&lt;=1")+COUNTIFS($B$5:$B$204,$B156,$C$5:$C$204,"Variation",$J$5:$J$204,"&lt;&gt;",$J$5:$J$204,"&gt;=0",$J$5:$J$204,"&lt;=1"),"",(SUMIFS($J$5:$J$204,$B$5:$B$204,$B156,$C$5:$C$204,"Activity")+SUMIFS($J$5:$J$204,$B$5:$B$204,$B156,$C$5:$C$204,"Variation"))/(COUNTIFS($B$5:$B$204,$B156,$C$5:$C$204,"Activity")+COUNTIFS($B$5:$B$204,$B156,$C$5:$C$204,"Variation")))),IF($C156="Milestone",IF(COUNTIFS($D$5:$D$204,$A156,$C$5:$C$204,"Activity")+COUNTIFS($D$5:$D$204,$A156,$C$5:$C$204,"Variation")=0,"",IF(COUNTIFS($D$5:$D$204,$A156,$C$5:$C$204,"Activity")+COUNTIFS($D$5:$D$204,$A156,$C$5:$C$204,"Variation")&lt;&gt;COUNTIFS($D$5:$D$204,$A156,$C$5:$C$204,"Activity",$J$5:$J$204,"&lt;&gt;",$J$5:$J$204,"&gt;=0",$J$5:$J$204,"&lt;=1")+COUNTIFS($D$5:$D$204,$A156,$C$5:$C$204,"Variation",$J$5:$J$204,"&lt;&gt;",$J$5:$J$204,"&gt;=0",$J$5:$J$204,"&lt;=1"),"",(SUMIFS($J$5:$J$204,$D$5:$D$204,$A156,$C$5:$C$204,"Activity")+SUMIFS($J$5:$J$204,$D$5:$D$204,$A156,$C$5:$C$204,"Variation"))/(COUNTIFS($D$5:$D$204,$A156,$C$5:$C$204,"Activity")+COUNTIFS($D$5:$D$204,$A156,$C$5:$C$204,"Variation")))),IF(OR($C156="Activity",$C156="Variation"),IF(AND(ISNUMBER($J156),$J156&gt;=0,$J156&lt;=1),$J156,""),""))))</x:f>
      </x:c>
      <x:c r="M156" s="7" t="str">
        <x:f t="shared" si="7">IF(OR($K156="",$L156=""),"",$L156-$K156)</x:f>
      </x:c>
      <x:c r="N156" s="6" t="str">
        <x:f>IF(OR($B156="",$I156="",$L156=""),"",IF(AND($L156&lt;1,$I156&lt;TODAY()),"Late",IF(AND($H156&lt;&gt;"",$I156&gt;$H156),"Forecast Slip","On Plan")))</x:f>
      </x:c>
      <x:c r="O156" s="19"/>
      <x:c r="P156" s="6" t="str">
        <x:f t="shared" si="8">IF($B156="","",IF($A156="","Enter item ID",IF(COUNTIF($A$5:$A$204,$A156)&gt;1,"Duplicate item ID",IF($C156="Initiative",IF($D156&lt;&gt;"","Parent must be blank",IF(COUNTIFS($B$5:$B$204,$B156,$C$5:$C$204,"Initiative")&lt;&gt;1,"One Initiative row required",IF(COUNTIFS($D$5:$D$204,$A156,$C$5:$C$204,"Milestone")=0,"Add milestone","OK"))),IF($C156="Milestone",IF(COUNTIFS($A$5:$A$204,$D156,$B$5:$B$204,$B156,$C$5:$C$204,"Initiative")&lt;&gt;1,"Parent must be Initiative",IF(COUNTIFS($D$5:$D$204,$A156,$C$5:$C$204,"Activity")+COUNTIFS($D$5:$D$204,$A156,$C$5:$C$204,"Variation")=0,"Add activity or variation","OK")),IF(OR($C156="Activity",$C156="Variation"),IF(COUNTIFS($A$5:$A$204,$D156,$B$5:$B$204,$B156,$C$5:$C$204,"Milestone")&lt;&gt;1,"Parent must be Milestone",IF(OR($G156="",$H156=""),"Enter baseline dates",IF($H156&lt;$G156,"Baseline finish before start",IF($I156="","Enter forecast finish",IF(COUNT($J156)=0,"Enter actual %",IF(OR(NOT(ISNUMBER($J156)),$J156&lt;0,$J156&gt;1),"Actual % must be 0–100%","OK")))))),"Select level"))))))</x:f>
      </x:c>
    </x:row>
    <x:row r="157">
      <x:c r="A157" s="66" t="str" cm="1">
        <x:f t="array" ref="A157">IF(OR(B157="",C157=""),"",IF(C157="Initiative",COUNTIF($C$5:C157,"Initiative"),IF(C157="Milestone",IF(D157="","",D157&amp;"."&amp;COUNTIFS($D$5:D157,D157,$C$5:C157,"Milestone")),IF(OR(C157="Activity",C157="Variation"),IF(D157="","",D157&amp;"."&amp;(COUNTIFS($D$5:D157,D157,$C$5:C157,"Activity")+COUNTIFS($D$5:D157,D157,$C$5:C157,"Variation"))),""))))</x:f>
      </x:c>
      <x:c r="B157" s="19"/>
      <x:c r="C157" s="19"/>
      <x:c r="D157" s="20"/>
      <x:c r="E157" s="21"/>
      <x:c r="F157" s="21"/>
      <x:c r="G157" s="102"/>
      <x:c r="H157" s="102"/>
      <x:c r="I157" s="102"/>
      <x:c r="J157" s="100"/>
      <x:c r="K157" s="7" t="str">
        <x:f>IF($B157="","",IF($C157="Initiative",IF(COUNTIFS($B$158:$B$204,$B157,$C$158:$C$204,"Activity")+COUNTIFS($B$158:$B$204,$B157,$C$158:$C$204,"Variation")=0,"",IF(COUNTIFS($B$158:$B$204,$B157,$C$158:$C$204,"Activity")+COUNTIFS($B$158:$B$204,$B157,$C$158:$C$204,"Variation")&lt;&gt;COUNTIFS($B$158:$B$204,$B157,$C$158:$C$204,"Activity",$G$158:$G$204,"&lt;&gt;",$H$158:$H$204,"&lt;&gt;")+COUNTIFS($B$158:$B$204,$B157,$C$158:$C$204,"Variation",$G$158:$G$204,"&lt;&gt;",$H$158:$H$204,"&lt;&gt;"),"",(SUMIFS($K$158:$K$204,$B$158:$B$204,$B157,$C$158:$C$204,"Activity")+SUMIFS($K$158:$K$204,$B$158:$B$204,$B157,$C$158:$C$204,"Variation"))/(COUNTIFS($B$158:$B$204,$B157,$C$158:$C$204,"Activity")+COUNTIFS($B$158:$B$204,$B157,$C$158:$C$204,"Variation")))),IF($C157="Milestone",IF(COUNTIFS($D$158:$D$204,$A157,$C$158:$C$204,"Activity")+COUNTIFS($D$158:$D$204,$A157,$C$158:$C$204,"Variation")=0,"",IF(COUNTIFS($D$158:$D$204,$A157,$C$158:$C$204,"Activity")+COUNTIFS($D$158:$D$204,$A157,$C$158:$C$204,"Variation")&lt;&gt;COUNTIFS($D$158:$D$204,$A157,$C$158:$C$204,"Activity",$G$158:$G$204,"&lt;&gt;",$H$158:$H$204,"&lt;&gt;")+COUNTIFS($D$158:$D$204,$A157,$C$158:$C$204,"Variation",$G$158:$G$204,"&lt;&gt;",$H$158:$H$204,"&lt;&gt;"),"",(SUMIFS($K$158:$K$204,$D$158:$D$204,$A157,$C$158:$C$204,"Activity")+SUMIFS($K$158:$K$204,$D$158:$D$204,$A157,$C$158:$C$204,"Variation"))/(COUNTIFS($D$158:$D$204,$A157,$C$158:$C$204,"Activity")+COUNTIFS($D$158:$D$204,$A157,$C$158:$C$204,"Variation")))),IF(OR($C157="Activity",$C157="Variation"),IF(OR($G157="",$H157=""),"",IF($H157&lt;$G157,"",IF($H157=$G157,--(TODAY()&gt;=$H157),MAX(0,MIN(1,(TODAY()-$G157)/($H157-$G157)))))),""))))</x:f>
      </x:c>
      <x:c r="L157" s="7" t="str">
        <x:f t="shared" si="6">IF($B157="","",IF($C157="Initiative",IF(COUNTIFS($B$5:$B$204,$B157,$C$5:$C$204,"Activity")+COUNTIFS($B$5:$B$204,$B157,$C$5:$C$204,"Variation")=0,"",IF(COUNTIFS($B$5:$B$204,$B157,$C$5:$C$204,"Activity")+COUNTIFS($B$5:$B$204,$B157,$C$5:$C$204,"Variation")&lt;&gt;COUNTIFS($B$5:$B$204,$B157,$C$5:$C$204,"Activity",$J$5:$J$204,"&lt;&gt;",$J$5:$J$204,"&gt;=0",$J$5:$J$204,"&lt;=1")+COUNTIFS($B$5:$B$204,$B157,$C$5:$C$204,"Variation",$J$5:$J$204,"&lt;&gt;",$J$5:$J$204,"&gt;=0",$J$5:$J$204,"&lt;=1"),"",(SUMIFS($J$5:$J$204,$B$5:$B$204,$B157,$C$5:$C$204,"Activity")+SUMIFS($J$5:$J$204,$B$5:$B$204,$B157,$C$5:$C$204,"Variation"))/(COUNTIFS($B$5:$B$204,$B157,$C$5:$C$204,"Activity")+COUNTIFS($B$5:$B$204,$B157,$C$5:$C$204,"Variation")))),IF($C157="Milestone",IF(COUNTIFS($D$5:$D$204,$A157,$C$5:$C$204,"Activity")+COUNTIFS($D$5:$D$204,$A157,$C$5:$C$204,"Variation")=0,"",IF(COUNTIFS($D$5:$D$204,$A157,$C$5:$C$204,"Activity")+COUNTIFS($D$5:$D$204,$A157,$C$5:$C$204,"Variation")&lt;&gt;COUNTIFS($D$5:$D$204,$A157,$C$5:$C$204,"Activity",$J$5:$J$204,"&lt;&gt;",$J$5:$J$204,"&gt;=0",$J$5:$J$204,"&lt;=1")+COUNTIFS($D$5:$D$204,$A157,$C$5:$C$204,"Variation",$J$5:$J$204,"&lt;&gt;",$J$5:$J$204,"&gt;=0",$J$5:$J$204,"&lt;=1"),"",(SUMIFS($J$5:$J$204,$D$5:$D$204,$A157,$C$5:$C$204,"Activity")+SUMIFS($J$5:$J$204,$D$5:$D$204,$A157,$C$5:$C$204,"Variation"))/(COUNTIFS($D$5:$D$204,$A157,$C$5:$C$204,"Activity")+COUNTIFS($D$5:$D$204,$A157,$C$5:$C$204,"Variation")))),IF(OR($C157="Activity",$C157="Variation"),IF(AND(ISNUMBER($J157),$J157&gt;=0,$J157&lt;=1),$J157,""),""))))</x:f>
      </x:c>
      <x:c r="M157" s="7" t="str">
        <x:f t="shared" si="7">IF(OR($K157="",$L157=""),"",$L157-$K157)</x:f>
      </x:c>
      <x:c r="N157" s="6" t="str">
        <x:f>IF(OR($B157="",$I157="",$L157=""),"",IF(AND($L157&lt;1,$I157&lt;TODAY()),"Late",IF(AND($H157&lt;&gt;"",$I157&gt;$H157),"Forecast Slip","On Plan")))</x:f>
      </x:c>
      <x:c r="O157" s="19"/>
      <x:c r="P157" s="6" t="str">
        <x:f t="shared" si="8">IF($B157="","",IF($A157="","Enter item ID",IF(COUNTIF($A$5:$A$204,$A157)&gt;1,"Duplicate item ID",IF($C157="Initiative",IF($D157&lt;&gt;"","Parent must be blank",IF(COUNTIFS($B$5:$B$204,$B157,$C$5:$C$204,"Initiative")&lt;&gt;1,"One Initiative row required",IF(COUNTIFS($D$5:$D$204,$A157,$C$5:$C$204,"Milestone")=0,"Add milestone","OK"))),IF($C157="Milestone",IF(COUNTIFS($A$5:$A$204,$D157,$B$5:$B$204,$B157,$C$5:$C$204,"Initiative")&lt;&gt;1,"Parent must be Initiative",IF(COUNTIFS($D$5:$D$204,$A157,$C$5:$C$204,"Activity")+COUNTIFS($D$5:$D$204,$A157,$C$5:$C$204,"Variation")=0,"Add activity or variation","OK")),IF(OR($C157="Activity",$C157="Variation"),IF(COUNTIFS($A$5:$A$204,$D157,$B$5:$B$204,$B157,$C$5:$C$204,"Milestone")&lt;&gt;1,"Parent must be Milestone",IF(OR($G157="",$H157=""),"Enter baseline dates",IF($H157&lt;$G157,"Baseline finish before start",IF($I157="","Enter forecast finish",IF(COUNT($J157)=0,"Enter actual %",IF(OR(NOT(ISNUMBER($J157)),$J157&lt;0,$J157&gt;1),"Actual % must be 0–100%","OK")))))),"Select level"))))))</x:f>
      </x:c>
    </x:row>
    <x:row r="158">
      <x:c r="A158" s="66" t="str" cm="1">
        <x:f t="array" ref="A158">IF(OR(B158="",C158=""),"",IF(C158="Initiative",COUNTIF($C$5:C158,"Initiative"),IF(C158="Milestone",IF(D158="","",D158&amp;"."&amp;COUNTIFS($D$5:D158,D158,$C$5:C158,"Milestone")),IF(OR(C158="Activity",C158="Variation"),IF(D158="","",D158&amp;"."&amp;(COUNTIFS($D$5:D158,D158,$C$5:C158,"Activity")+COUNTIFS($D$5:D158,D158,$C$5:C158,"Variation"))),""))))</x:f>
      </x:c>
      <x:c r="B158" s="19"/>
      <x:c r="C158" s="19"/>
      <x:c r="D158" s="20"/>
      <x:c r="E158" s="21"/>
      <x:c r="F158" s="21"/>
      <x:c r="G158" s="102"/>
      <x:c r="H158" s="102"/>
      <x:c r="I158" s="102"/>
      <x:c r="J158" s="100"/>
      <x:c r="K158" s="7" t="str">
        <x:f>IF($B158="","",IF($C158="Initiative",IF(COUNTIFS($B$159:$B$204,$B158,$C$159:$C$204,"Activity")+COUNTIFS($B$159:$B$204,$B158,$C$159:$C$204,"Variation")=0,"",IF(COUNTIFS($B$159:$B$204,$B158,$C$159:$C$204,"Activity")+COUNTIFS($B$159:$B$204,$B158,$C$159:$C$204,"Variation")&lt;&gt;COUNTIFS($B$159:$B$204,$B158,$C$159:$C$204,"Activity",$G$159:$G$204,"&lt;&gt;",$H$159:$H$204,"&lt;&gt;")+COUNTIFS($B$159:$B$204,$B158,$C$159:$C$204,"Variation",$G$159:$G$204,"&lt;&gt;",$H$159:$H$204,"&lt;&gt;"),"",(SUMIFS($K$159:$K$204,$B$159:$B$204,$B158,$C$159:$C$204,"Activity")+SUMIFS($K$159:$K$204,$B$159:$B$204,$B158,$C$159:$C$204,"Variation"))/(COUNTIFS($B$159:$B$204,$B158,$C$159:$C$204,"Activity")+COUNTIFS($B$159:$B$204,$B158,$C$159:$C$204,"Variation")))),IF($C158="Milestone",IF(COUNTIFS($D$159:$D$204,$A158,$C$159:$C$204,"Activity")+COUNTIFS($D$159:$D$204,$A158,$C$159:$C$204,"Variation")=0,"",IF(COUNTIFS($D$159:$D$204,$A158,$C$159:$C$204,"Activity")+COUNTIFS($D$159:$D$204,$A158,$C$159:$C$204,"Variation")&lt;&gt;COUNTIFS($D$159:$D$204,$A158,$C$159:$C$204,"Activity",$G$159:$G$204,"&lt;&gt;",$H$159:$H$204,"&lt;&gt;")+COUNTIFS($D$159:$D$204,$A158,$C$159:$C$204,"Variation",$G$159:$G$204,"&lt;&gt;",$H$159:$H$204,"&lt;&gt;"),"",(SUMIFS($K$159:$K$204,$D$159:$D$204,$A158,$C$159:$C$204,"Activity")+SUMIFS($K$159:$K$204,$D$159:$D$204,$A158,$C$159:$C$204,"Variation"))/(COUNTIFS($D$159:$D$204,$A158,$C$159:$C$204,"Activity")+COUNTIFS($D$159:$D$204,$A158,$C$159:$C$204,"Variation")))),IF(OR($C158="Activity",$C158="Variation"),IF(OR($G158="",$H158=""),"",IF($H158&lt;$G158,"",IF($H158=$G158,--(TODAY()&gt;=$H158),MAX(0,MIN(1,(TODAY()-$G158)/($H158-$G158)))))),""))))</x:f>
      </x:c>
      <x:c r="L158" s="7" t="str">
        <x:f t="shared" si="6">IF($B158="","",IF($C158="Initiative",IF(COUNTIFS($B$5:$B$204,$B158,$C$5:$C$204,"Activity")+COUNTIFS($B$5:$B$204,$B158,$C$5:$C$204,"Variation")=0,"",IF(COUNTIFS($B$5:$B$204,$B158,$C$5:$C$204,"Activity")+COUNTIFS($B$5:$B$204,$B158,$C$5:$C$204,"Variation")&lt;&gt;COUNTIFS($B$5:$B$204,$B158,$C$5:$C$204,"Activity",$J$5:$J$204,"&lt;&gt;",$J$5:$J$204,"&gt;=0",$J$5:$J$204,"&lt;=1")+COUNTIFS($B$5:$B$204,$B158,$C$5:$C$204,"Variation",$J$5:$J$204,"&lt;&gt;",$J$5:$J$204,"&gt;=0",$J$5:$J$204,"&lt;=1"),"",(SUMIFS($J$5:$J$204,$B$5:$B$204,$B158,$C$5:$C$204,"Activity")+SUMIFS($J$5:$J$204,$B$5:$B$204,$B158,$C$5:$C$204,"Variation"))/(COUNTIFS($B$5:$B$204,$B158,$C$5:$C$204,"Activity")+COUNTIFS($B$5:$B$204,$B158,$C$5:$C$204,"Variation")))),IF($C158="Milestone",IF(COUNTIFS($D$5:$D$204,$A158,$C$5:$C$204,"Activity")+COUNTIFS($D$5:$D$204,$A158,$C$5:$C$204,"Variation")=0,"",IF(COUNTIFS($D$5:$D$204,$A158,$C$5:$C$204,"Activity")+COUNTIFS($D$5:$D$204,$A158,$C$5:$C$204,"Variation")&lt;&gt;COUNTIFS($D$5:$D$204,$A158,$C$5:$C$204,"Activity",$J$5:$J$204,"&lt;&gt;",$J$5:$J$204,"&gt;=0",$J$5:$J$204,"&lt;=1")+COUNTIFS($D$5:$D$204,$A158,$C$5:$C$204,"Variation",$J$5:$J$204,"&lt;&gt;",$J$5:$J$204,"&gt;=0",$J$5:$J$204,"&lt;=1"),"",(SUMIFS($J$5:$J$204,$D$5:$D$204,$A158,$C$5:$C$204,"Activity")+SUMIFS($J$5:$J$204,$D$5:$D$204,$A158,$C$5:$C$204,"Variation"))/(COUNTIFS($D$5:$D$204,$A158,$C$5:$C$204,"Activity")+COUNTIFS($D$5:$D$204,$A158,$C$5:$C$204,"Variation")))),IF(OR($C158="Activity",$C158="Variation"),IF(AND(ISNUMBER($J158),$J158&gt;=0,$J158&lt;=1),$J158,""),""))))</x:f>
      </x:c>
      <x:c r="M158" s="7" t="str">
        <x:f t="shared" si="7">IF(OR($K158="",$L158=""),"",$L158-$K158)</x:f>
      </x:c>
      <x:c r="N158" s="6" t="str">
        <x:f>IF(OR($B158="",$I158="",$L158=""),"",IF(AND($L158&lt;1,$I158&lt;TODAY()),"Late",IF(AND($H158&lt;&gt;"",$I158&gt;$H158),"Forecast Slip","On Plan")))</x:f>
      </x:c>
      <x:c r="O158" s="19"/>
      <x:c r="P158" s="6" t="str">
        <x:f t="shared" si="8">IF($B158="","",IF($A158="","Enter item ID",IF(COUNTIF($A$5:$A$204,$A158)&gt;1,"Duplicate item ID",IF($C158="Initiative",IF($D158&lt;&gt;"","Parent must be blank",IF(COUNTIFS($B$5:$B$204,$B158,$C$5:$C$204,"Initiative")&lt;&gt;1,"One Initiative row required",IF(COUNTIFS($D$5:$D$204,$A158,$C$5:$C$204,"Milestone")=0,"Add milestone","OK"))),IF($C158="Milestone",IF(COUNTIFS($A$5:$A$204,$D158,$B$5:$B$204,$B158,$C$5:$C$204,"Initiative")&lt;&gt;1,"Parent must be Initiative",IF(COUNTIFS($D$5:$D$204,$A158,$C$5:$C$204,"Activity")+COUNTIFS($D$5:$D$204,$A158,$C$5:$C$204,"Variation")=0,"Add activity or variation","OK")),IF(OR($C158="Activity",$C158="Variation"),IF(COUNTIFS($A$5:$A$204,$D158,$B$5:$B$204,$B158,$C$5:$C$204,"Milestone")&lt;&gt;1,"Parent must be Milestone",IF(OR($G158="",$H158=""),"Enter baseline dates",IF($H158&lt;$G158,"Baseline finish before start",IF($I158="","Enter forecast finish",IF(COUNT($J158)=0,"Enter actual %",IF(OR(NOT(ISNUMBER($J158)),$J158&lt;0,$J158&gt;1),"Actual % must be 0–100%","OK")))))),"Select level"))))))</x:f>
      </x:c>
    </x:row>
    <x:row r="159">
      <x:c r="A159" s="66" t="str" cm="1">
        <x:f t="array" ref="A159">IF(OR(B159="",C159=""),"",IF(C159="Initiative",COUNTIF($C$5:C159,"Initiative"),IF(C159="Milestone",IF(D159="","",D159&amp;"."&amp;COUNTIFS($D$5:D159,D159,$C$5:C159,"Milestone")),IF(OR(C159="Activity",C159="Variation"),IF(D159="","",D159&amp;"."&amp;(COUNTIFS($D$5:D159,D159,$C$5:C159,"Activity")+COUNTIFS($D$5:D159,D159,$C$5:C159,"Variation"))),""))))</x:f>
      </x:c>
      <x:c r="B159" s="19"/>
      <x:c r="C159" s="19"/>
      <x:c r="D159" s="20"/>
      <x:c r="E159" s="21"/>
      <x:c r="F159" s="21"/>
      <x:c r="G159" s="102"/>
      <x:c r="H159" s="102"/>
      <x:c r="I159" s="102"/>
      <x:c r="J159" s="100"/>
      <x:c r="K159" s="7" t="str">
        <x:f>IF($B159="","",IF($C159="Initiative",IF(COUNTIFS($B$160:$B$204,$B159,$C$160:$C$204,"Activity")+COUNTIFS($B$160:$B$204,$B159,$C$160:$C$204,"Variation")=0,"",IF(COUNTIFS($B$160:$B$204,$B159,$C$160:$C$204,"Activity")+COUNTIFS($B$160:$B$204,$B159,$C$160:$C$204,"Variation")&lt;&gt;COUNTIFS($B$160:$B$204,$B159,$C$160:$C$204,"Activity",$G$160:$G$204,"&lt;&gt;",$H$160:$H$204,"&lt;&gt;")+COUNTIFS($B$160:$B$204,$B159,$C$160:$C$204,"Variation",$G$160:$G$204,"&lt;&gt;",$H$160:$H$204,"&lt;&gt;"),"",(SUMIFS($K$160:$K$204,$B$160:$B$204,$B159,$C$160:$C$204,"Activity")+SUMIFS($K$160:$K$204,$B$160:$B$204,$B159,$C$160:$C$204,"Variation"))/(COUNTIFS($B$160:$B$204,$B159,$C$160:$C$204,"Activity")+COUNTIFS($B$160:$B$204,$B159,$C$160:$C$204,"Variation")))),IF($C159="Milestone",IF(COUNTIFS($D$160:$D$204,$A159,$C$160:$C$204,"Activity")+COUNTIFS($D$160:$D$204,$A159,$C$160:$C$204,"Variation")=0,"",IF(COUNTIFS($D$160:$D$204,$A159,$C$160:$C$204,"Activity")+COUNTIFS($D$160:$D$204,$A159,$C$160:$C$204,"Variation")&lt;&gt;COUNTIFS($D$160:$D$204,$A159,$C$160:$C$204,"Activity",$G$160:$G$204,"&lt;&gt;",$H$160:$H$204,"&lt;&gt;")+COUNTIFS($D$160:$D$204,$A159,$C$160:$C$204,"Variation",$G$160:$G$204,"&lt;&gt;",$H$160:$H$204,"&lt;&gt;"),"",(SUMIFS($K$160:$K$204,$D$160:$D$204,$A159,$C$160:$C$204,"Activity")+SUMIFS($K$160:$K$204,$D$160:$D$204,$A159,$C$160:$C$204,"Variation"))/(COUNTIFS($D$160:$D$204,$A159,$C$160:$C$204,"Activity")+COUNTIFS($D$160:$D$204,$A159,$C$160:$C$204,"Variation")))),IF(OR($C159="Activity",$C159="Variation"),IF(OR($G159="",$H159=""),"",IF($H159&lt;$G159,"",IF($H159=$G159,--(TODAY()&gt;=$H159),MAX(0,MIN(1,(TODAY()-$G159)/($H159-$G159)))))),""))))</x:f>
      </x:c>
      <x:c r="L159" s="7" t="str">
        <x:f t="shared" si="6">IF($B159="","",IF($C159="Initiative",IF(COUNTIFS($B$5:$B$204,$B159,$C$5:$C$204,"Activity")+COUNTIFS($B$5:$B$204,$B159,$C$5:$C$204,"Variation")=0,"",IF(COUNTIFS($B$5:$B$204,$B159,$C$5:$C$204,"Activity")+COUNTIFS($B$5:$B$204,$B159,$C$5:$C$204,"Variation")&lt;&gt;COUNTIFS($B$5:$B$204,$B159,$C$5:$C$204,"Activity",$J$5:$J$204,"&lt;&gt;",$J$5:$J$204,"&gt;=0",$J$5:$J$204,"&lt;=1")+COUNTIFS($B$5:$B$204,$B159,$C$5:$C$204,"Variation",$J$5:$J$204,"&lt;&gt;",$J$5:$J$204,"&gt;=0",$J$5:$J$204,"&lt;=1"),"",(SUMIFS($J$5:$J$204,$B$5:$B$204,$B159,$C$5:$C$204,"Activity")+SUMIFS($J$5:$J$204,$B$5:$B$204,$B159,$C$5:$C$204,"Variation"))/(COUNTIFS($B$5:$B$204,$B159,$C$5:$C$204,"Activity")+COUNTIFS($B$5:$B$204,$B159,$C$5:$C$204,"Variation")))),IF($C159="Milestone",IF(COUNTIFS($D$5:$D$204,$A159,$C$5:$C$204,"Activity")+COUNTIFS($D$5:$D$204,$A159,$C$5:$C$204,"Variation")=0,"",IF(COUNTIFS($D$5:$D$204,$A159,$C$5:$C$204,"Activity")+COUNTIFS($D$5:$D$204,$A159,$C$5:$C$204,"Variation")&lt;&gt;COUNTIFS($D$5:$D$204,$A159,$C$5:$C$204,"Activity",$J$5:$J$204,"&lt;&gt;",$J$5:$J$204,"&gt;=0",$J$5:$J$204,"&lt;=1")+COUNTIFS($D$5:$D$204,$A159,$C$5:$C$204,"Variation",$J$5:$J$204,"&lt;&gt;",$J$5:$J$204,"&gt;=0",$J$5:$J$204,"&lt;=1"),"",(SUMIFS($J$5:$J$204,$D$5:$D$204,$A159,$C$5:$C$204,"Activity")+SUMIFS($J$5:$J$204,$D$5:$D$204,$A159,$C$5:$C$204,"Variation"))/(COUNTIFS($D$5:$D$204,$A159,$C$5:$C$204,"Activity")+COUNTIFS($D$5:$D$204,$A159,$C$5:$C$204,"Variation")))),IF(OR($C159="Activity",$C159="Variation"),IF(AND(ISNUMBER($J159),$J159&gt;=0,$J159&lt;=1),$J159,""),""))))</x:f>
      </x:c>
      <x:c r="M159" s="7" t="str">
        <x:f t="shared" si="7">IF(OR($K159="",$L159=""),"",$L159-$K159)</x:f>
      </x:c>
      <x:c r="N159" s="6" t="str">
        <x:f>IF(OR($B159="",$I159="",$L159=""),"",IF(AND($L159&lt;1,$I159&lt;TODAY()),"Late",IF(AND($H159&lt;&gt;"",$I159&gt;$H159),"Forecast Slip","On Plan")))</x:f>
      </x:c>
      <x:c r="O159" s="19"/>
      <x:c r="P159" s="6" t="str">
        <x:f t="shared" si="8">IF($B159="","",IF($A159="","Enter item ID",IF(COUNTIF($A$5:$A$204,$A159)&gt;1,"Duplicate item ID",IF($C159="Initiative",IF($D159&lt;&gt;"","Parent must be blank",IF(COUNTIFS($B$5:$B$204,$B159,$C$5:$C$204,"Initiative")&lt;&gt;1,"One Initiative row required",IF(COUNTIFS($D$5:$D$204,$A159,$C$5:$C$204,"Milestone")=0,"Add milestone","OK"))),IF($C159="Milestone",IF(COUNTIFS($A$5:$A$204,$D159,$B$5:$B$204,$B159,$C$5:$C$204,"Initiative")&lt;&gt;1,"Parent must be Initiative",IF(COUNTIFS($D$5:$D$204,$A159,$C$5:$C$204,"Activity")+COUNTIFS($D$5:$D$204,$A159,$C$5:$C$204,"Variation")=0,"Add activity or variation","OK")),IF(OR($C159="Activity",$C159="Variation"),IF(COUNTIFS($A$5:$A$204,$D159,$B$5:$B$204,$B159,$C$5:$C$204,"Milestone")&lt;&gt;1,"Parent must be Milestone",IF(OR($G159="",$H159=""),"Enter baseline dates",IF($H159&lt;$G159,"Baseline finish before start",IF($I159="","Enter forecast finish",IF(COUNT($J159)=0,"Enter actual %",IF(OR(NOT(ISNUMBER($J159)),$J159&lt;0,$J159&gt;1),"Actual % must be 0–100%","OK")))))),"Select level"))))))</x:f>
      </x:c>
    </x:row>
    <x:row r="160">
      <x:c r="A160" s="66" t="str" cm="1">
        <x:f t="array" ref="A160">IF(OR(B160="",C160=""),"",IF(C160="Initiative",COUNTIF($C$5:C160,"Initiative"),IF(C160="Milestone",IF(D160="","",D160&amp;"."&amp;COUNTIFS($D$5:D160,D160,$C$5:C160,"Milestone")),IF(OR(C160="Activity",C160="Variation"),IF(D160="","",D160&amp;"."&amp;(COUNTIFS($D$5:D160,D160,$C$5:C160,"Activity")+COUNTIFS($D$5:D160,D160,$C$5:C160,"Variation"))),""))))</x:f>
      </x:c>
      <x:c r="B160" s="19"/>
      <x:c r="C160" s="19"/>
      <x:c r="D160" s="20"/>
      <x:c r="E160" s="21"/>
      <x:c r="F160" s="21"/>
      <x:c r="G160" s="102"/>
      <x:c r="H160" s="102"/>
      <x:c r="I160" s="102"/>
      <x:c r="J160" s="100"/>
      <x:c r="K160" s="7" t="str">
        <x:f>IF($B160="","",IF($C160="Initiative",IF(COUNTIFS($B$161:$B$204,$B160,$C$161:$C$204,"Activity")+COUNTIFS($B$161:$B$204,$B160,$C$161:$C$204,"Variation")=0,"",IF(COUNTIFS($B$161:$B$204,$B160,$C$161:$C$204,"Activity")+COUNTIFS($B$161:$B$204,$B160,$C$161:$C$204,"Variation")&lt;&gt;COUNTIFS($B$161:$B$204,$B160,$C$161:$C$204,"Activity",$G$161:$G$204,"&lt;&gt;",$H$161:$H$204,"&lt;&gt;")+COUNTIFS($B$161:$B$204,$B160,$C$161:$C$204,"Variation",$G$161:$G$204,"&lt;&gt;",$H$161:$H$204,"&lt;&gt;"),"",(SUMIFS($K$161:$K$204,$B$161:$B$204,$B160,$C$161:$C$204,"Activity")+SUMIFS($K$161:$K$204,$B$161:$B$204,$B160,$C$161:$C$204,"Variation"))/(COUNTIFS($B$161:$B$204,$B160,$C$161:$C$204,"Activity")+COUNTIFS($B$161:$B$204,$B160,$C$161:$C$204,"Variation")))),IF($C160="Milestone",IF(COUNTIFS($D$161:$D$204,$A160,$C$161:$C$204,"Activity")+COUNTIFS($D$161:$D$204,$A160,$C$161:$C$204,"Variation")=0,"",IF(COUNTIFS($D$161:$D$204,$A160,$C$161:$C$204,"Activity")+COUNTIFS($D$161:$D$204,$A160,$C$161:$C$204,"Variation")&lt;&gt;COUNTIFS($D$161:$D$204,$A160,$C$161:$C$204,"Activity",$G$161:$G$204,"&lt;&gt;",$H$161:$H$204,"&lt;&gt;")+COUNTIFS($D$161:$D$204,$A160,$C$161:$C$204,"Variation",$G$161:$G$204,"&lt;&gt;",$H$161:$H$204,"&lt;&gt;"),"",(SUMIFS($K$161:$K$204,$D$161:$D$204,$A160,$C$161:$C$204,"Activity")+SUMIFS($K$161:$K$204,$D$161:$D$204,$A160,$C$161:$C$204,"Variation"))/(COUNTIFS($D$161:$D$204,$A160,$C$161:$C$204,"Activity")+COUNTIFS($D$161:$D$204,$A160,$C$161:$C$204,"Variation")))),IF(OR($C160="Activity",$C160="Variation"),IF(OR($G160="",$H160=""),"",IF($H160&lt;$G160,"",IF($H160=$G160,--(TODAY()&gt;=$H160),MAX(0,MIN(1,(TODAY()-$G160)/($H160-$G160)))))),""))))</x:f>
      </x:c>
      <x:c r="L160" s="7" t="str">
        <x:f t="shared" si="6">IF($B160="","",IF($C160="Initiative",IF(COUNTIFS($B$5:$B$204,$B160,$C$5:$C$204,"Activity")+COUNTIFS($B$5:$B$204,$B160,$C$5:$C$204,"Variation")=0,"",IF(COUNTIFS($B$5:$B$204,$B160,$C$5:$C$204,"Activity")+COUNTIFS($B$5:$B$204,$B160,$C$5:$C$204,"Variation")&lt;&gt;COUNTIFS($B$5:$B$204,$B160,$C$5:$C$204,"Activity",$J$5:$J$204,"&lt;&gt;",$J$5:$J$204,"&gt;=0",$J$5:$J$204,"&lt;=1")+COUNTIFS($B$5:$B$204,$B160,$C$5:$C$204,"Variation",$J$5:$J$204,"&lt;&gt;",$J$5:$J$204,"&gt;=0",$J$5:$J$204,"&lt;=1"),"",(SUMIFS($J$5:$J$204,$B$5:$B$204,$B160,$C$5:$C$204,"Activity")+SUMIFS($J$5:$J$204,$B$5:$B$204,$B160,$C$5:$C$204,"Variation"))/(COUNTIFS($B$5:$B$204,$B160,$C$5:$C$204,"Activity")+COUNTIFS($B$5:$B$204,$B160,$C$5:$C$204,"Variation")))),IF($C160="Milestone",IF(COUNTIFS($D$5:$D$204,$A160,$C$5:$C$204,"Activity")+COUNTIFS($D$5:$D$204,$A160,$C$5:$C$204,"Variation")=0,"",IF(COUNTIFS($D$5:$D$204,$A160,$C$5:$C$204,"Activity")+COUNTIFS($D$5:$D$204,$A160,$C$5:$C$204,"Variation")&lt;&gt;COUNTIFS($D$5:$D$204,$A160,$C$5:$C$204,"Activity",$J$5:$J$204,"&lt;&gt;",$J$5:$J$204,"&gt;=0",$J$5:$J$204,"&lt;=1")+COUNTIFS($D$5:$D$204,$A160,$C$5:$C$204,"Variation",$J$5:$J$204,"&lt;&gt;",$J$5:$J$204,"&gt;=0",$J$5:$J$204,"&lt;=1"),"",(SUMIFS($J$5:$J$204,$D$5:$D$204,$A160,$C$5:$C$204,"Activity")+SUMIFS($J$5:$J$204,$D$5:$D$204,$A160,$C$5:$C$204,"Variation"))/(COUNTIFS($D$5:$D$204,$A160,$C$5:$C$204,"Activity")+COUNTIFS($D$5:$D$204,$A160,$C$5:$C$204,"Variation")))),IF(OR($C160="Activity",$C160="Variation"),IF(AND(ISNUMBER($J160),$J160&gt;=0,$J160&lt;=1),$J160,""),""))))</x:f>
      </x:c>
      <x:c r="M160" s="7" t="str">
        <x:f t="shared" si="7">IF(OR($K160="",$L160=""),"",$L160-$K160)</x:f>
      </x:c>
      <x:c r="N160" s="6" t="str">
        <x:f>IF(OR($B160="",$I160="",$L160=""),"",IF(AND($L160&lt;1,$I160&lt;TODAY()),"Late",IF(AND($H160&lt;&gt;"",$I160&gt;$H160),"Forecast Slip","On Plan")))</x:f>
      </x:c>
      <x:c r="O160" s="19"/>
      <x:c r="P160" s="6" t="str">
        <x:f t="shared" si="8">IF($B160="","",IF($A160="","Enter item ID",IF(COUNTIF($A$5:$A$204,$A160)&gt;1,"Duplicate item ID",IF($C160="Initiative",IF($D160&lt;&gt;"","Parent must be blank",IF(COUNTIFS($B$5:$B$204,$B160,$C$5:$C$204,"Initiative")&lt;&gt;1,"One Initiative row required",IF(COUNTIFS($D$5:$D$204,$A160,$C$5:$C$204,"Milestone")=0,"Add milestone","OK"))),IF($C160="Milestone",IF(COUNTIFS($A$5:$A$204,$D160,$B$5:$B$204,$B160,$C$5:$C$204,"Initiative")&lt;&gt;1,"Parent must be Initiative",IF(COUNTIFS($D$5:$D$204,$A160,$C$5:$C$204,"Activity")+COUNTIFS($D$5:$D$204,$A160,$C$5:$C$204,"Variation")=0,"Add activity or variation","OK")),IF(OR($C160="Activity",$C160="Variation"),IF(COUNTIFS($A$5:$A$204,$D160,$B$5:$B$204,$B160,$C$5:$C$204,"Milestone")&lt;&gt;1,"Parent must be Milestone",IF(OR($G160="",$H160=""),"Enter baseline dates",IF($H160&lt;$G160,"Baseline finish before start",IF($I160="","Enter forecast finish",IF(COUNT($J160)=0,"Enter actual %",IF(OR(NOT(ISNUMBER($J160)),$J160&lt;0,$J160&gt;1),"Actual % must be 0–100%","OK")))))),"Select level"))))))</x:f>
      </x:c>
    </x:row>
    <x:row r="161">
      <x:c r="A161" s="66" t="str" cm="1">
        <x:f t="array" ref="A161">IF(OR(B161="",C161=""),"",IF(C161="Initiative",COUNTIF($C$5:C161,"Initiative"),IF(C161="Milestone",IF(D161="","",D161&amp;"."&amp;COUNTIFS($D$5:D161,D161,$C$5:C161,"Milestone")),IF(OR(C161="Activity",C161="Variation"),IF(D161="","",D161&amp;"."&amp;(COUNTIFS($D$5:D161,D161,$C$5:C161,"Activity")+COUNTIFS($D$5:D161,D161,$C$5:C161,"Variation"))),""))))</x:f>
      </x:c>
      <x:c r="B161" s="19"/>
      <x:c r="C161" s="19"/>
      <x:c r="D161" s="20"/>
      <x:c r="E161" s="21"/>
      <x:c r="F161" s="21"/>
      <x:c r="G161" s="102"/>
      <x:c r="H161" s="102"/>
      <x:c r="I161" s="102"/>
      <x:c r="J161" s="100"/>
      <x:c r="K161" s="7" t="str">
        <x:f>IF($B161="","",IF($C161="Initiative",IF(COUNTIFS($B$162:$B$204,$B161,$C$162:$C$204,"Activity")+COUNTIFS($B$162:$B$204,$B161,$C$162:$C$204,"Variation")=0,"",IF(COUNTIFS($B$162:$B$204,$B161,$C$162:$C$204,"Activity")+COUNTIFS($B$162:$B$204,$B161,$C$162:$C$204,"Variation")&lt;&gt;COUNTIFS($B$162:$B$204,$B161,$C$162:$C$204,"Activity",$G$162:$G$204,"&lt;&gt;",$H$162:$H$204,"&lt;&gt;")+COUNTIFS($B$162:$B$204,$B161,$C$162:$C$204,"Variation",$G$162:$G$204,"&lt;&gt;",$H$162:$H$204,"&lt;&gt;"),"",(SUMIFS($K$162:$K$204,$B$162:$B$204,$B161,$C$162:$C$204,"Activity")+SUMIFS($K$162:$K$204,$B$162:$B$204,$B161,$C$162:$C$204,"Variation"))/(COUNTIFS($B$162:$B$204,$B161,$C$162:$C$204,"Activity")+COUNTIFS($B$162:$B$204,$B161,$C$162:$C$204,"Variation")))),IF($C161="Milestone",IF(COUNTIFS($D$162:$D$204,$A161,$C$162:$C$204,"Activity")+COUNTIFS($D$162:$D$204,$A161,$C$162:$C$204,"Variation")=0,"",IF(COUNTIFS($D$162:$D$204,$A161,$C$162:$C$204,"Activity")+COUNTIFS($D$162:$D$204,$A161,$C$162:$C$204,"Variation")&lt;&gt;COUNTIFS($D$162:$D$204,$A161,$C$162:$C$204,"Activity",$G$162:$G$204,"&lt;&gt;",$H$162:$H$204,"&lt;&gt;")+COUNTIFS($D$162:$D$204,$A161,$C$162:$C$204,"Variation",$G$162:$G$204,"&lt;&gt;",$H$162:$H$204,"&lt;&gt;"),"",(SUMIFS($K$162:$K$204,$D$162:$D$204,$A161,$C$162:$C$204,"Activity")+SUMIFS($K$162:$K$204,$D$162:$D$204,$A161,$C$162:$C$204,"Variation"))/(COUNTIFS($D$162:$D$204,$A161,$C$162:$C$204,"Activity")+COUNTIFS($D$162:$D$204,$A161,$C$162:$C$204,"Variation")))),IF(OR($C161="Activity",$C161="Variation"),IF(OR($G161="",$H161=""),"",IF($H161&lt;$G161,"",IF($H161=$G161,--(TODAY()&gt;=$H161),MAX(0,MIN(1,(TODAY()-$G161)/($H161-$G161)))))),""))))</x:f>
      </x:c>
      <x:c r="L161" s="7" t="str">
        <x:f t="shared" si="6">IF($B161="","",IF($C161="Initiative",IF(COUNTIFS($B$5:$B$204,$B161,$C$5:$C$204,"Activity")+COUNTIFS($B$5:$B$204,$B161,$C$5:$C$204,"Variation")=0,"",IF(COUNTIFS($B$5:$B$204,$B161,$C$5:$C$204,"Activity")+COUNTIFS($B$5:$B$204,$B161,$C$5:$C$204,"Variation")&lt;&gt;COUNTIFS($B$5:$B$204,$B161,$C$5:$C$204,"Activity",$J$5:$J$204,"&lt;&gt;",$J$5:$J$204,"&gt;=0",$J$5:$J$204,"&lt;=1")+COUNTIFS($B$5:$B$204,$B161,$C$5:$C$204,"Variation",$J$5:$J$204,"&lt;&gt;",$J$5:$J$204,"&gt;=0",$J$5:$J$204,"&lt;=1"),"",(SUMIFS($J$5:$J$204,$B$5:$B$204,$B161,$C$5:$C$204,"Activity")+SUMIFS($J$5:$J$204,$B$5:$B$204,$B161,$C$5:$C$204,"Variation"))/(COUNTIFS($B$5:$B$204,$B161,$C$5:$C$204,"Activity")+COUNTIFS($B$5:$B$204,$B161,$C$5:$C$204,"Variation")))),IF($C161="Milestone",IF(COUNTIFS($D$5:$D$204,$A161,$C$5:$C$204,"Activity")+COUNTIFS($D$5:$D$204,$A161,$C$5:$C$204,"Variation")=0,"",IF(COUNTIFS($D$5:$D$204,$A161,$C$5:$C$204,"Activity")+COUNTIFS($D$5:$D$204,$A161,$C$5:$C$204,"Variation")&lt;&gt;COUNTIFS($D$5:$D$204,$A161,$C$5:$C$204,"Activity",$J$5:$J$204,"&lt;&gt;",$J$5:$J$204,"&gt;=0",$J$5:$J$204,"&lt;=1")+COUNTIFS($D$5:$D$204,$A161,$C$5:$C$204,"Variation",$J$5:$J$204,"&lt;&gt;",$J$5:$J$204,"&gt;=0",$J$5:$J$204,"&lt;=1"),"",(SUMIFS($J$5:$J$204,$D$5:$D$204,$A161,$C$5:$C$204,"Activity")+SUMIFS($J$5:$J$204,$D$5:$D$204,$A161,$C$5:$C$204,"Variation"))/(COUNTIFS($D$5:$D$204,$A161,$C$5:$C$204,"Activity")+COUNTIFS($D$5:$D$204,$A161,$C$5:$C$204,"Variation")))),IF(OR($C161="Activity",$C161="Variation"),IF(AND(ISNUMBER($J161),$J161&gt;=0,$J161&lt;=1),$J161,""),""))))</x:f>
      </x:c>
      <x:c r="M161" s="7" t="str">
        <x:f t="shared" si="7">IF(OR($K161="",$L161=""),"",$L161-$K161)</x:f>
      </x:c>
      <x:c r="N161" s="6" t="str">
        <x:f>IF(OR($B161="",$I161="",$L161=""),"",IF(AND($L161&lt;1,$I161&lt;TODAY()),"Late",IF(AND($H161&lt;&gt;"",$I161&gt;$H161),"Forecast Slip","On Plan")))</x:f>
      </x:c>
      <x:c r="O161" s="19"/>
      <x:c r="P161" s="6" t="str">
        <x:f t="shared" si="8">IF($B161="","",IF($A161="","Enter item ID",IF(COUNTIF($A$5:$A$204,$A161)&gt;1,"Duplicate item ID",IF($C161="Initiative",IF($D161&lt;&gt;"","Parent must be blank",IF(COUNTIFS($B$5:$B$204,$B161,$C$5:$C$204,"Initiative")&lt;&gt;1,"One Initiative row required",IF(COUNTIFS($D$5:$D$204,$A161,$C$5:$C$204,"Milestone")=0,"Add milestone","OK"))),IF($C161="Milestone",IF(COUNTIFS($A$5:$A$204,$D161,$B$5:$B$204,$B161,$C$5:$C$204,"Initiative")&lt;&gt;1,"Parent must be Initiative",IF(COUNTIFS($D$5:$D$204,$A161,$C$5:$C$204,"Activity")+COUNTIFS($D$5:$D$204,$A161,$C$5:$C$204,"Variation")=0,"Add activity or variation","OK")),IF(OR($C161="Activity",$C161="Variation"),IF(COUNTIFS($A$5:$A$204,$D161,$B$5:$B$204,$B161,$C$5:$C$204,"Milestone")&lt;&gt;1,"Parent must be Milestone",IF(OR($G161="",$H161=""),"Enter baseline dates",IF($H161&lt;$G161,"Baseline finish before start",IF($I161="","Enter forecast finish",IF(COUNT($J161)=0,"Enter actual %",IF(OR(NOT(ISNUMBER($J161)),$J161&lt;0,$J161&gt;1),"Actual % must be 0–100%","OK")))))),"Select level"))))))</x:f>
      </x:c>
    </x:row>
    <x:row r="162">
      <x:c r="A162" s="66" t="str" cm="1">
        <x:f t="array" ref="A162">IF(OR(B162="",C162=""),"",IF(C162="Initiative",COUNTIF($C$5:C162,"Initiative"),IF(C162="Milestone",IF(D162="","",D162&amp;"."&amp;COUNTIFS($D$5:D162,D162,$C$5:C162,"Milestone")),IF(OR(C162="Activity",C162="Variation"),IF(D162="","",D162&amp;"."&amp;(COUNTIFS($D$5:D162,D162,$C$5:C162,"Activity")+COUNTIFS($D$5:D162,D162,$C$5:C162,"Variation"))),""))))</x:f>
      </x:c>
      <x:c r="B162" s="19"/>
      <x:c r="C162" s="19"/>
      <x:c r="D162" s="20"/>
      <x:c r="E162" s="21"/>
      <x:c r="F162" s="21"/>
      <x:c r="G162" s="102"/>
      <x:c r="H162" s="102"/>
      <x:c r="I162" s="102"/>
      <x:c r="J162" s="100"/>
      <x:c r="K162" s="7" t="str">
        <x:f>IF($B162="","",IF($C162="Initiative",IF(COUNTIFS($B$163:$B$204,$B162,$C$163:$C$204,"Activity")+COUNTIFS($B$163:$B$204,$B162,$C$163:$C$204,"Variation")=0,"",IF(COUNTIFS($B$163:$B$204,$B162,$C$163:$C$204,"Activity")+COUNTIFS($B$163:$B$204,$B162,$C$163:$C$204,"Variation")&lt;&gt;COUNTIFS($B$163:$B$204,$B162,$C$163:$C$204,"Activity",$G$163:$G$204,"&lt;&gt;",$H$163:$H$204,"&lt;&gt;")+COUNTIFS($B$163:$B$204,$B162,$C$163:$C$204,"Variation",$G$163:$G$204,"&lt;&gt;",$H$163:$H$204,"&lt;&gt;"),"",(SUMIFS($K$163:$K$204,$B$163:$B$204,$B162,$C$163:$C$204,"Activity")+SUMIFS($K$163:$K$204,$B$163:$B$204,$B162,$C$163:$C$204,"Variation"))/(COUNTIFS($B$163:$B$204,$B162,$C$163:$C$204,"Activity")+COUNTIFS($B$163:$B$204,$B162,$C$163:$C$204,"Variation")))),IF($C162="Milestone",IF(COUNTIFS($D$163:$D$204,$A162,$C$163:$C$204,"Activity")+COUNTIFS($D$163:$D$204,$A162,$C$163:$C$204,"Variation")=0,"",IF(COUNTIFS($D$163:$D$204,$A162,$C$163:$C$204,"Activity")+COUNTIFS($D$163:$D$204,$A162,$C$163:$C$204,"Variation")&lt;&gt;COUNTIFS($D$163:$D$204,$A162,$C$163:$C$204,"Activity",$G$163:$G$204,"&lt;&gt;",$H$163:$H$204,"&lt;&gt;")+COUNTIFS($D$163:$D$204,$A162,$C$163:$C$204,"Variation",$G$163:$G$204,"&lt;&gt;",$H$163:$H$204,"&lt;&gt;"),"",(SUMIFS($K$163:$K$204,$D$163:$D$204,$A162,$C$163:$C$204,"Activity")+SUMIFS($K$163:$K$204,$D$163:$D$204,$A162,$C$163:$C$204,"Variation"))/(COUNTIFS($D$163:$D$204,$A162,$C$163:$C$204,"Activity")+COUNTIFS($D$163:$D$204,$A162,$C$163:$C$204,"Variation")))),IF(OR($C162="Activity",$C162="Variation"),IF(OR($G162="",$H162=""),"",IF($H162&lt;$G162,"",IF($H162=$G162,--(TODAY()&gt;=$H162),MAX(0,MIN(1,(TODAY()-$G162)/($H162-$G162)))))),""))))</x:f>
      </x:c>
      <x:c r="L162" s="7" t="str">
        <x:f t="shared" si="6">IF($B162="","",IF($C162="Initiative",IF(COUNTIFS($B$5:$B$204,$B162,$C$5:$C$204,"Activity")+COUNTIFS($B$5:$B$204,$B162,$C$5:$C$204,"Variation")=0,"",IF(COUNTIFS($B$5:$B$204,$B162,$C$5:$C$204,"Activity")+COUNTIFS($B$5:$B$204,$B162,$C$5:$C$204,"Variation")&lt;&gt;COUNTIFS($B$5:$B$204,$B162,$C$5:$C$204,"Activity",$J$5:$J$204,"&lt;&gt;",$J$5:$J$204,"&gt;=0",$J$5:$J$204,"&lt;=1")+COUNTIFS($B$5:$B$204,$B162,$C$5:$C$204,"Variation",$J$5:$J$204,"&lt;&gt;",$J$5:$J$204,"&gt;=0",$J$5:$J$204,"&lt;=1"),"",(SUMIFS($J$5:$J$204,$B$5:$B$204,$B162,$C$5:$C$204,"Activity")+SUMIFS($J$5:$J$204,$B$5:$B$204,$B162,$C$5:$C$204,"Variation"))/(COUNTIFS($B$5:$B$204,$B162,$C$5:$C$204,"Activity")+COUNTIFS($B$5:$B$204,$B162,$C$5:$C$204,"Variation")))),IF($C162="Milestone",IF(COUNTIFS($D$5:$D$204,$A162,$C$5:$C$204,"Activity")+COUNTIFS($D$5:$D$204,$A162,$C$5:$C$204,"Variation")=0,"",IF(COUNTIFS($D$5:$D$204,$A162,$C$5:$C$204,"Activity")+COUNTIFS($D$5:$D$204,$A162,$C$5:$C$204,"Variation")&lt;&gt;COUNTIFS($D$5:$D$204,$A162,$C$5:$C$204,"Activity",$J$5:$J$204,"&lt;&gt;",$J$5:$J$204,"&gt;=0",$J$5:$J$204,"&lt;=1")+COUNTIFS($D$5:$D$204,$A162,$C$5:$C$204,"Variation",$J$5:$J$204,"&lt;&gt;",$J$5:$J$204,"&gt;=0",$J$5:$J$204,"&lt;=1"),"",(SUMIFS($J$5:$J$204,$D$5:$D$204,$A162,$C$5:$C$204,"Activity")+SUMIFS($J$5:$J$204,$D$5:$D$204,$A162,$C$5:$C$204,"Variation"))/(COUNTIFS($D$5:$D$204,$A162,$C$5:$C$204,"Activity")+COUNTIFS($D$5:$D$204,$A162,$C$5:$C$204,"Variation")))),IF(OR($C162="Activity",$C162="Variation"),IF(AND(ISNUMBER($J162),$J162&gt;=0,$J162&lt;=1),$J162,""),""))))</x:f>
      </x:c>
      <x:c r="M162" s="7" t="str">
        <x:f t="shared" si="7">IF(OR($K162="",$L162=""),"",$L162-$K162)</x:f>
      </x:c>
      <x:c r="N162" s="6" t="str">
        <x:f>IF(OR($B162="",$I162="",$L162=""),"",IF(AND($L162&lt;1,$I162&lt;TODAY()),"Late",IF(AND($H162&lt;&gt;"",$I162&gt;$H162),"Forecast Slip","On Plan")))</x:f>
      </x:c>
      <x:c r="O162" s="19"/>
      <x:c r="P162" s="6" t="str">
        <x:f t="shared" si="8">IF($B162="","",IF($A162="","Enter item ID",IF(COUNTIF($A$5:$A$204,$A162)&gt;1,"Duplicate item ID",IF($C162="Initiative",IF($D162&lt;&gt;"","Parent must be blank",IF(COUNTIFS($B$5:$B$204,$B162,$C$5:$C$204,"Initiative")&lt;&gt;1,"One Initiative row required",IF(COUNTIFS($D$5:$D$204,$A162,$C$5:$C$204,"Milestone")=0,"Add milestone","OK"))),IF($C162="Milestone",IF(COUNTIFS($A$5:$A$204,$D162,$B$5:$B$204,$B162,$C$5:$C$204,"Initiative")&lt;&gt;1,"Parent must be Initiative",IF(COUNTIFS($D$5:$D$204,$A162,$C$5:$C$204,"Activity")+COUNTIFS($D$5:$D$204,$A162,$C$5:$C$204,"Variation")=0,"Add activity or variation","OK")),IF(OR($C162="Activity",$C162="Variation"),IF(COUNTIFS($A$5:$A$204,$D162,$B$5:$B$204,$B162,$C$5:$C$204,"Milestone")&lt;&gt;1,"Parent must be Milestone",IF(OR($G162="",$H162=""),"Enter baseline dates",IF($H162&lt;$G162,"Baseline finish before start",IF($I162="","Enter forecast finish",IF(COUNT($J162)=0,"Enter actual %",IF(OR(NOT(ISNUMBER($J162)),$J162&lt;0,$J162&gt;1),"Actual % must be 0–100%","OK")))))),"Select level"))))))</x:f>
      </x:c>
    </x:row>
    <x:row r="163">
      <x:c r="A163" s="66" t="str" cm="1">
        <x:f t="array" ref="A163">IF(OR(B163="",C163=""),"",IF(C163="Initiative",COUNTIF($C$5:C163,"Initiative"),IF(C163="Milestone",IF(D163="","",D163&amp;"."&amp;COUNTIFS($D$5:D163,D163,$C$5:C163,"Milestone")),IF(OR(C163="Activity",C163="Variation"),IF(D163="","",D163&amp;"."&amp;(COUNTIFS($D$5:D163,D163,$C$5:C163,"Activity")+COUNTIFS($D$5:D163,D163,$C$5:C163,"Variation"))),""))))</x:f>
      </x:c>
      <x:c r="B163" s="19"/>
      <x:c r="C163" s="19"/>
      <x:c r="D163" s="20"/>
      <x:c r="E163" s="21"/>
      <x:c r="F163" s="21"/>
      <x:c r="G163" s="102"/>
      <x:c r="H163" s="102"/>
      <x:c r="I163" s="102"/>
      <x:c r="J163" s="100"/>
      <x:c r="K163" s="7" t="str">
        <x:f>IF($B163="","",IF($C163="Initiative",IF(COUNTIFS($B$164:$B$204,$B163,$C$164:$C$204,"Activity")+COUNTIFS($B$164:$B$204,$B163,$C$164:$C$204,"Variation")=0,"",IF(COUNTIFS($B$164:$B$204,$B163,$C$164:$C$204,"Activity")+COUNTIFS($B$164:$B$204,$B163,$C$164:$C$204,"Variation")&lt;&gt;COUNTIFS($B$164:$B$204,$B163,$C$164:$C$204,"Activity",$G$164:$G$204,"&lt;&gt;",$H$164:$H$204,"&lt;&gt;")+COUNTIFS($B$164:$B$204,$B163,$C$164:$C$204,"Variation",$G$164:$G$204,"&lt;&gt;",$H$164:$H$204,"&lt;&gt;"),"",(SUMIFS($K$164:$K$204,$B$164:$B$204,$B163,$C$164:$C$204,"Activity")+SUMIFS($K$164:$K$204,$B$164:$B$204,$B163,$C$164:$C$204,"Variation"))/(COUNTIFS($B$164:$B$204,$B163,$C$164:$C$204,"Activity")+COUNTIFS($B$164:$B$204,$B163,$C$164:$C$204,"Variation")))),IF($C163="Milestone",IF(COUNTIFS($D$164:$D$204,$A163,$C$164:$C$204,"Activity")+COUNTIFS($D$164:$D$204,$A163,$C$164:$C$204,"Variation")=0,"",IF(COUNTIFS($D$164:$D$204,$A163,$C$164:$C$204,"Activity")+COUNTIFS($D$164:$D$204,$A163,$C$164:$C$204,"Variation")&lt;&gt;COUNTIFS($D$164:$D$204,$A163,$C$164:$C$204,"Activity",$G$164:$G$204,"&lt;&gt;",$H$164:$H$204,"&lt;&gt;")+COUNTIFS($D$164:$D$204,$A163,$C$164:$C$204,"Variation",$G$164:$G$204,"&lt;&gt;",$H$164:$H$204,"&lt;&gt;"),"",(SUMIFS($K$164:$K$204,$D$164:$D$204,$A163,$C$164:$C$204,"Activity")+SUMIFS($K$164:$K$204,$D$164:$D$204,$A163,$C$164:$C$204,"Variation"))/(COUNTIFS($D$164:$D$204,$A163,$C$164:$C$204,"Activity")+COUNTIFS($D$164:$D$204,$A163,$C$164:$C$204,"Variation")))),IF(OR($C163="Activity",$C163="Variation"),IF(OR($G163="",$H163=""),"",IF($H163&lt;$G163,"",IF($H163=$G163,--(TODAY()&gt;=$H163),MAX(0,MIN(1,(TODAY()-$G163)/($H163-$G163)))))),""))))</x:f>
      </x:c>
      <x:c r="L163" s="7" t="str">
        <x:f t="shared" si="6">IF($B163="","",IF($C163="Initiative",IF(COUNTIFS($B$5:$B$204,$B163,$C$5:$C$204,"Activity")+COUNTIFS($B$5:$B$204,$B163,$C$5:$C$204,"Variation")=0,"",IF(COUNTIFS($B$5:$B$204,$B163,$C$5:$C$204,"Activity")+COUNTIFS($B$5:$B$204,$B163,$C$5:$C$204,"Variation")&lt;&gt;COUNTIFS($B$5:$B$204,$B163,$C$5:$C$204,"Activity",$J$5:$J$204,"&lt;&gt;",$J$5:$J$204,"&gt;=0",$J$5:$J$204,"&lt;=1")+COUNTIFS($B$5:$B$204,$B163,$C$5:$C$204,"Variation",$J$5:$J$204,"&lt;&gt;",$J$5:$J$204,"&gt;=0",$J$5:$J$204,"&lt;=1"),"",(SUMIFS($J$5:$J$204,$B$5:$B$204,$B163,$C$5:$C$204,"Activity")+SUMIFS($J$5:$J$204,$B$5:$B$204,$B163,$C$5:$C$204,"Variation"))/(COUNTIFS($B$5:$B$204,$B163,$C$5:$C$204,"Activity")+COUNTIFS($B$5:$B$204,$B163,$C$5:$C$204,"Variation")))),IF($C163="Milestone",IF(COUNTIFS($D$5:$D$204,$A163,$C$5:$C$204,"Activity")+COUNTIFS($D$5:$D$204,$A163,$C$5:$C$204,"Variation")=0,"",IF(COUNTIFS($D$5:$D$204,$A163,$C$5:$C$204,"Activity")+COUNTIFS($D$5:$D$204,$A163,$C$5:$C$204,"Variation")&lt;&gt;COUNTIFS($D$5:$D$204,$A163,$C$5:$C$204,"Activity",$J$5:$J$204,"&lt;&gt;",$J$5:$J$204,"&gt;=0",$J$5:$J$204,"&lt;=1")+COUNTIFS($D$5:$D$204,$A163,$C$5:$C$204,"Variation",$J$5:$J$204,"&lt;&gt;",$J$5:$J$204,"&gt;=0",$J$5:$J$204,"&lt;=1"),"",(SUMIFS($J$5:$J$204,$D$5:$D$204,$A163,$C$5:$C$204,"Activity")+SUMIFS($J$5:$J$204,$D$5:$D$204,$A163,$C$5:$C$204,"Variation"))/(COUNTIFS($D$5:$D$204,$A163,$C$5:$C$204,"Activity")+COUNTIFS($D$5:$D$204,$A163,$C$5:$C$204,"Variation")))),IF(OR($C163="Activity",$C163="Variation"),IF(AND(ISNUMBER($J163),$J163&gt;=0,$J163&lt;=1),$J163,""),""))))</x:f>
      </x:c>
      <x:c r="M163" s="7" t="str">
        <x:f t="shared" si="7">IF(OR($K163="",$L163=""),"",$L163-$K163)</x:f>
      </x:c>
      <x:c r="N163" s="6" t="str">
        <x:f>IF(OR($B163="",$I163="",$L163=""),"",IF(AND($L163&lt;1,$I163&lt;TODAY()),"Late",IF(AND($H163&lt;&gt;"",$I163&gt;$H163),"Forecast Slip","On Plan")))</x:f>
      </x:c>
      <x:c r="O163" s="19"/>
      <x:c r="P163" s="6" t="str">
        <x:f t="shared" si="8">IF($B163="","",IF($A163="","Enter item ID",IF(COUNTIF($A$5:$A$204,$A163)&gt;1,"Duplicate item ID",IF($C163="Initiative",IF($D163&lt;&gt;"","Parent must be blank",IF(COUNTIFS($B$5:$B$204,$B163,$C$5:$C$204,"Initiative")&lt;&gt;1,"One Initiative row required",IF(COUNTIFS($D$5:$D$204,$A163,$C$5:$C$204,"Milestone")=0,"Add milestone","OK"))),IF($C163="Milestone",IF(COUNTIFS($A$5:$A$204,$D163,$B$5:$B$204,$B163,$C$5:$C$204,"Initiative")&lt;&gt;1,"Parent must be Initiative",IF(COUNTIFS($D$5:$D$204,$A163,$C$5:$C$204,"Activity")+COUNTIFS($D$5:$D$204,$A163,$C$5:$C$204,"Variation")=0,"Add activity or variation","OK")),IF(OR($C163="Activity",$C163="Variation"),IF(COUNTIFS($A$5:$A$204,$D163,$B$5:$B$204,$B163,$C$5:$C$204,"Milestone")&lt;&gt;1,"Parent must be Milestone",IF(OR($G163="",$H163=""),"Enter baseline dates",IF($H163&lt;$G163,"Baseline finish before start",IF($I163="","Enter forecast finish",IF(COUNT($J163)=0,"Enter actual %",IF(OR(NOT(ISNUMBER($J163)),$J163&lt;0,$J163&gt;1),"Actual % must be 0–100%","OK")))))),"Select level"))))))</x:f>
      </x:c>
    </x:row>
    <x:row r="164">
      <x:c r="A164" s="66" t="str" cm="1">
        <x:f t="array" ref="A164">IF(OR(B164="",C164=""),"",IF(C164="Initiative",COUNTIF($C$5:C164,"Initiative"),IF(C164="Milestone",IF(D164="","",D164&amp;"."&amp;COUNTIFS($D$5:D164,D164,$C$5:C164,"Milestone")),IF(OR(C164="Activity",C164="Variation"),IF(D164="","",D164&amp;"."&amp;(COUNTIFS($D$5:D164,D164,$C$5:C164,"Activity")+COUNTIFS($D$5:D164,D164,$C$5:C164,"Variation"))),""))))</x:f>
      </x:c>
      <x:c r="B164" s="19"/>
      <x:c r="C164" s="19"/>
      <x:c r="D164" s="20"/>
      <x:c r="E164" s="21"/>
      <x:c r="F164" s="21"/>
      <x:c r="G164" s="102"/>
      <x:c r="H164" s="102"/>
      <x:c r="I164" s="102"/>
      <x:c r="J164" s="100"/>
      <x:c r="K164" s="7" t="str">
        <x:f>IF($B164="","",IF($C164="Initiative",IF(COUNTIFS($B$165:$B$204,$B164,$C$165:$C$204,"Activity")+COUNTIFS($B$165:$B$204,$B164,$C$165:$C$204,"Variation")=0,"",IF(COUNTIFS($B$165:$B$204,$B164,$C$165:$C$204,"Activity")+COUNTIFS($B$165:$B$204,$B164,$C$165:$C$204,"Variation")&lt;&gt;COUNTIFS($B$165:$B$204,$B164,$C$165:$C$204,"Activity",$G$165:$G$204,"&lt;&gt;",$H$165:$H$204,"&lt;&gt;")+COUNTIFS($B$165:$B$204,$B164,$C$165:$C$204,"Variation",$G$165:$G$204,"&lt;&gt;",$H$165:$H$204,"&lt;&gt;"),"",(SUMIFS($K$165:$K$204,$B$165:$B$204,$B164,$C$165:$C$204,"Activity")+SUMIFS($K$165:$K$204,$B$165:$B$204,$B164,$C$165:$C$204,"Variation"))/(COUNTIFS($B$165:$B$204,$B164,$C$165:$C$204,"Activity")+COUNTIFS($B$165:$B$204,$B164,$C$165:$C$204,"Variation")))),IF($C164="Milestone",IF(COUNTIFS($D$165:$D$204,$A164,$C$165:$C$204,"Activity")+COUNTIFS($D$165:$D$204,$A164,$C$165:$C$204,"Variation")=0,"",IF(COUNTIFS($D$165:$D$204,$A164,$C$165:$C$204,"Activity")+COUNTIFS($D$165:$D$204,$A164,$C$165:$C$204,"Variation")&lt;&gt;COUNTIFS($D$165:$D$204,$A164,$C$165:$C$204,"Activity",$G$165:$G$204,"&lt;&gt;",$H$165:$H$204,"&lt;&gt;")+COUNTIFS($D$165:$D$204,$A164,$C$165:$C$204,"Variation",$G$165:$G$204,"&lt;&gt;",$H$165:$H$204,"&lt;&gt;"),"",(SUMIFS($K$165:$K$204,$D$165:$D$204,$A164,$C$165:$C$204,"Activity")+SUMIFS($K$165:$K$204,$D$165:$D$204,$A164,$C$165:$C$204,"Variation"))/(COUNTIFS($D$165:$D$204,$A164,$C$165:$C$204,"Activity")+COUNTIFS($D$165:$D$204,$A164,$C$165:$C$204,"Variation")))),IF(OR($C164="Activity",$C164="Variation"),IF(OR($G164="",$H164=""),"",IF($H164&lt;$G164,"",IF($H164=$G164,--(TODAY()&gt;=$H164),MAX(0,MIN(1,(TODAY()-$G164)/($H164-$G164)))))),""))))</x:f>
      </x:c>
      <x:c r="L164" s="7" t="str">
        <x:f t="shared" si="6">IF($B164="","",IF($C164="Initiative",IF(COUNTIFS($B$5:$B$204,$B164,$C$5:$C$204,"Activity")+COUNTIFS($B$5:$B$204,$B164,$C$5:$C$204,"Variation")=0,"",IF(COUNTIFS($B$5:$B$204,$B164,$C$5:$C$204,"Activity")+COUNTIFS($B$5:$B$204,$B164,$C$5:$C$204,"Variation")&lt;&gt;COUNTIFS($B$5:$B$204,$B164,$C$5:$C$204,"Activity",$J$5:$J$204,"&lt;&gt;",$J$5:$J$204,"&gt;=0",$J$5:$J$204,"&lt;=1")+COUNTIFS($B$5:$B$204,$B164,$C$5:$C$204,"Variation",$J$5:$J$204,"&lt;&gt;",$J$5:$J$204,"&gt;=0",$J$5:$J$204,"&lt;=1"),"",(SUMIFS($J$5:$J$204,$B$5:$B$204,$B164,$C$5:$C$204,"Activity")+SUMIFS($J$5:$J$204,$B$5:$B$204,$B164,$C$5:$C$204,"Variation"))/(COUNTIFS($B$5:$B$204,$B164,$C$5:$C$204,"Activity")+COUNTIFS($B$5:$B$204,$B164,$C$5:$C$204,"Variation")))),IF($C164="Milestone",IF(COUNTIFS($D$5:$D$204,$A164,$C$5:$C$204,"Activity")+COUNTIFS($D$5:$D$204,$A164,$C$5:$C$204,"Variation")=0,"",IF(COUNTIFS($D$5:$D$204,$A164,$C$5:$C$204,"Activity")+COUNTIFS($D$5:$D$204,$A164,$C$5:$C$204,"Variation")&lt;&gt;COUNTIFS($D$5:$D$204,$A164,$C$5:$C$204,"Activity",$J$5:$J$204,"&lt;&gt;",$J$5:$J$204,"&gt;=0",$J$5:$J$204,"&lt;=1")+COUNTIFS($D$5:$D$204,$A164,$C$5:$C$204,"Variation",$J$5:$J$204,"&lt;&gt;",$J$5:$J$204,"&gt;=0",$J$5:$J$204,"&lt;=1"),"",(SUMIFS($J$5:$J$204,$D$5:$D$204,$A164,$C$5:$C$204,"Activity")+SUMIFS($J$5:$J$204,$D$5:$D$204,$A164,$C$5:$C$204,"Variation"))/(COUNTIFS($D$5:$D$204,$A164,$C$5:$C$204,"Activity")+COUNTIFS($D$5:$D$204,$A164,$C$5:$C$204,"Variation")))),IF(OR($C164="Activity",$C164="Variation"),IF(AND(ISNUMBER($J164),$J164&gt;=0,$J164&lt;=1),$J164,""),""))))</x:f>
      </x:c>
      <x:c r="M164" s="7" t="str">
        <x:f t="shared" si="7">IF(OR($K164="",$L164=""),"",$L164-$K164)</x:f>
      </x:c>
      <x:c r="N164" s="6" t="str">
        <x:f>IF(OR($B164="",$I164="",$L164=""),"",IF(AND($L164&lt;1,$I164&lt;TODAY()),"Late",IF(AND($H164&lt;&gt;"",$I164&gt;$H164),"Forecast Slip","On Plan")))</x:f>
      </x:c>
      <x:c r="O164" s="19"/>
      <x:c r="P164" s="6" t="str">
        <x:f t="shared" si="8">IF($B164="","",IF($A164="","Enter item ID",IF(COUNTIF($A$5:$A$204,$A164)&gt;1,"Duplicate item ID",IF($C164="Initiative",IF($D164&lt;&gt;"","Parent must be blank",IF(COUNTIFS($B$5:$B$204,$B164,$C$5:$C$204,"Initiative")&lt;&gt;1,"One Initiative row required",IF(COUNTIFS($D$5:$D$204,$A164,$C$5:$C$204,"Milestone")=0,"Add milestone","OK"))),IF($C164="Milestone",IF(COUNTIFS($A$5:$A$204,$D164,$B$5:$B$204,$B164,$C$5:$C$204,"Initiative")&lt;&gt;1,"Parent must be Initiative",IF(COUNTIFS($D$5:$D$204,$A164,$C$5:$C$204,"Activity")+COUNTIFS($D$5:$D$204,$A164,$C$5:$C$204,"Variation")=0,"Add activity or variation","OK")),IF(OR($C164="Activity",$C164="Variation"),IF(COUNTIFS($A$5:$A$204,$D164,$B$5:$B$204,$B164,$C$5:$C$204,"Milestone")&lt;&gt;1,"Parent must be Milestone",IF(OR($G164="",$H164=""),"Enter baseline dates",IF($H164&lt;$G164,"Baseline finish before start",IF($I164="","Enter forecast finish",IF(COUNT($J164)=0,"Enter actual %",IF(OR(NOT(ISNUMBER($J164)),$J164&lt;0,$J164&gt;1),"Actual % must be 0–100%","OK")))))),"Select level"))))))</x:f>
      </x:c>
    </x:row>
    <x:row r="165">
      <x:c r="A165" s="66" t="str" cm="1">
        <x:f t="array" ref="A165">IF(OR(B165="",C165=""),"",IF(C165="Initiative",COUNTIF($C$5:C165,"Initiative"),IF(C165="Milestone",IF(D165="","",D165&amp;"."&amp;COUNTIFS($D$5:D165,D165,$C$5:C165,"Milestone")),IF(OR(C165="Activity",C165="Variation"),IF(D165="","",D165&amp;"."&amp;(COUNTIFS($D$5:D165,D165,$C$5:C165,"Activity")+COUNTIFS($D$5:D165,D165,$C$5:C165,"Variation"))),""))))</x:f>
      </x:c>
      <x:c r="B165" s="19"/>
      <x:c r="C165" s="19"/>
      <x:c r="D165" s="20"/>
      <x:c r="E165" s="21"/>
      <x:c r="F165" s="21"/>
      <x:c r="G165" s="102"/>
      <x:c r="H165" s="102"/>
      <x:c r="I165" s="102"/>
      <x:c r="J165" s="100"/>
      <x:c r="K165" s="7" t="str">
        <x:f>IF($B165="","",IF($C165="Initiative",IF(COUNTIFS($B$166:$B$204,$B165,$C$166:$C$204,"Activity")+COUNTIFS($B$166:$B$204,$B165,$C$166:$C$204,"Variation")=0,"",IF(COUNTIFS($B$166:$B$204,$B165,$C$166:$C$204,"Activity")+COUNTIFS($B$166:$B$204,$B165,$C$166:$C$204,"Variation")&lt;&gt;COUNTIFS($B$166:$B$204,$B165,$C$166:$C$204,"Activity",$G$166:$G$204,"&lt;&gt;",$H$166:$H$204,"&lt;&gt;")+COUNTIFS($B$166:$B$204,$B165,$C$166:$C$204,"Variation",$G$166:$G$204,"&lt;&gt;",$H$166:$H$204,"&lt;&gt;"),"",(SUMIFS($K$166:$K$204,$B$166:$B$204,$B165,$C$166:$C$204,"Activity")+SUMIFS($K$166:$K$204,$B$166:$B$204,$B165,$C$166:$C$204,"Variation"))/(COUNTIFS($B$166:$B$204,$B165,$C$166:$C$204,"Activity")+COUNTIFS($B$166:$B$204,$B165,$C$166:$C$204,"Variation")))),IF($C165="Milestone",IF(COUNTIFS($D$166:$D$204,$A165,$C$166:$C$204,"Activity")+COUNTIFS($D$166:$D$204,$A165,$C$166:$C$204,"Variation")=0,"",IF(COUNTIFS($D$166:$D$204,$A165,$C$166:$C$204,"Activity")+COUNTIFS($D$166:$D$204,$A165,$C$166:$C$204,"Variation")&lt;&gt;COUNTIFS($D$166:$D$204,$A165,$C$166:$C$204,"Activity",$G$166:$G$204,"&lt;&gt;",$H$166:$H$204,"&lt;&gt;")+COUNTIFS($D$166:$D$204,$A165,$C$166:$C$204,"Variation",$G$166:$G$204,"&lt;&gt;",$H$166:$H$204,"&lt;&gt;"),"",(SUMIFS($K$166:$K$204,$D$166:$D$204,$A165,$C$166:$C$204,"Activity")+SUMIFS($K$166:$K$204,$D$166:$D$204,$A165,$C$166:$C$204,"Variation"))/(COUNTIFS($D$166:$D$204,$A165,$C$166:$C$204,"Activity")+COUNTIFS($D$166:$D$204,$A165,$C$166:$C$204,"Variation")))),IF(OR($C165="Activity",$C165="Variation"),IF(OR($G165="",$H165=""),"",IF($H165&lt;$G165,"",IF($H165=$G165,--(TODAY()&gt;=$H165),MAX(0,MIN(1,(TODAY()-$G165)/($H165-$G165)))))),""))))</x:f>
      </x:c>
      <x:c r="L165" s="7" t="str">
        <x:f t="shared" si="6">IF($B165="","",IF($C165="Initiative",IF(COUNTIFS($B$5:$B$204,$B165,$C$5:$C$204,"Activity")+COUNTIFS($B$5:$B$204,$B165,$C$5:$C$204,"Variation")=0,"",IF(COUNTIFS($B$5:$B$204,$B165,$C$5:$C$204,"Activity")+COUNTIFS($B$5:$B$204,$B165,$C$5:$C$204,"Variation")&lt;&gt;COUNTIFS($B$5:$B$204,$B165,$C$5:$C$204,"Activity",$J$5:$J$204,"&lt;&gt;",$J$5:$J$204,"&gt;=0",$J$5:$J$204,"&lt;=1")+COUNTIFS($B$5:$B$204,$B165,$C$5:$C$204,"Variation",$J$5:$J$204,"&lt;&gt;",$J$5:$J$204,"&gt;=0",$J$5:$J$204,"&lt;=1"),"",(SUMIFS($J$5:$J$204,$B$5:$B$204,$B165,$C$5:$C$204,"Activity")+SUMIFS($J$5:$J$204,$B$5:$B$204,$B165,$C$5:$C$204,"Variation"))/(COUNTIFS($B$5:$B$204,$B165,$C$5:$C$204,"Activity")+COUNTIFS($B$5:$B$204,$B165,$C$5:$C$204,"Variation")))),IF($C165="Milestone",IF(COUNTIFS($D$5:$D$204,$A165,$C$5:$C$204,"Activity")+COUNTIFS($D$5:$D$204,$A165,$C$5:$C$204,"Variation")=0,"",IF(COUNTIFS($D$5:$D$204,$A165,$C$5:$C$204,"Activity")+COUNTIFS($D$5:$D$204,$A165,$C$5:$C$204,"Variation")&lt;&gt;COUNTIFS($D$5:$D$204,$A165,$C$5:$C$204,"Activity",$J$5:$J$204,"&lt;&gt;",$J$5:$J$204,"&gt;=0",$J$5:$J$204,"&lt;=1")+COUNTIFS($D$5:$D$204,$A165,$C$5:$C$204,"Variation",$J$5:$J$204,"&lt;&gt;",$J$5:$J$204,"&gt;=0",$J$5:$J$204,"&lt;=1"),"",(SUMIFS($J$5:$J$204,$D$5:$D$204,$A165,$C$5:$C$204,"Activity")+SUMIFS($J$5:$J$204,$D$5:$D$204,$A165,$C$5:$C$204,"Variation"))/(COUNTIFS($D$5:$D$204,$A165,$C$5:$C$204,"Activity")+COUNTIFS($D$5:$D$204,$A165,$C$5:$C$204,"Variation")))),IF(OR($C165="Activity",$C165="Variation"),IF(AND(ISNUMBER($J165),$J165&gt;=0,$J165&lt;=1),$J165,""),""))))</x:f>
      </x:c>
      <x:c r="M165" s="7" t="str">
        <x:f t="shared" si="7">IF(OR($K165="",$L165=""),"",$L165-$K165)</x:f>
      </x:c>
      <x:c r="N165" s="6" t="str">
        <x:f>IF(OR($B165="",$I165="",$L165=""),"",IF(AND($L165&lt;1,$I165&lt;TODAY()),"Late",IF(AND($H165&lt;&gt;"",$I165&gt;$H165),"Forecast Slip","On Plan")))</x:f>
      </x:c>
      <x:c r="O165" s="19"/>
      <x:c r="P165" s="6" t="str">
        <x:f t="shared" si="8">IF($B165="","",IF($A165="","Enter item ID",IF(COUNTIF($A$5:$A$204,$A165)&gt;1,"Duplicate item ID",IF($C165="Initiative",IF($D165&lt;&gt;"","Parent must be blank",IF(COUNTIFS($B$5:$B$204,$B165,$C$5:$C$204,"Initiative")&lt;&gt;1,"One Initiative row required",IF(COUNTIFS($D$5:$D$204,$A165,$C$5:$C$204,"Milestone")=0,"Add milestone","OK"))),IF($C165="Milestone",IF(COUNTIFS($A$5:$A$204,$D165,$B$5:$B$204,$B165,$C$5:$C$204,"Initiative")&lt;&gt;1,"Parent must be Initiative",IF(COUNTIFS($D$5:$D$204,$A165,$C$5:$C$204,"Activity")+COUNTIFS($D$5:$D$204,$A165,$C$5:$C$204,"Variation")=0,"Add activity or variation","OK")),IF(OR($C165="Activity",$C165="Variation"),IF(COUNTIFS($A$5:$A$204,$D165,$B$5:$B$204,$B165,$C$5:$C$204,"Milestone")&lt;&gt;1,"Parent must be Milestone",IF(OR($G165="",$H165=""),"Enter baseline dates",IF($H165&lt;$G165,"Baseline finish before start",IF($I165="","Enter forecast finish",IF(COUNT($J165)=0,"Enter actual %",IF(OR(NOT(ISNUMBER($J165)),$J165&lt;0,$J165&gt;1),"Actual % must be 0–100%","OK")))))),"Select level"))))))</x:f>
      </x:c>
    </x:row>
    <x:row r="166">
      <x:c r="A166" s="66" t="str" cm="1">
        <x:f t="array" ref="A166">IF(OR(B166="",C166=""),"",IF(C166="Initiative",COUNTIF($C$5:C166,"Initiative"),IF(C166="Milestone",IF(D166="","",D166&amp;"."&amp;COUNTIFS($D$5:D166,D166,$C$5:C166,"Milestone")),IF(OR(C166="Activity",C166="Variation"),IF(D166="","",D166&amp;"."&amp;(COUNTIFS($D$5:D166,D166,$C$5:C166,"Activity")+COUNTIFS($D$5:D166,D166,$C$5:C166,"Variation"))),""))))</x:f>
      </x:c>
      <x:c r="B166" s="19"/>
      <x:c r="C166" s="19"/>
      <x:c r="D166" s="20"/>
      <x:c r="E166" s="21"/>
      <x:c r="F166" s="21"/>
      <x:c r="G166" s="102"/>
      <x:c r="H166" s="102"/>
      <x:c r="I166" s="102"/>
      <x:c r="J166" s="100"/>
      <x:c r="K166" s="7" t="str">
        <x:f>IF($B166="","",IF($C166="Initiative",IF(COUNTIFS($B$167:$B$204,$B166,$C$167:$C$204,"Activity")+COUNTIFS($B$167:$B$204,$B166,$C$167:$C$204,"Variation")=0,"",IF(COUNTIFS($B$167:$B$204,$B166,$C$167:$C$204,"Activity")+COUNTIFS($B$167:$B$204,$B166,$C$167:$C$204,"Variation")&lt;&gt;COUNTIFS($B$167:$B$204,$B166,$C$167:$C$204,"Activity",$G$167:$G$204,"&lt;&gt;",$H$167:$H$204,"&lt;&gt;")+COUNTIFS($B$167:$B$204,$B166,$C$167:$C$204,"Variation",$G$167:$G$204,"&lt;&gt;",$H$167:$H$204,"&lt;&gt;"),"",(SUMIFS($K$167:$K$204,$B$167:$B$204,$B166,$C$167:$C$204,"Activity")+SUMIFS($K$167:$K$204,$B$167:$B$204,$B166,$C$167:$C$204,"Variation"))/(COUNTIFS($B$167:$B$204,$B166,$C$167:$C$204,"Activity")+COUNTIFS($B$167:$B$204,$B166,$C$167:$C$204,"Variation")))),IF($C166="Milestone",IF(COUNTIFS($D$167:$D$204,$A166,$C$167:$C$204,"Activity")+COUNTIFS($D$167:$D$204,$A166,$C$167:$C$204,"Variation")=0,"",IF(COUNTIFS($D$167:$D$204,$A166,$C$167:$C$204,"Activity")+COUNTIFS($D$167:$D$204,$A166,$C$167:$C$204,"Variation")&lt;&gt;COUNTIFS($D$167:$D$204,$A166,$C$167:$C$204,"Activity",$G$167:$G$204,"&lt;&gt;",$H$167:$H$204,"&lt;&gt;")+COUNTIFS($D$167:$D$204,$A166,$C$167:$C$204,"Variation",$G$167:$G$204,"&lt;&gt;",$H$167:$H$204,"&lt;&gt;"),"",(SUMIFS($K$167:$K$204,$D$167:$D$204,$A166,$C$167:$C$204,"Activity")+SUMIFS($K$167:$K$204,$D$167:$D$204,$A166,$C$167:$C$204,"Variation"))/(COUNTIFS($D$167:$D$204,$A166,$C$167:$C$204,"Activity")+COUNTIFS($D$167:$D$204,$A166,$C$167:$C$204,"Variation")))),IF(OR($C166="Activity",$C166="Variation"),IF(OR($G166="",$H166=""),"",IF($H166&lt;$G166,"",IF($H166=$G166,--(TODAY()&gt;=$H166),MAX(0,MIN(1,(TODAY()-$G166)/($H166-$G166)))))),""))))</x:f>
      </x:c>
      <x:c r="L166" s="7" t="str">
        <x:f t="shared" si="6">IF($B166="","",IF($C166="Initiative",IF(COUNTIFS($B$5:$B$204,$B166,$C$5:$C$204,"Activity")+COUNTIFS($B$5:$B$204,$B166,$C$5:$C$204,"Variation")=0,"",IF(COUNTIFS($B$5:$B$204,$B166,$C$5:$C$204,"Activity")+COUNTIFS($B$5:$B$204,$B166,$C$5:$C$204,"Variation")&lt;&gt;COUNTIFS($B$5:$B$204,$B166,$C$5:$C$204,"Activity",$J$5:$J$204,"&lt;&gt;",$J$5:$J$204,"&gt;=0",$J$5:$J$204,"&lt;=1")+COUNTIFS($B$5:$B$204,$B166,$C$5:$C$204,"Variation",$J$5:$J$204,"&lt;&gt;",$J$5:$J$204,"&gt;=0",$J$5:$J$204,"&lt;=1"),"",(SUMIFS($J$5:$J$204,$B$5:$B$204,$B166,$C$5:$C$204,"Activity")+SUMIFS($J$5:$J$204,$B$5:$B$204,$B166,$C$5:$C$204,"Variation"))/(COUNTIFS($B$5:$B$204,$B166,$C$5:$C$204,"Activity")+COUNTIFS($B$5:$B$204,$B166,$C$5:$C$204,"Variation")))),IF($C166="Milestone",IF(COUNTIFS($D$5:$D$204,$A166,$C$5:$C$204,"Activity")+COUNTIFS($D$5:$D$204,$A166,$C$5:$C$204,"Variation")=0,"",IF(COUNTIFS($D$5:$D$204,$A166,$C$5:$C$204,"Activity")+COUNTIFS($D$5:$D$204,$A166,$C$5:$C$204,"Variation")&lt;&gt;COUNTIFS($D$5:$D$204,$A166,$C$5:$C$204,"Activity",$J$5:$J$204,"&lt;&gt;",$J$5:$J$204,"&gt;=0",$J$5:$J$204,"&lt;=1")+COUNTIFS($D$5:$D$204,$A166,$C$5:$C$204,"Variation",$J$5:$J$204,"&lt;&gt;",$J$5:$J$204,"&gt;=0",$J$5:$J$204,"&lt;=1"),"",(SUMIFS($J$5:$J$204,$D$5:$D$204,$A166,$C$5:$C$204,"Activity")+SUMIFS($J$5:$J$204,$D$5:$D$204,$A166,$C$5:$C$204,"Variation"))/(COUNTIFS($D$5:$D$204,$A166,$C$5:$C$204,"Activity")+COUNTIFS($D$5:$D$204,$A166,$C$5:$C$204,"Variation")))),IF(OR($C166="Activity",$C166="Variation"),IF(AND(ISNUMBER($J166),$J166&gt;=0,$J166&lt;=1),$J166,""),""))))</x:f>
      </x:c>
      <x:c r="M166" s="7" t="str">
        <x:f t="shared" si="7">IF(OR($K166="",$L166=""),"",$L166-$K166)</x:f>
      </x:c>
      <x:c r="N166" s="6" t="str">
        <x:f>IF(OR($B166="",$I166="",$L166=""),"",IF(AND($L166&lt;1,$I166&lt;TODAY()),"Late",IF(AND($H166&lt;&gt;"",$I166&gt;$H166),"Forecast Slip","On Plan")))</x:f>
      </x:c>
      <x:c r="O166" s="19"/>
      <x:c r="P166" s="6" t="str">
        <x:f t="shared" si="8">IF($B166="","",IF($A166="","Enter item ID",IF(COUNTIF($A$5:$A$204,$A166)&gt;1,"Duplicate item ID",IF($C166="Initiative",IF($D166&lt;&gt;"","Parent must be blank",IF(COUNTIFS($B$5:$B$204,$B166,$C$5:$C$204,"Initiative")&lt;&gt;1,"One Initiative row required",IF(COUNTIFS($D$5:$D$204,$A166,$C$5:$C$204,"Milestone")=0,"Add milestone","OK"))),IF($C166="Milestone",IF(COUNTIFS($A$5:$A$204,$D166,$B$5:$B$204,$B166,$C$5:$C$204,"Initiative")&lt;&gt;1,"Parent must be Initiative",IF(COUNTIFS($D$5:$D$204,$A166,$C$5:$C$204,"Activity")+COUNTIFS($D$5:$D$204,$A166,$C$5:$C$204,"Variation")=0,"Add activity or variation","OK")),IF(OR($C166="Activity",$C166="Variation"),IF(COUNTIFS($A$5:$A$204,$D166,$B$5:$B$204,$B166,$C$5:$C$204,"Milestone")&lt;&gt;1,"Parent must be Milestone",IF(OR($G166="",$H166=""),"Enter baseline dates",IF($H166&lt;$G166,"Baseline finish before start",IF($I166="","Enter forecast finish",IF(COUNT($J166)=0,"Enter actual %",IF(OR(NOT(ISNUMBER($J166)),$J166&lt;0,$J166&gt;1),"Actual % must be 0–100%","OK")))))),"Select level"))))))</x:f>
      </x:c>
    </x:row>
    <x:row r="167">
      <x:c r="A167" s="66" t="str" cm="1">
        <x:f t="array" ref="A167">IF(OR(B167="",C167=""),"",IF(C167="Initiative",COUNTIF($C$5:C167,"Initiative"),IF(C167="Milestone",IF(D167="","",D167&amp;"."&amp;COUNTIFS($D$5:D167,D167,$C$5:C167,"Milestone")),IF(OR(C167="Activity",C167="Variation"),IF(D167="","",D167&amp;"."&amp;(COUNTIFS($D$5:D167,D167,$C$5:C167,"Activity")+COUNTIFS($D$5:D167,D167,$C$5:C167,"Variation"))),""))))</x:f>
      </x:c>
      <x:c r="B167" s="19"/>
      <x:c r="C167" s="19"/>
      <x:c r="D167" s="20"/>
      <x:c r="E167" s="21"/>
      <x:c r="F167" s="21"/>
      <x:c r="G167" s="102"/>
      <x:c r="H167" s="102"/>
      <x:c r="I167" s="102"/>
      <x:c r="J167" s="100"/>
      <x:c r="K167" s="7" t="str">
        <x:f>IF($B167="","",IF($C167="Initiative",IF(COUNTIFS($B$168:$B$204,$B167,$C$168:$C$204,"Activity")+COUNTIFS($B$168:$B$204,$B167,$C$168:$C$204,"Variation")=0,"",IF(COUNTIFS($B$168:$B$204,$B167,$C$168:$C$204,"Activity")+COUNTIFS($B$168:$B$204,$B167,$C$168:$C$204,"Variation")&lt;&gt;COUNTIFS($B$168:$B$204,$B167,$C$168:$C$204,"Activity",$G$168:$G$204,"&lt;&gt;",$H$168:$H$204,"&lt;&gt;")+COUNTIFS($B$168:$B$204,$B167,$C$168:$C$204,"Variation",$G$168:$G$204,"&lt;&gt;",$H$168:$H$204,"&lt;&gt;"),"",(SUMIFS($K$168:$K$204,$B$168:$B$204,$B167,$C$168:$C$204,"Activity")+SUMIFS($K$168:$K$204,$B$168:$B$204,$B167,$C$168:$C$204,"Variation"))/(COUNTIFS($B$168:$B$204,$B167,$C$168:$C$204,"Activity")+COUNTIFS($B$168:$B$204,$B167,$C$168:$C$204,"Variation")))),IF($C167="Milestone",IF(COUNTIFS($D$168:$D$204,$A167,$C$168:$C$204,"Activity")+COUNTIFS($D$168:$D$204,$A167,$C$168:$C$204,"Variation")=0,"",IF(COUNTIFS($D$168:$D$204,$A167,$C$168:$C$204,"Activity")+COUNTIFS($D$168:$D$204,$A167,$C$168:$C$204,"Variation")&lt;&gt;COUNTIFS($D$168:$D$204,$A167,$C$168:$C$204,"Activity",$G$168:$G$204,"&lt;&gt;",$H$168:$H$204,"&lt;&gt;")+COUNTIFS($D$168:$D$204,$A167,$C$168:$C$204,"Variation",$G$168:$G$204,"&lt;&gt;",$H$168:$H$204,"&lt;&gt;"),"",(SUMIFS($K$168:$K$204,$D$168:$D$204,$A167,$C$168:$C$204,"Activity")+SUMIFS($K$168:$K$204,$D$168:$D$204,$A167,$C$168:$C$204,"Variation"))/(COUNTIFS($D$168:$D$204,$A167,$C$168:$C$204,"Activity")+COUNTIFS($D$168:$D$204,$A167,$C$168:$C$204,"Variation")))),IF(OR($C167="Activity",$C167="Variation"),IF(OR($G167="",$H167=""),"",IF($H167&lt;$G167,"",IF($H167=$G167,--(TODAY()&gt;=$H167),MAX(0,MIN(1,(TODAY()-$G167)/($H167-$G167)))))),""))))</x:f>
      </x:c>
      <x:c r="L167" s="7" t="str">
        <x:f t="shared" si="6">IF($B167="","",IF($C167="Initiative",IF(COUNTIFS($B$5:$B$204,$B167,$C$5:$C$204,"Activity")+COUNTIFS($B$5:$B$204,$B167,$C$5:$C$204,"Variation")=0,"",IF(COUNTIFS($B$5:$B$204,$B167,$C$5:$C$204,"Activity")+COUNTIFS($B$5:$B$204,$B167,$C$5:$C$204,"Variation")&lt;&gt;COUNTIFS($B$5:$B$204,$B167,$C$5:$C$204,"Activity",$J$5:$J$204,"&lt;&gt;",$J$5:$J$204,"&gt;=0",$J$5:$J$204,"&lt;=1")+COUNTIFS($B$5:$B$204,$B167,$C$5:$C$204,"Variation",$J$5:$J$204,"&lt;&gt;",$J$5:$J$204,"&gt;=0",$J$5:$J$204,"&lt;=1"),"",(SUMIFS($J$5:$J$204,$B$5:$B$204,$B167,$C$5:$C$204,"Activity")+SUMIFS($J$5:$J$204,$B$5:$B$204,$B167,$C$5:$C$204,"Variation"))/(COUNTIFS($B$5:$B$204,$B167,$C$5:$C$204,"Activity")+COUNTIFS($B$5:$B$204,$B167,$C$5:$C$204,"Variation")))),IF($C167="Milestone",IF(COUNTIFS($D$5:$D$204,$A167,$C$5:$C$204,"Activity")+COUNTIFS($D$5:$D$204,$A167,$C$5:$C$204,"Variation")=0,"",IF(COUNTIFS($D$5:$D$204,$A167,$C$5:$C$204,"Activity")+COUNTIFS($D$5:$D$204,$A167,$C$5:$C$204,"Variation")&lt;&gt;COUNTIFS($D$5:$D$204,$A167,$C$5:$C$204,"Activity",$J$5:$J$204,"&lt;&gt;",$J$5:$J$204,"&gt;=0",$J$5:$J$204,"&lt;=1")+COUNTIFS($D$5:$D$204,$A167,$C$5:$C$204,"Variation",$J$5:$J$204,"&lt;&gt;",$J$5:$J$204,"&gt;=0",$J$5:$J$204,"&lt;=1"),"",(SUMIFS($J$5:$J$204,$D$5:$D$204,$A167,$C$5:$C$204,"Activity")+SUMIFS($J$5:$J$204,$D$5:$D$204,$A167,$C$5:$C$204,"Variation"))/(COUNTIFS($D$5:$D$204,$A167,$C$5:$C$204,"Activity")+COUNTIFS($D$5:$D$204,$A167,$C$5:$C$204,"Variation")))),IF(OR($C167="Activity",$C167="Variation"),IF(AND(ISNUMBER($J167),$J167&gt;=0,$J167&lt;=1),$J167,""),""))))</x:f>
      </x:c>
      <x:c r="M167" s="7" t="str">
        <x:f t="shared" si="7">IF(OR($K167="",$L167=""),"",$L167-$K167)</x:f>
      </x:c>
      <x:c r="N167" s="6" t="str">
        <x:f>IF(OR($B167="",$I167="",$L167=""),"",IF(AND($L167&lt;1,$I167&lt;TODAY()),"Late",IF(AND($H167&lt;&gt;"",$I167&gt;$H167),"Forecast Slip","On Plan")))</x:f>
      </x:c>
      <x:c r="O167" s="19"/>
      <x:c r="P167" s="6" t="str">
        <x:f t="shared" si="8">IF($B167="","",IF($A167="","Enter item ID",IF(COUNTIF($A$5:$A$204,$A167)&gt;1,"Duplicate item ID",IF($C167="Initiative",IF($D167&lt;&gt;"","Parent must be blank",IF(COUNTIFS($B$5:$B$204,$B167,$C$5:$C$204,"Initiative")&lt;&gt;1,"One Initiative row required",IF(COUNTIFS($D$5:$D$204,$A167,$C$5:$C$204,"Milestone")=0,"Add milestone","OK"))),IF($C167="Milestone",IF(COUNTIFS($A$5:$A$204,$D167,$B$5:$B$204,$B167,$C$5:$C$204,"Initiative")&lt;&gt;1,"Parent must be Initiative",IF(COUNTIFS($D$5:$D$204,$A167,$C$5:$C$204,"Activity")+COUNTIFS($D$5:$D$204,$A167,$C$5:$C$204,"Variation")=0,"Add activity or variation","OK")),IF(OR($C167="Activity",$C167="Variation"),IF(COUNTIFS($A$5:$A$204,$D167,$B$5:$B$204,$B167,$C$5:$C$204,"Milestone")&lt;&gt;1,"Parent must be Milestone",IF(OR($G167="",$H167=""),"Enter baseline dates",IF($H167&lt;$G167,"Baseline finish before start",IF($I167="","Enter forecast finish",IF(COUNT($J167)=0,"Enter actual %",IF(OR(NOT(ISNUMBER($J167)),$J167&lt;0,$J167&gt;1),"Actual % must be 0–100%","OK")))))),"Select level"))))))</x:f>
      </x:c>
    </x:row>
    <x:row r="168">
      <x:c r="A168" s="66" t="str" cm="1">
        <x:f t="array" ref="A168">IF(OR(B168="",C168=""),"",IF(C168="Initiative",COUNTIF($C$5:C168,"Initiative"),IF(C168="Milestone",IF(D168="","",D168&amp;"."&amp;COUNTIFS($D$5:D168,D168,$C$5:C168,"Milestone")),IF(OR(C168="Activity",C168="Variation"),IF(D168="","",D168&amp;"."&amp;(COUNTIFS($D$5:D168,D168,$C$5:C168,"Activity")+COUNTIFS($D$5:D168,D168,$C$5:C168,"Variation"))),""))))</x:f>
      </x:c>
      <x:c r="B168" s="19"/>
      <x:c r="C168" s="19"/>
      <x:c r="D168" s="20"/>
      <x:c r="E168" s="21"/>
      <x:c r="F168" s="21"/>
      <x:c r="G168" s="102"/>
      <x:c r="H168" s="102"/>
      <x:c r="I168" s="102"/>
      <x:c r="J168" s="100"/>
      <x:c r="K168" s="7" t="str">
        <x:f>IF($B168="","",IF($C168="Initiative",IF(COUNTIFS($B$169:$B$204,$B168,$C$169:$C$204,"Activity")+COUNTIFS($B$169:$B$204,$B168,$C$169:$C$204,"Variation")=0,"",IF(COUNTIFS($B$169:$B$204,$B168,$C$169:$C$204,"Activity")+COUNTIFS($B$169:$B$204,$B168,$C$169:$C$204,"Variation")&lt;&gt;COUNTIFS($B$169:$B$204,$B168,$C$169:$C$204,"Activity",$G$169:$G$204,"&lt;&gt;",$H$169:$H$204,"&lt;&gt;")+COUNTIFS($B$169:$B$204,$B168,$C$169:$C$204,"Variation",$G$169:$G$204,"&lt;&gt;",$H$169:$H$204,"&lt;&gt;"),"",(SUMIFS($K$169:$K$204,$B$169:$B$204,$B168,$C$169:$C$204,"Activity")+SUMIFS($K$169:$K$204,$B$169:$B$204,$B168,$C$169:$C$204,"Variation"))/(COUNTIFS($B$169:$B$204,$B168,$C$169:$C$204,"Activity")+COUNTIFS($B$169:$B$204,$B168,$C$169:$C$204,"Variation")))),IF($C168="Milestone",IF(COUNTIFS($D$169:$D$204,$A168,$C$169:$C$204,"Activity")+COUNTIFS($D$169:$D$204,$A168,$C$169:$C$204,"Variation")=0,"",IF(COUNTIFS($D$169:$D$204,$A168,$C$169:$C$204,"Activity")+COUNTIFS($D$169:$D$204,$A168,$C$169:$C$204,"Variation")&lt;&gt;COUNTIFS($D$169:$D$204,$A168,$C$169:$C$204,"Activity",$G$169:$G$204,"&lt;&gt;",$H$169:$H$204,"&lt;&gt;")+COUNTIFS($D$169:$D$204,$A168,$C$169:$C$204,"Variation",$G$169:$G$204,"&lt;&gt;",$H$169:$H$204,"&lt;&gt;"),"",(SUMIFS($K$169:$K$204,$D$169:$D$204,$A168,$C$169:$C$204,"Activity")+SUMIFS($K$169:$K$204,$D$169:$D$204,$A168,$C$169:$C$204,"Variation"))/(COUNTIFS($D$169:$D$204,$A168,$C$169:$C$204,"Activity")+COUNTIFS($D$169:$D$204,$A168,$C$169:$C$204,"Variation")))),IF(OR($C168="Activity",$C168="Variation"),IF(OR($G168="",$H168=""),"",IF($H168&lt;$G168,"",IF($H168=$G168,--(TODAY()&gt;=$H168),MAX(0,MIN(1,(TODAY()-$G168)/($H168-$G168)))))),""))))</x:f>
      </x:c>
      <x:c r="L168" s="7" t="str">
        <x:f t="shared" si="6">IF($B168="","",IF($C168="Initiative",IF(COUNTIFS($B$5:$B$204,$B168,$C$5:$C$204,"Activity")+COUNTIFS($B$5:$B$204,$B168,$C$5:$C$204,"Variation")=0,"",IF(COUNTIFS($B$5:$B$204,$B168,$C$5:$C$204,"Activity")+COUNTIFS($B$5:$B$204,$B168,$C$5:$C$204,"Variation")&lt;&gt;COUNTIFS($B$5:$B$204,$B168,$C$5:$C$204,"Activity",$J$5:$J$204,"&lt;&gt;",$J$5:$J$204,"&gt;=0",$J$5:$J$204,"&lt;=1")+COUNTIFS($B$5:$B$204,$B168,$C$5:$C$204,"Variation",$J$5:$J$204,"&lt;&gt;",$J$5:$J$204,"&gt;=0",$J$5:$J$204,"&lt;=1"),"",(SUMIFS($J$5:$J$204,$B$5:$B$204,$B168,$C$5:$C$204,"Activity")+SUMIFS($J$5:$J$204,$B$5:$B$204,$B168,$C$5:$C$204,"Variation"))/(COUNTIFS($B$5:$B$204,$B168,$C$5:$C$204,"Activity")+COUNTIFS($B$5:$B$204,$B168,$C$5:$C$204,"Variation")))),IF($C168="Milestone",IF(COUNTIFS($D$5:$D$204,$A168,$C$5:$C$204,"Activity")+COUNTIFS($D$5:$D$204,$A168,$C$5:$C$204,"Variation")=0,"",IF(COUNTIFS($D$5:$D$204,$A168,$C$5:$C$204,"Activity")+COUNTIFS($D$5:$D$204,$A168,$C$5:$C$204,"Variation")&lt;&gt;COUNTIFS($D$5:$D$204,$A168,$C$5:$C$204,"Activity",$J$5:$J$204,"&lt;&gt;",$J$5:$J$204,"&gt;=0",$J$5:$J$204,"&lt;=1")+COUNTIFS($D$5:$D$204,$A168,$C$5:$C$204,"Variation",$J$5:$J$204,"&lt;&gt;",$J$5:$J$204,"&gt;=0",$J$5:$J$204,"&lt;=1"),"",(SUMIFS($J$5:$J$204,$D$5:$D$204,$A168,$C$5:$C$204,"Activity")+SUMIFS($J$5:$J$204,$D$5:$D$204,$A168,$C$5:$C$204,"Variation"))/(COUNTIFS($D$5:$D$204,$A168,$C$5:$C$204,"Activity")+COUNTIFS($D$5:$D$204,$A168,$C$5:$C$204,"Variation")))),IF(OR($C168="Activity",$C168="Variation"),IF(AND(ISNUMBER($J168),$J168&gt;=0,$J168&lt;=1),$J168,""),""))))</x:f>
      </x:c>
      <x:c r="M168" s="7" t="str">
        <x:f t="shared" si="7">IF(OR($K168="",$L168=""),"",$L168-$K168)</x:f>
      </x:c>
      <x:c r="N168" s="6" t="str">
        <x:f>IF(OR($B168="",$I168="",$L168=""),"",IF(AND($L168&lt;1,$I168&lt;TODAY()),"Late",IF(AND($H168&lt;&gt;"",$I168&gt;$H168),"Forecast Slip","On Plan")))</x:f>
      </x:c>
      <x:c r="O168" s="19"/>
      <x:c r="P168" s="6" t="str">
        <x:f t="shared" si="8">IF($B168="","",IF($A168="","Enter item ID",IF(COUNTIF($A$5:$A$204,$A168)&gt;1,"Duplicate item ID",IF($C168="Initiative",IF($D168&lt;&gt;"","Parent must be blank",IF(COUNTIFS($B$5:$B$204,$B168,$C$5:$C$204,"Initiative")&lt;&gt;1,"One Initiative row required",IF(COUNTIFS($D$5:$D$204,$A168,$C$5:$C$204,"Milestone")=0,"Add milestone","OK"))),IF($C168="Milestone",IF(COUNTIFS($A$5:$A$204,$D168,$B$5:$B$204,$B168,$C$5:$C$204,"Initiative")&lt;&gt;1,"Parent must be Initiative",IF(COUNTIFS($D$5:$D$204,$A168,$C$5:$C$204,"Activity")+COUNTIFS($D$5:$D$204,$A168,$C$5:$C$204,"Variation")=0,"Add activity or variation","OK")),IF(OR($C168="Activity",$C168="Variation"),IF(COUNTIFS($A$5:$A$204,$D168,$B$5:$B$204,$B168,$C$5:$C$204,"Milestone")&lt;&gt;1,"Parent must be Milestone",IF(OR($G168="",$H168=""),"Enter baseline dates",IF($H168&lt;$G168,"Baseline finish before start",IF($I168="","Enter forecast finish",IF(COUNT($J168)=0,"Enter actual %",IF(OR(NOT(ISNUMBER($J168)),$J168&lt;0,$J168&gt;1),"Actual % must be 0–100%","OK")))))),"Select level"))))))</x:f>
      </x:c>
    </x:row>
    <x:row r="169">
      <x:c r="A169" s="66" t="str" cm="1">
        <x:f t="array" ref="A169">IF(OR(B169="",C169=""),"",IF(C169="Initiative",COUNTIF($C$5:C169,"Initiative"),IF(C169="Milestone",IF(D169="","",D169&amp;"."&amp;COUNTIFS($D$5:D169,D169,$C$5:C169,"Milestone")),IF(OR(C169="Activity",C169="Variation"),IF(D169="","",D169&amp;"."&amp;(COUNTIFS($D$5:D169,D169,$C$5:C169,"Activity")+COUNTIFS($D$5:D169,D169,$C$5:C169,"Variation"))),""))))</x:f>
      </x:c>
      <x:c r="B169" s="19"/>
      <x:c r="C169" s="19"/>
      <x:c r="D169" s="20"/>
      <x:c r="E169" s="21"/>
      <x:c r="F169" s="21"/>
      <x:c r="G169" s="102"/>
      <x:c r="H169" s="102"/>
      <x:c r="I169" s="102"/>
      <x:c r="J169" s="100"/>
      <x:c r="K169" s="7" t="str">
        <x:f>IF($B169="","",IF($C169="Initiative",IF(COUNTIFS($B$170:$B$204,$B169,$C$170:$C$204,"Activity")+COUNTIFS($B$170:$B$204,$B169,$C$170:$C$204,"Variation")=0,"",IF(COUNTIFS($B$170:$B$204,$B169,$C$170:$C$204,"Activity")+COUNTIFS($B$170:$B$204,$B169,$C$170:$C$204,"Variation")&lt;&gt;COUNTIFS($B$170:$B$204,$B169,$C$170:$C$204,"Activity",$G$170:$G$204,"&lt;&gt;",$H$170:$H$204,"&lt;&gt;")+COUNTIFS($B$170:$B$204,$B169,$C$170:$C$204,"Variation",$G$170:$G$204,"&lt;&gt;",$H$170:$H$204,"&lt;&gt;"),"",(SUMIFS($K$170:$K$204,$B$170:$B$204,$B169,$C$170:$C$204,"Activity")+SUMIFS($K$170:$K$204,$B$170:$B$204,$B169,$C$170:$C$204,"Variation"))/(COUNTIFS($B$170:$B$204,$B169,$C$170:$C$204,"Activity")+COUNTIFS($B$170:$B$204,$B169,$C$170:$C$204,"Variation")))),IF($C169="Milestone",IF(COUNTIFS($D$170:$D$204,$A169,$C$170:$C$204,"Activity")+COUNTIFS($D$170:$D$204,$A169,$C$170:$C$204,"Variation")=0,"",IF(COUNTIFS($D$170:$D$204,$A169,$C$170:$C$204,"Activity")+COUNTIFS($D$170:$D$204,$A169,$C$170:$C$204,"Variation")&lt;&gt;COUNTIFS($D$170:$D$204,$A169,$C$170:$C$204,"Activity",$G$170:$G$204,"&lt;&gt;",$H$170:$H$204,"&lt;&gt;")+COUNTIFS($D$170:$D$204,$A169,$C$170:$C$204,"Variation",$G$170:$G$204,"&lt;&gt;",$H$170:$H$204,"&lt;&gt;"),"",(SUMIFS($K$170:$K$204,$D$170:$D$204,$A169,$C$170:$C$204,"Activity")+SUMIFS($K$170:$K$204,$D$170:$D$204,$A169,$C$170:$C$204,"Variation"))/(COUNTIFS($D$170:$D$204,$A169,$C$170:$C$204,"Activity")+COUNTIFS($D$170:$D$204,$A169,$C$170:$C$204,"Variation")))),IF(OR($C169="Activity",$C169="Variation"),IF(OR($G169="",$H169=""),"",IF($H169&lt;$G169,"",IF($H169=$G169,--(TODAY()&gt;=$H169),MAX(0,MIN(1,(TODAY()-$G169)/($H169-$G169)))))),""))))</x:f>
      </x:c>
      <x:c r="L169" s="7" t="str">
        <x:f t="shared" si="6">IF($B169="","",IF($C169="Initiative",IF(COUNTIFS($B$5:$B$204,$B169,$C$5:$C$204,"Activity")+COUNTIFS($B$5:$B$204,$B169,$C$5:$C$204,"Variation")=0,"",IF(COUNTIFS($B$5:$B$204,$B169,$C$5:$C$204,"Activity")+COUNTIFS($B$5:$B$204,$B169,$C$5:$C$204,"Variation")&lt;&gt;COUNTIFS($B$5:$B$204,$B169,$C$5:$C$204,"Activity",$J$5:$J$204,"&lt;&gt;",$J$5:$J$204,"&gt;=0",$J$5:$J$204,"&lt;=1")+COUNTIFS($B$5:$B$204,$B169,$C$5:$C$204,"Variation",$J$5:$J$204,"&lt;&gt;",$J$5:$J$204,"&gt;=0",$J$5:$J$204,"&lt;=1"),"",(SUMIFS($J$5:$J$204,$B$5:$B$204,$B169,$C$5:$C$204,"Activity")+SUMIFS($J$5:$J$204,$B$5:$B$204,$B169,$C$5:$C$204,"Variation"))/(COUNTIFS($B$5:$B$204,$B169,$C$5:$C$204,"Activity")+COUNTIFS($B$5:$B$204,$B169,$C$5:$C$204,"Variation")))),IF($C169="Milestone",IF(COUNTIFS($D$5:$D$204,$A169,$C$5:$C$204,"Activity")+COUNTIFS($D$5:$D$204,$A169,$C$5:$C$204,"Variation")=0,"",IF(COUNTIFS($D$5:$D$204,$A169,$C$5:$C$204,"Activity")+COUNTIFS($D$5:$D$204,$A169,$C$5:$C$204,"Variation")&lt;&gt;COUNTIFS($D$5:$D$204,$A169,$C$5:$C$204,"Activity",$J$5:$J$204,"&lt;&gt;",$J$5:$J$204,"&gt;=0",$J$5:$J$204,"&lt;=1")+COUNTIFS($D$5:$D$204,$A169,$C$5:$C$204,"Variation",$J$5:$J$204,"&lt;&gt;",$J$5:$J$204,"&gt;=0",$J$5:$J$204,"&lt;=1"),"",(SUMIFS($J$5:$J$204,$D$5:$D$204,$A169,$C$5:$C$204,"Activity")+SUMIFS($J$5:$J$204,$D$5:$D$204,$A169,$C$5:$C$204,"Variation"))/(COUNTIFS($D$5:$D$204,$A169,$C$5:$C$204,"Activity")+COUNTIFS($D$5:$D$204,$A169,$C$5:$C$204,"Variation")))),IF(OR($C169="Activity",$C169="Variation"),IF(AND(ISNUMBER($J169),$J169&gt;=0,$J169&lt;=1),$J169,""),""))))</x:f>
      </x:c>
      <x:c r="M169" s="7" t="str">
        <x:f t="shared" si="7">IF(OR($K169="",$L169=""),"",$L169-$K169)</x:f>
      </x:c>
      <x:c r="N169" s="6" t="str">
        <x:f>IF(OR($B169="",$I169="",$L169=""),"",IF(AND($L169&lt;1,$I169&lt;TODAY()),"Late",IF(AND($H169&lt;&gt;"",$I169&gt;$H169),"Forecast Slip","On Plan")))</x:f>
      </x:c>
      <x:c r="O169" s="19"/>
      <x:c r="P169" s="6" t="str">
        <x:f t="shared" si="8">IF($B169="","",IF($A169="","Enter item ID",IF(COUNTIF($A$5:$A$204,$A169)&gt;1,"Duplicate item ID",IF($C169="Initiative",IF($D169&lt;&gt;"","Parent must be blank",IF(COUNTIFS($B$5:$B$204,$B169,$C$5:$C$204,"Initiative")&lt;&gt;1,"One Initiative row required",IF(COUNTIFS($D$5:$D$204,$A169,$C$5:$C$204,"Milestone")=0,"Add milestone","OK"))),IF($C169="Milestone",IF(COUNTIFS($A$5:$A$204,$D169,$B$5:$B$204,$B169,$C$5:$C$204,"Initiative")&lt;&gt;1,"Parent must be Initiative",IF(COUNTIFS($D$5:$D$204,$A169,$C$5:$C$204,"Activity")+COUNTIFS($D$5:$D$204,$A169,$C$5:$C$204,"Variation")=0,"Add activity or variation","OK")),IF(OR($C169="Activity",$C169="Variation"),IF(COUNTIFS($A$5:$A$204,$D169,$B$5:$B$204,$B169,$C$5:$C$204,"Milestone")&lt;&gt;1,"Parent must be Milestone",IF(OR($G169="",$H169=""),"Enter baseline dates",IF($H169&lt;$G169,"Baseline finish before start",IF($I169="","Enter forecast finish",IF(COUNT($J169)=0,"Enter actual %",IF(OR(NOT(ISNUMBER($J169)),$J169&lt;0,$J169&gt;1),"Actual % must be 0–100%","OK")))))),"Select level"))))))</x:f>
      </x:c>
    </x:row>
    <x:row r="170">
      <x:c r="A170" s="66" t="str" cm="1">
        <x:f t="array" ref="A170">IF(OR(B170="",C170=""),"",IF(C170="Initiative",COUNTIF($C$5:C170,"Initiative"),IF(C170="Milestone",IF(D170="","",D170&amp;"."&amp;COUNTIFS($D$5:D170,D170,$C$5:C170,"Milestone")),IF(OR(C170="Activity",C170="Variation"),IF(D170="","",D170&amp;"."&amp;(COUNTIFS($D$5:D170,D170,$C$5:C170,"Activity")+COUNTIFS($D$5:D170,D170,$C$5:C170,"Variation"))),""))))</x:f>
      </x:c>
      <x:c r="B170" s="19"/>
      <x:c r="C170" s="19"/>
      <x:c r="D170" s="20"/>
      <x:c r="E170" s="21"/>
      <x:c r="F170" s="21"/>
      <x:c r="G170" s="102"/>
      <x:c r="H170" s="102"/>
      <x:c r="I170" s="102"/>
      <x:c r="J170" s="100"/>
      <x:c r="K170" s="7" t="str">
        <x:f>IF($B170="","",IF($C170="Initiative",IF(COUNTIFS($B$171:$B$204,$B170,$C$171:$C$204,"Activity")+COUNTIFS($B$171:$B$204,$B170,$C$171:$C$204,"Variation")=0,"",IF(COUNTIFS($B$171:$B$204,$B170,$C$171:$C$204,"Activity")+COUNTIFS($B$171:$B$204,$B170,$C$171:$C$204,"Variation")&lt;&gt;COUNTIFS($B$171:$B$204,$B170,$C$171:$C$204,"Activity",$G$171:$G$204,"&lt;&gt;",$H$171:$H$204,"&lt;&gt;")+COUNTIFS($B$171:$B$204,$B170,$C$171:$C$204,"Variation",$G$171:$G$204,"&lt;&gt;",$H$171:$H$204,"&lt;&gt;"),"",(SUMIFS($K$171:$K$204,$B$171:$B$204,$B170,$C$171:$C$204,"Activity")+SUMIFS($K$171:$K$204,$B$171:$B$204,$B170,$C$171:$C$204,"Variation"))/(COUNTIFS($B$171:$B$204,$B170,$C$171:$C$204,"Activity")+COUNTIFS($B$171:$B$204,$B170,$C$171:$C$204,"Variation")))),IF($C170="Milestone",IF(COUNTIFS($D$171:$D$204,$A170,$C$171:$C$204,"Activity")+COUNTIFS($D$171:$D$204,$A170,$C$171:$C$204,"Variation")=0,"",IF(COUNTIFS($D$171:$D$204,$A170,$C$171:$C$204,"Activity")+COUNTIFS($D$171:$D$204,$A170,$C$171:$C$204,"Variation")&lt;&gt;COUNTIFS($D$171:$D$204,$A170,$C$171:$C$204,"Activity",$G$171:$G$204,"&lt;&gt;",$H$171:$H$204,"&lt;&gt;")+COUNTIFS($D$171:$D$204,$A170,$C$171:$C$204,"Variation",$G$171:$G$204,"&lt;&gt;",$H$171:$H$204,"&lt;&gt;"),"",(SUMIFS($K$171:$K$204,$D$171:$D$204,$A170,$C$171:$C$204,"Activity")+SUMIFS($K$171:$K$204,$D$171:$D$204,$A170,$C$171:$C$204,"Variation"))/(COUNTIFS($D$171:$D$204,$A170,$C$171:$C$204,"Activity")+COUNTIFS($D$171:$D$204,$A170,$C$171:$C$204,"Variation")))),IF(OR($C170="Activity",$C170="Variation"),IF(OR($G170="",$H170=""),"",IF($H170&lt;$G170,"",IF($H170=$G170,--(TODAY()&gt;=$H170),MAX(0,MIN(1,(TODAY()-$G170)/($H170-$G170)))))),""))))</x:f>
      </x:c>
      <x:c r="L170" s="7" t="str">
        <x:f t="shared" si="6">IF($B170="","",IF($C170="Initiative",IF(COUNTIFS($B$5:$B$204,$B170,$C$5:$C$204,"Activity")+COUNTIFS($B$5:$B$204,$B170,$C$5:$C$204,"Variation")=0,"",IF(COUNTIFS($B$5:$B$204,$B170,$C$5:$C$204,"Activity")+COUNTIFS($B$5:$B$204,$B170,$C$5:$C$204,"Variation")&lt;&gt;COUNTIFS($B$5:$B$204,$B170,$C$5:$C$204,"Activity",$J$5:$J$204,"&lt;&gt;",$J$5:$J$204,"&gt;=0",$J$5:$J$204,"&lt;=1")+COUNTIFS($B$5:$B$204,$B170,$C$5:$C$204,"Variation",$J$5:$J$204,"&lt;&gt;",$J$5:$J$204,"&gt;=0",$J$5:$J$204,"&lt;=1"),"",(SUMIFS($J$5:$J$204,$B$5:$B$204,$B170,$C$5:$C$204,"Activity")+SUMIFS($J$5:$J$204,$B$5:$B$204,$B170,$C$5:$C$204,"Variation"))/(COUNTIFS($B$5:$B$204,$B170,$C$5:$C$204,"Activity")+COUNTIFS($B$5:$B$204,$B170,$C$5:$C$204,"Variation")))),IF($C170="Milestone",IF(COUNTIFS($D$5:$D$204,$A170,$C$5:$C$204,"Activity")+COUNTIFS($D$5:$D$204,$A170,$C$5:$C$204,"Variation")=0,"",IF(COUNTIFS($D$5:$D$204,$A170,$C$5:$C$204,"Activity")+COUNTIFS($D$5:$D$204,$A170,$C$5:$C$204,"Variation")&lt;&gt;COUNTIFS($D$5:$D$204,$A170,$C$5:$C$204,"Activity",$J$5:$J$204,"&lt;&gt;",$J$5:$J$204,"&gt;=0",$J$5:$J$204,"&lt;=1")+COUNTIFS($D$5:$D$204,$A170,$C$5:$C$204,"Variation",$J$5:$J$204,"&lt;&gt;",$J$5:$J$204,"&gt;=0",$J$5:$J$204,"&lt;=1"),"",(SUMIFS($J$5:$J$204,$D$5:$D$204,$A170,$C$5:$C$204,"Activity")+SUMIFS($J$5:$J$204,$D$5:$D$204,$A170,$C$5:$C$204,"Variation"))/(COUNTIFS($D$5:$D$204,$A170,$C$5:$C$204,"Activity")+COUNTIFS($D$5:$D$204,$A170,$C$5:$C$204,"Variation")))),IF(OR($C170="Activity",$C170="Variation"),IF(AND(ISNUMBER($J170),$J170&gt;=0,$J170&lt;=1),$J170,""),""))))</x:f>
      </x:c>
      <x:c r="M170" s="7" t="str">
        <x:f t="shared" si="7">IF(OR($K170="",$L170=""),"",$L170-$K170)</x:f>
      </x:c>
      <x:c r="N170" s="6" t="str">
        <x:f>IF(OR($B170="",$I170="",$L170=""),"",IF(AND($L170&lt;1,$I170&lt;TODAY()),"Late",IF(AND($H170&lt;&gt;"",$I170&gt;$H170),"Forecast Slip","On Plan")))</x:f>
      </x:c>
      <x:c r="O170" s="19"/>
      <x:c r="P170" s="6" t="str">
        <x:f t="shared" si="8">IF($B170="","",IF($A170="","Enter item ID",IF(COUNTIF($A$5:$A$204,$A170)&gt;1,"Duplicate item ID",IF($C170="Initiative",IF($D170&lt;&gt;"","Parent must be blank",IF(COUNTIFS($B$5:$B$204,$B170,$C$5:$C$204,"Initiative")&lt;&gt;1,"One Initiative row required",IF(COUNTIFS($D$5:$D$204,$A170,$C$5:$C$204,"Milestone")=0,"Add milestone","OK"))),IF($C170="Milestone",IF(COUNTIFS($A$5:$A$204,$D170,$B$5:$B$204,$B170,$C$5:$C$204,"Initiative")&lt;&gt;1,"Parent must be Initiative",IF(COUNTIFS($D$5:$D$204,$A170,$C$5:$C$204,"Activity")+COUNTIFS($D$5:$D$204,$A170,$C$5:$C$204,"Variation")=0,"Add activity or variation","OK")),IF(OR($C170="Activity",$C170="Variation"),IF(COUNTIFS($A$5:$A$204,$D170,$B$5:$B$204,$B170,$C$5:$C$204,"Milestone")&lt;&gt;1,"Parent must be Milestone",IF(OR($G170="",$H170=""),"Enter baseline dates",IF($H170&lt;$G170,"Baseline finish before start",IF($I170="","Enter forecast finish",IF(COUNT($J170)=0,"Enter actual %",IF(OR(NOT(ISNUMBER($J170)),$J170&lt;0,$J170&gt;1),"Actual % must be 0–100%","OK")))))),"Select level"))))))</x:f>
      </x:c>
    </x:row>
    <x:row r="171">
      <x:c r="A171" s="66" t="str" cm="1">
        <x:f t="array" ref="A171">IF(OR(B171="",C171=""),"",IF(C171="Initiative",COUNTIF($C$5:C171,"Initiative"),IF(C171="Milestone",IF(D171="","",D171&amp;"."&amp;COUNTIFS($D$5:D171,D171,$C$5:C171,"Milestone")),IF(OR(C171="Activity",C171="Variation"),IF(D171="","",D171&amp;"."&amp;(COUNTIFS($D$5:D171,D171,$C$5:C171,"Activity")+COUNTIFS($D$5:D171,D171,$C$5:C171,"Variation"))),""))))</x:f>
      </x:c>
      <x:c r="B171" s="19"/>
      <x:c r="C171" s="19"/>
      <x:c r="D171" s="20"/>
      <x:c r="E171" s="21"/>
      <x:c r="F171" s="21"/>
      <x:c r="G171" s="102"/>
      <x:c r="H171" s="102"/>
      <x:c r="I171" s="102"/>
      <x:c r="J171" s="100"/>
      <x:c r="K171" s="7" t="str">
        <x:f>IF($B171="","",IF($C171="Initiative",IF(COUNTIFS($B$172:$B$204,$B171,$C$172:$C$204,"Activity")+COUNTIFS($B$172:$B$204,$B171,$C$172:$C$204,"Variation")=0,"",IF(COUNTIFS($B$172:$B$204,$B171,$C$172:$C$204,"Activity")+COUNTIFS($B$172:$B$204,$B171,$C$172:$C$204,"Variation")&lt;&gt;COUNTIFS($B$172:$B$204,$B171,$C$172:$C$204,"Activity",$G$172:$G$204,"&lt;&gt;",$H$172:$H$204,"&lt;&gt;")+COUNTIFS($B$172:$B$204,$B171,$C$172:$C$204,"Variation",$G$172:$G$204,"&lt;&gt;",$H$172:$H$204,"&lt;&gt;"),"",(SUMIFS($K$172:$K$204,$B$172:$B$204,$B171,$C$172:$C$204,"Activity")+SUMIFS($K$172:$K$204,$B$172:$B$204,$B171,$C$172:$C$204,"Variation"))/(COUNTIFS($B$172:$B$204,$B171,$C$172:$C$204,"Activity")+COUNTIFS($B$172:$B$204,$B171,$C$172:$C$204,"Variation")))),IF($C171="Milestone",IF(COUNTIFS($D$172:$D$204,$A171,$C$172:$C$204,"Activity")+COUNTIFS($D$172:$D$204,$A171,$C$172:$C$204,"Variation")=0,"",IF(COUNTIFS($D$172:$D$204,$A171,$C$172:$C$204,"Activity")+COUNTIFS($D$172:$D$204,$A171,$C$172:$C$204,"Variation")&lt;&gt;COUNTIFS($D$172:$D$204,$A171,$C$172:$C$204,"Activity",$G$172:$G$204,"&lt;&gt;",$H$172:$H$204,"&lt;&gt;")+COUNTIFS($D$172:$D$204,$A171,$C$172:$C$204,"Variation",$G$172:$G$204,"&lt;&gt;",$H$172:$H$204,"&lt;&gt;"),"",(SUMIFS($K$172:$K$204,$D$172:$D$204,$A171,$C$172:$C$204,"Activity")+SUMIFS($K$172:$K$204,$D$172:$D$204,$A171,$C$172:$C$204,"Variation"))/(COUNTIFS($D$172:$D$204,$A171,$C$172:$C$204,"Activity")+COUNTIFS($D$172:$D$204,$A171,$C$172:$C$204,"Variation")))),IF(OR($C171="Activity",$C171="Variation"),IF(OR($G171="",$H171=""),"",IF($H171&lt;$G171,"",IF($H171=$G171,--(TODAY()&gt;=$H171),MAX(0,MIN(1,(TODAY()-$G171)/($H171-$G171)))))),""))))</x:f>
      </x:c>
      <x:c r="L171" s="7" t="str">
        <x:f t="shared" si="6">IF($B171="","",IF($C171="Initiative",IF(COUNTIFS($B$5:$B$204,$B171,$C$5:$C$204,"Activity")+COUNTIFS($B$5:$B$204,$B171,$C$5:$C$204,"Variation")=0,"",IF(COUNTIFS($B$5:$B$204,$B171,$C$5:$C$204,"Activity")+COUNTIFS($B$5:$B$204,$B171,$C$5:$C$204,"Variation")&lt;&gt;COUNTIFS($B$5:$B$204,$B171,$C$5:$C$204,"Activity",$J$5:$J$204,"&lt;&gt;",$J$5:$J$204,"&gt;=0",$J$5:$J$204,"&lt;=1")+COUNTIFS($B$5:$B$204,$B171,$C$5:$C$204,"Variation",$J$5:$J$204,"&lt;&gt;",$J$5:$J$204,"&gt;=0",$J$5:$J$204,"&lt;=1"),"",(SUMIFS($J$5:$J$204,$B$5:$B$204,$B171,$C$5:$C$204,"Activity")+SUMIFS($J$5:$J$204,$B$5:$B$204,$B171,$C$5:$C$204,"Variation"))/(COUNTIFS($B$5:$B$204,$B171,$C$5:$C$204,"Activity")+COUNTIFS($B$5:$B$204,$B171,$C$5:$C$204,"Variation")))),IF($C171="Milestone",IF(COUNTIFS($D$5:$D$204,$A171,$C$5:$C$204,"Activity")+COUNTIFS($D$5:$D$204,$A171,$C$5:$C$204,"Variation")=0,"",IF(COUNTIFS($D$5:$D$204,$A171,$C$5:$C$204,"Activity")+COUNTIFS($D$5:$D$204,$A171,$C$5:$C$204,"Variation")&lt;&gt;COUNTIFS($D$5:$D$204,$A171,$C$5:$C$204,"Activity",$J$5:$J$204,"&lt;&gt;",$J$5:$J$204,"&gt;=0",$J$5:$J$204,"&lt;=1")+COUNTIFS($D$5:$D$204,$A171,$C$5:$C$204,"Variation",$J$5:$J$204,"&lt;&gt;",$J$5:$J$204,"&gt;=0",$J$5:$J$204,"&lt;=1"),"",(SUMIFS($J$5:$J$204,$D$5:$D$204,$A171,$C$5:$C$204,"Activity")+SUMIFS($J$5:$J$204,$D$5:$D$204,$A171,$C$5:$C$204,"Variation"))/(COUNTIFS($D$5:$D$204,$A171,$C$5:$C$204,"Activity")+COUNTIFS($D$5:$D$204,$A171,$C$5:$C$204,"Variation")))),IF(OR($C171="Activity",$C171="Variation"),IF(AND(ISNUMBER($J171),$J171&gt;=0,$J171&lt;=1),$J171,""),""))))</x:f>
      </x:c>
      <x:c r="M171" s="7" t="str">
        <x:f t="shared" si="7">IF(OR($K171="",$L171=""),"",$L171-$K171)</x:f>
      </x:c>
      <x:c r="N171" s="6" t="str">
        <x:f>IF(OR($B171="",$I171="",$L171=""),"",IF(AND($L171&lt;1,$I171&lt;TODAY()),"Late",IF(AND($H171&lt;&gt;"",$I171&gt;$H171),"Forecast Slip","On Plan")))</x:f>
      </x:c>
      <x:c r="O171" s="19"/>
      <x:c r="P171" s="6" t="str">
        <x:f t="shared" si="8">IF($B171="","",IF($A171="","Enter item ID",IF(COUNTIF($A$5:$A$204,$A171)&gt;1,"Duplicate item ID",IF($C171="Initiative",IF($D171&lt;&gt;"","Parent must be blank",IF(COUNTIFS($B$5:$B$204,$B171,$C$5:$C$204,"Initiative")&lt;&gt;1,"One Initiative row required",IF(COUNTIFS($D$5:$D$204,$A171,$C$5:$C$204,"Milestone")=0,"Add milestone","OK"))),IF($C171="Milestone",IF(COUNTIFS($A$5:$A$204,$D171,$B$5:$B$204,$B171,$C$5:$C$204,"Initiative")&lt;&gt;1,"Parent must be Initiative",IF(COUNTIFS($D$5:$D$204,$A171,$C$5:$C$204,"Activity")+COUNTIFS($D$5:$D$204,$A171,$C$5:$C$204,"Variation")=0,"Add activity or variation","OK")),IF(OR($C171="Activity",$C171="Variation"),IF(COUNTIFS($A$5:$A$204,$D171,$B$5:$B$204,$B171,$C$5:$C$204,"Milestone")&lt;&gt;1,"Parent must be Milestone",IF(OR($G171="",$H171=""),"Enter baseline dates",IF($H171&lt;$G171,"Baseline finish before start",IF($I171="","Enter forecast finish",IF(COUNT($J171)=0,"Enter actual %",IF(OR(NOT(ISNUMBER($J171)),$J171&lt;0,$J171&gt;1),"Actual % must be 0–100%","OK")))))),"Select level"))))))</x:f>
      </x:c>
    </x:row>
    <x:row r="172">
      <x:c r="A172" s="66" t="str" cm="1">
        <x:f t="array" ref="A172">IF(OR(B172="",C172=""),"",IF(C172="Initiative",COUNTIF($C$5:C172,"Initiative"),IF(C172="Milestone",IF(D172="","",D172&amp;"."&amp;COUNTIFS($D$5:D172,D172,$C$5:C172,"Milestone")),IF(OR(C172="Activity",C172="Variation"),IF(D172="","",D172&amp;"."&amp;(COUNTIFS($D$5:D172,D172,$C$5:C172,"Activity")+COUNTIFS($D$5:D172,D172,$C$5:C172,"Variation"))),""))))</x:f>
      </x:c>
      <x:c r="B172" s="19"/>
      <x:c r="C172" s="19"/>
      <x:c r="D172" s="20"/>
      <x:c r="E172" s="21"/>
      <x:c r="F172" s="21"/>
      <x:c r="G172" s="102"/>
      <x:c r="H172" s="102"/>
      <x:c r="I172" s="102"/>
      <x:c r="J172" s="100"/>
      <x:c r="K172" s="7" t="str">
        <x:f>IF($B172="","",IF($C172="Initiative",IF(COUNTIFS($B$173:$B$204,$B172,$C$173:$C$204,"Activity")+COUNTIFS($B$173:$B$204,$B172,$C$173:$C$204,"Variation")=0,"",IF(COUNTIFS($B$173:$B$204,$B172,$C$173:$C$204,"Activity")+COUNTIFS($B$173:$B$204,$B172,$C$173:$C$204,"Variation")&lt;&gt;COUNTIFS($B$173:$B$204,$B172,$C$173:$C$204,"Activity",$G$173:$G$204,"&lt;&gt;",$H$173:$H$204,"&lt;&gt;")+COUNTIFS($B$173:$B$204,$B172,$C$173:$C$204,"Variation",$G$173:$G$204,"&lt;&gt;",$H$173:$H$204,"&lt;&gt;"),"",(SUMIFS($K$173:$K$204,$B$173:$B$204,$B172,$C$173:$C$204,"Activity")+SUMIFS($K$173:$K$204,$B$173:$B$204,$B172,$C$173:$C$204,"Variation"))/(COUNTIFS($B$173:$B$204,$B172,$C$173:$C$204,"Activity")+COUNTIFS($B$173:$B$204,$B172,$C$173:$C$204,"Variation")))),IF($C172="Milestone",IF(COUNTIFS($D$173:$D$204,$A172,$C$173:$C$204,"Activity")+COUNTIFS($D$173:$D$204,$A172,$C$173:$C$204,"Variation")=0,"",IF(COUNTIFS($D$173:$D$204,$A172,$C$173:$C$204,"Activity")+COUNTIFS($D$173:$D$204,$A172,$C$173:$C$204,"Variation")&lt;&gt;COUNTIFS($D$173:$D$204,$A172,$C$173:$C$204,"Activity",$G$173:$G$204,"&lt;&gt;",$H$173:$H$204,"&lt;&gt;")+COUNTIFS($D$173:$D$204,$A172,$C$173:$C$204,"Variation",$G$173:$G$204,"&lt;&gt;",$H$173:$H$204,"&lt;&gt;"),"",(SUMIFS($K$173:$K$204,$D$173:$D$204,$A172,$C$173:$C$204,"Activity")+SUMIFS($K$173:$K$204,$D$173:$D$204,$A172,$C$173:$C$204,"Variation"))/(COUNTIFS($D$173:$D$204,$A172,$C$173:$C$204,"Activity")+COUNTIFS($D$173:$D$204,$A172,$C$173:$C$204,"Variation")))),IF(OR($C172="Activity",$C172="Variation"),IF(OR($G172="",$H172=""),"",IF($H172&lt;$G172,"",IF($H172=$G172,--(TODAY()&gt;=$H172),MAX(0,MIN(1,(TODAY()-$G172)/($H172-$G172)))))),""))))</x:f>
      </x:c>
      <x:c r="L172" s="7" t="str">
        <x:f t="shared" si="6">IF($B172="","",IF($C172="Initiative",IF(COUNTIFS($B$5:$B$204,$B172,$C$5:$C$204,"Activity")+COUNTIFS($B$5:$B$204,$B172,$C$5:$C$204,"Variation")=0,"",IF(COUNTIFS($B$5:$B$204,$B172,$C$5:$C$204,"Activity")+COUNTIFS($B$5:$B$204,$B172,$C$5:$C$204,"Variation")&lt;&gt;COUNTIFS($B$5:$B$204,$B172,$C$5:$C$204,"Activity",$J$5:$J$204,"&lt;&gt;",$J$5:$J$204,"&gt;=0",$J$5:$J$204,"&lt;=1")+COUNTIFS($B$5:$B$204,$B172,$C$5:$C$204,"Variation",$J$5:$J$204,"&lt;&gt;",$J$5:$J$204,"&gt;=0",$J$5:$J$204,"&lt;=1"),"",(SUMIFS($J$5:$J$204,$B$5:$B$204,$B172,$C$5:$C$204,"Activity")+SUMIFS($J$5:$J$204,$B$5:$B$204,$B172,$C$5:$C$204,"Variation"))/(COUNTIFS($B$5:$B$204,$B172,$C$5:$C$204,"Activity")+COUNTIFS($B$5:$B$204,$B172,$C$5:$C$204,"Variation")))),IF($C172="Milestone",IF(COUNTIFS($D$5:$D$204,$A172,$C$5:$C$204,"Activity")+COUNTIFS($D$5:$D$204,$A172,$C$5:$C$204,"Variation")=0,"",IF(COUNTIFS($D$5:$D$204,$A172,$C$5:$C$204,"Activity")+COUNTIFS($D$5:$D$204,$A172,$C$5:$C$204,"Variation")&lt;&gt;COUNTIFS($D$5:$D$204,$A172,$C$5:$C$204,"Activity",$J$5:$J$204,"&lt;&gt;",$J$5:$J$204,"&gt;=0",$J$5:$J$204,"&lt;=1")+COUNTIFS($D$5:$D$204,$A172,$C$5:$C$204,"Variation",$J$5:$J$204,"&lt;&gt;",$J$5:$J$204,"&gt;=0",$J$5:$J$204,"&lt;=1"),"",(SUMIFS($J$5:$J$204,$D$5:$D$204,$A172,$C$5:$C$204,"Activity")+SUMIFS($J$5:$J$204,$D$5:$D$204,$A172,$C$5:$C$204,"Variation"))/(COUNTIFS($D$5:$D$204,$A172,$C$5:$C$204,"Activity")+COUNTIFS($D$5:$D$204,$A172,$C$5:$C$204,"Variation")))),IF(OR($C172="Activity",$C172="Variation"),IF(AND(ISNUMBER($J172),$J172&gt;=0,$J172&lt;=1),$J172,""),""))))</x:f>
      </x:c>
      <x:c r="M172" s="7" t="str">
        <x:f t="shared" si="7">IF(OR($K172="",$L172=""),"",$L172-$K172)</x:f>
      </x:c>
      <x:c r="N172" s="6" t="str">
        <x:f>IF(OR($B172="",$I172="",$L172=""),"",IF(AND($L172&lt;1,$I172&lt;TODAY()),"Late",IF(AND($H172&lt;&gt;"",$I172&gt;$H172),"Forecast Slip","On Plan")))</x:f>
      </x:c>
      <x:c r="O172" s="19"/>
      <x:c r="P172" s="6" t="str">
        <x:f t="shared" si="8">IF($B172="","",IF($A172="","Enter item ID",IF(COUNTIF($A$5:$A$204,$A172)&gt;1,"Duplicate item ID",IF($C172="Initiative",IF($D172&lt;&gt;"","Parent must be blank",IF(COUNTIFS($B$5:$B$204,$B172,$C$5:$C$204,"Initiative")&lt;&gt;1,"One Initiative row required",IF(COUNTIFS($D$5:$D$204,$A172,$C$5:$C$204,"Milestone")=0,"Add milestone","OK"))),IF($C172="Milestone",IF(COUNTIFS($A$5:$A$204,$D172,$B$5:$B$204,$B172,$C$5:$C$204,"Initiative")&lt;&gt;1,"Parent must be Initiative",IF(COUNTIFS($D$5:$D$204,$A172,$C$5:$C$204,"Activity")+COUNTIFS($D$5:$D$204,$A172,$C$5:$C$204,"Variation")=0,"Add activity or variation","OK")),IF(OR($C172="Activity",$C172="Variation"),IF(COUNTIFS($A$5:$A$204,$D172,$B$5:$B$204,$B172,$C$5:$C$204,"Milestone")&lt;&gt;1,"Parent must be Milestone",IF(OR($G172="",$H172=""),"Enter baseline dates",IF($H172&lt;$G172,"Baseline finish before start",IF($I172="","Enter forecast finish",IF(COUNT($J172)=0,"Enter actual %",IF(OR(NOT(ISNUMBER($J172)),$J172&lt;0,$J172&gt;1),"Actual % must be 0–100%","OK")))))),"Select level"))))))</x:f>
      </x:c>
    </x:row>
    <x:row r="173">
      <x:c r="A173" s="66" t="str" cm="1">
        <x:f t="array" ref="A173">IF(OR(B173="",C173=""),"",IF(C173="Initiative",COUNTIF($C$5:C173,"Initiative"),IF(C173="Milestone",IF(D173="","",D173&amp;"."&amp;COUNTIFS($D$5:D173,D173,$C$5:C173,"Milestone")),IF(OR(C173="Activity",C173="Variation"),IF(D173="","",D173&amp;"."&amp;(COUNTIFS($D$5:D173,D173,$C$5:C173,"Activity")+COUNTIFS($D$5:D173,D173,$C$5:C173,"Variation"))),""))))</x:f>
      </x:c>
      <x:c r="B173" s="19"/>
      <x:c r="C173" s="19"/>
      <x:c r="D173" s="20"/>
      <x:c r="E173" s="21"/>
      <x:c r="F173" s="21"/>
      <x:c r="G173" s="102"/>
      <x:c r="H173" s="102"/>
      <x:c r="I173" s="102"/>
      <x:c r="J173" s="100"/>
      <x:c r="K173" s="7" t="str">
        <x:f>IF($B173="","",IF($C173="Initiative",IF(COUNTIFS($B$174:$B$204,$B173,$C$174:$C$204,"Activity")+COUNTIFS($B$174:$B$204,$B173,$C$174:$C$204,"Variation")=0,"",IF(COUNTIFS($B$174:$B$204,$B173,$C$174:$C$204,"Activity")+COUNTIFS($B$174:$B$204,$B173,$C$174:$C$204,"Variation")&lt;&gt;COUNTIFS($B$174:$B$204,$B173,$C$174:$C$204,"Activity",$G$174:$G$204,"&lt;&gt;",$H$174:$H$204,"&lt;&gt;")+COUNTIFS($B$174:$B$204,$B173,$C$174:$C$204,"Variation",$G$174:$G$204,"&lt;&gt;",$H$174:$H$204,"&lt;&gt;"),"",(SUMIFS($K$174:$K$204,$B$174:$B$204,$B173,$C$174:$C$204,"Activity")+SUMIFS($K$174:$K$204,$B$174:$B$204,$B173,$C$174:$C$204,"Variation"))/(COUNTIFS($B$174:$B$204,$B173,$C$174:$C$204,"Activity")+COUNTIFS($B$174:$B$204,$B173,$C$174:$C$204,"Variation")))),IF($C173="Milestone",IF(COUNTIFS($D$174:$D$204,$A173,$C$174:$C$204,"Activity")+COUNTIFS($D$174:$D$204,$A173,$C$174:$C$204,"Variation")=0,"",IF(COUNTIFS($D$174:$D$204,$A173,$C$174:$C$204,"Activity")+COUNTIFS($D$174:$D$204,$A173,$C$174:$C$204,"Variation")&lt;&gt;COUNTIFS($D$174:$D$204,$A173,$C$174:$C$204,"Activity",$G$174:$G$204,"&lt;&gt;",$H$174:$H$204,"&lt;&gt;")+COUNTIFS($D$174:$D$204,$A173,$C$174:$C$204,"Variation",$G$174:$G$204,"&lt;&gt;",$H$174:$H$204,"&lt;&gt;"),"",(SUMIFS($K$174:$K$204,$D$174:$D$204,$A173,$C$174:$C$204,"Activity")+SUMIFS($K$174:$K$204,$D$174:$D$204,$A173,$C$174:$C$204,"Variation"))/(COUNTIFS($D$174:$D$204,$A173,$C$174:$C$204,"Activity")+COUNTIFS($D$174:$D$204,$A173,$C$174:$C$204,"Variation")))),IF(OR($C173="Activity",$C173="Variation"),IF(OR($G173="",$H173=""),"",IF($H173&lt;$G173,"",IF($H173=$G173,--(TODAY()&gt;=$H173),MAX(0,MIN(1,(TODAY()-$G173)/($H173-$G173)))))),""))))</x:f>
      </x:c>
      <x:c r="L173" s="7" t="str">
        <x:f t="shared" si="6">IF($B173="","",IF($C173="Initiative",IF(COUNTIFS($B$5:$B$204,$B173,$C$5:$C$204,"Activity")+COUNTIFS($B$5:$B$204,$B173,$C$5:$C$204,"Variation")=0,"",IF(COUNTIFS($B$5:$B$204,$B173,$C$5:$C$204,"Activity")+COUNTIFS($B$5:$B$204,$B173,$C$5:$C$204,"Variation")&lt;&gt;COUNTIFS($B$5:$B$204,$B173,$C$5:$C$204,"Activity",$J$5:$J$204,"&lt;&gt;",$J$5:$J$204,"&gt;=0",$J$5:$J$204,"&lt;=1")+COUNTIFS($B$5:$B$204,$B173,$C$5:$C$204,"Variation",$J$5:$J$204,"&lt;&gt;",$J$5:$J$204,"&gt;=0",$J$5:$J$204,"&lt;=1"),"",(SUMIFS($J$5:$J$204,$B$5:$B$204,$B173,$C$5:$C$204,"Activity")+SUMIFS($J$5:$J$204,$B$5:$B$204,$B173,$C$5:$C$204,"Variation"))/(COUNTIFS($B$5:$B$204,$B173,$C$5:$C$204,"Activity")+COUNTIFS($B$5:$B$204,$B173,$C$5:$C$204,"Variation")))),IF($C173="Milestone",IF(COUNTIFS($D$5:$D$204,$A173,$C$5:$C$204,"Activity")+COUNTIFS($D$5:$D$204,$A173,$C$5:$C$204,"Variation")=0,"",IF(COUNTIFS($D$5:$D$204,$A173,$C$5:$C$204,"Activity")+COUNTIFS($D$5:$D$204,$A173,$C$5:$C$204,"Variation")&lt;&gt;COUNTIFS($D$5:$D$204,$A173,$C$5:$C$204,"Activity",$J$5:$J$204,"&lt;&gt;",$J$5:$J$204,"&gt;=0",$J$5:$J$204,"&lt;=1")+COUNTIFS($D$5:$D$204,$A173,$C$5:$C$204,"Variation",$J$5:$J$204,"&lt;&gt;",$J$5:$J$204,"&gt;=0",$J$5:$J$204,"&lt;=1"),"",(SUMIFS($J$5:$J$204,$D$5:$D$204,$A173,$C$5:$C$204,"Activity")+SUMIFS($J$5:$J$204,$D$5:$D$204,$A173,$C$5:$C$204,"Variation"))/(COUNTIFS($D$5:$D$204,$A173,$C$5:$C$204,"Activity")+COUNTIFS($D$5:$D$204,$A173,$C$5:$C$204,"Variation")))),IF(OR($C173="Activity",$C173="Variation"),IF(AND(ISNUMBER($J173),$J173&gt;=0,$J173&lt;=1),$J173,""),""))))</x:f>
      </x:c>
      <x:c r="M173" s="7" t="str">
        <x:f t="shared" si="7">IF(OR($K173="",$L173=""),"",$L173-$K173)</x:f>
      </x:c>
      <x:c r="N173" s="6" t="str">
        <x:f>IF(OR($B173="",$I173="",$L173=""),"",IF(AND($L173&lt;1,$I173&lt;TODAY()),"Late",IF(AND($H173&lt;&gt;"",$I173&gt;$H173),"Forecast Slip","On Plan")))</x:f>
      </x:c>
      <x:c r="O173" s="19"/>
      <x:c r="P173" s="6" t="str">
        <x:f t="shared" si="8">IF($B173="","",IF($A173="","Enter item ID",IF(COUNTIF($A$5:$A$204,$A173)&gt;1,"Duplicate item ID",IF($C173="Initiative",IF($D173&lt;&gt;"","Parent must be blank",IF(COUNTIFS($B$5:$B$204,$B173,$C$5:$C$204,"Initiative")&lt;&gt;1,"One Initiative row required",IF(COUNTIFS($D$5:$D$204,$A173,$C$5:$C$204,"Milestone")=0,"Add milestone","OK"))),IF($C173="Milestone",IF(COUNTIFS($A$5:$A$204,$D173,$B$5:$B$204,$B173,$C$5:$C$204,"Initiative")&lt;&gt;1,"Parent must be Initiative",IF(COUNTIFS($D$5:$D$204,$A173,$C$5:$C$204,"Activity")+COUNTIFS($D$5:$D$204,$A173,$C$5:$C$204,"Variation")=0,"Add activity or variation","OK")),IF(OR($C173="Activity",$C173="Variation"),IF(COUNTIFS($A$5:$A$204,$D173,$B$5:$B$204,$B173,$C$5:$C$204,"Milestone")&lt;&gt;1,"Parent must be Milestone",IF(OR($G173="",$H173=""),"Enter baseline dates",IF($H173&lt;$G173,"Baseline finish before start",IF($I173="","Enter forecast finish",IF(COUNT($J173)=0,"Enter actual %",IF(OR(NOT(ISNUMBER($J173)),$J173&lt;0,$J173&gt;1),"Actual % must be 0–100%","OK")))))),"Select level"))))))</x:f>
      </x:c>
    </x:row>
    <x:row r="174">
      <x:c r="A174" s="66" t="str" cm="1">
        <x:f t="array" ref="A174">IF(OR(B174="",C174=""),"",IF(C174="Initiative",COUNTIF($C$5:C174,"Initiative"),IF(C174="Milestone",IF(D174="","",D174&amp;"."&amp;COUNTIFS($D$5:D174,D174,$C$5:C174,"Milestone")),IF(OR(C174="Activity",C174="Variation"),IF(D174="","",D174&amp;"."&amp;(COUNTIFS($D$5:D174,D174,$C$5:C174,"Activity")+COUNTIFS($D$5:D174,D174,$C$5:C174,"Variation"))),""))))</x:f>
      </x:c>
      <x:c r="B174" s="19"/>
      <x:c r="C174" s="19"/>
      <x:c r="D174" s="20"/>
      <x:c r="E174" s="21"/>
      <x:c r="F174" s="21"/>
      <x:c r="G174" s="102"/>
      <x:c r="H174" s="102"/>
      <x:c r="I174" s="102"/>
      <x:c r="J174" s="100"/>
      <x:c r="K174" s="7" t="str">
        <x:f>IF($B174="","",IF($C174="Initiative",IF(COUNTIFS($B$175:$B$204,$B174,$C$175:$C$204,"Activity")+COUNTIFS($B$175:$B$204,$B174,$C$175:$C$204,"Variation")=0,"",IF(COUNTIFS($B$175:$B$204,$B174,$C$175:$C$204,"Activity")+COUNTIFS($B$175:$B$204,$B174,$C$175:$C$204,"Variation")&lt;&gt;COUNTIFS($B$175:$B$204,$B174,$C$175:$C$204,"Activity",$G$175:$G$204,"&lt;&gt;",$H$175:$H$204,"&lt;&gt;")+COUNTIFS($B$175:$B$204,$B174,$C$175:$C$204,"Variation",$G$175:$G$204,"&lt;&gt;",$H$175:$H$204,"&lt;&gt;"),"",(SUMIFS($K$175:$K$204,$B$175:$B$204,$B174,$C$175:$C$204,"Activity")+SUMIFS($K$175:$K$204,$B$175:$B$204,$B174,$C$175:$C$204,"Variation"))/(COUNTIFS($B$175:$B$204,$B174,$C$175:$C$204,"Activity")+COUNTIFS($B$175:$B$204,$B174,$C$175:$C$204,"Variation")))),IF($C174="Milestone",IF(COUNTIFS($D$175:$D$204,$A174,$C$175:$C$204,"Activity")+COUNTIFS($D$175:$D$204,$A174,$C$175:$C$204,"Variation")=0,"",IF(COUNTIFS($D$175:$D$204,$A174,$C$175:$C$204,"Activity")+COUNTIFS($D$175:$D$204,$A174,$C$175:$C$204,"Variation")&lt;&gt;COUNTIFS($D$175:$D$204,$A174,$C$175:$C$204,"Activity",$G$175:$G$204,"&lt;&gt;",$H$175:$H$204,"&lt;&gt;")+COUNTIFS($D$175:$D$204,$A174,$C$175:$C$204,"Variation",$G$175:$G$204,"&lt;&gt;",$H$175:$H$204,"&lt;&gt;"),"",(SUMIFS($K$175:$K$204,$D$175:$D$204,$A174,$C$175:$C$204,"Activity")+SUMIFS($K$175:$K$204,$D$175:$D$204,$A174,$C$175:$C$204,"Variation"))/(COUNTIFS($D$175:$D$204,$A174,$C$175:$C$204,"Activity")+COUNTIFS($D$175:$D$204,$A174,$C$175:$C$204,"Variation")))),IF(OR($C174="Activity",$C174="Variation"),IF(OR($G174="",$H174=""),"",IF($H174&lt;$G174,"",IF($H174=$G174,--(TODAY()&gt;=$H174),MAX(0,MIN(1,(TODAY()-$G174)/($H174-$G174)))))),""))))</x:f>
      </x:c>
      <x:c r="L174" s="7" t="str">
        <x:f t="shared" si="6">IF($B174="","",IF($C174="Initiative",IF(COUNTIFS($B$5:$B$204,$B174,$C$5:$C$204,"Activity")+COUNTIFS($B$5:$B$204,$B174,$C$5:$C$204,"Variation")=0,"",IF(COUNTIFS($B$5:$B$204,$B174,$C$5:$C$204,"Activity")+COUNTIFS($B$5:$B$204,$B174,$C$5:$C$204,"Variation")&lt;&gt;COUNTIFS($B$5:$B$204,$B174,$C$5:$C$204,"Activity",$J$5:$J$204,"&lt;&gt;",$J$5:$J$204,"&gt;=0",$J$5:$J$204,"&lt;=1")+COUNTIFS($B$5:$B$204,$B174,$C$5:$C$204,"Variation",$J$5:$J$204,"&lt;&gt;",$J$5:$J$204,"&gt;=0",$J$5:$J$204,"&lt;=1"),"",(SUMIFS($J$5:$J$204,$B$5:$B$204,$B174,$C$5:$C$204,"Activity")+SUMIFS($J$5:$J$204,$B$5:$B$204,$B174,$C$5:$C$204,"Variation"))/(COUNTIFS($B$5:$B$204,$B174,$C$5:$C$204,"Activity")+COUNTIFS($B$5:$B$204,$B174,$C$5:$C$204,"Variation")))),IF($C174="Milestone",IF(COUNTIFS($D$5:$D$204,$A174,$C$5:$C$204,"Activity")+COUNTIFS($D$5:$D$204,$A174,$C$5:$C$204,"Variation")=0,"",IF(COUNTIFS($D$5:$D$204,$A174,$C$5:$C$204,"Activity")+COUNTIFS($D$5:$D$204,$A174,$C$5:$C$204,"Variation")&lt;&gt;COUNTIFS($D$5:$D$204,$A174,$C$5:$C$204,"Activity",$J$5:$J$204,"&lt;&gt;",$J$5:$J$204,"&gt;=0",$J$5:$J$204,"&lt;=1")+COUNTIFS($D$5:$D$204,$A174,$C$5:$C$204,"Variation",$J$5:$J$204,"&lt;&gt;",$J$5:$J$204,"&gt;=0",$J$5:$J$204,"&lt;=1"),"",(SUMIFS($J$5:$J$204,$D$5:$D$204,$A174,$C$5:$C$204,"Activity")+SUMIFS($J$5:$J$204,$D$5:$D$204,$A174,$C$5:$C$204,"Variation"))/(COUNTIFS($D$5:$D$204,$A174,$C$5:$C$204,"Activity")+COUNTIFS($D$5:$D$204,$A174,$C$5:$C$204,"Variation")))),IF(OR($C174="Activity",$C174="Variation"),IF(AND(ISNUMBER($J174),$J174&gt;=0,$J174&lt;=1),$J174,""),""))))</x:f>
      </x:c>
      <x:c r="M174" s="7" t="str">
        <x:f t="shared" si="7">IF(OR($K174="",$L174=""),"",$L174-$K174)</x:f>
      </x:c>
      <x:c r="N174" s="6" t="str">
        <x:f>IF(OR($B174="",$I174="",$L174=""),"",IF(AND($L174&lt;1,$I174&lt;TODAY()),"Late",IF(AND($H174&lt;&gt;"",$I174&gt;$H174),"Forecast Slip","On Plan")))</x:f>
      </x:c>
      <x:c r="O174" s="19"/>
      <x:c r="P174" s="6" t="str">
        <x:f t="shared" si="8">IF($B174="","",IF($A174="","Enter item ID",IF(COUNTIF($A$5:$A$204,$A174)&gt;1,"Duplicate item ID",IF($C174="Initiative",IF($D174&lt;&gt;"","Parent must be blank",IF(COUNTIFS($B$5:$B$204,$B174,$C$5:$C$204,"Initiative")&lt;&gt;1,"One Initiative row required",IF(COUNTIFS($D$5:$D$204,$A174,$C$5:$C$204,"Milestone")=0,"Add milestone","OK"))),IF($C174="Milestone",IF(COUNTIFS($A$5:$A$204,$D174,$B$5:$B$204,$B174,$C$5:$C$204,"Initiative")&lt;&gt;1,"Parent must be Initiative",IF(COUNTIFS($D$5:$D$204,$A174,$C$5:$C$204,"Activity")+COUNTIFS($D$5:$D$204,$A174,$C$5:$C$204,"Variation")=0,"Add activity or variation","OK")),IF(OR($C174="Activity",$C174="Variation"),IF(COUNTIFS($A$5:$A$204,$D174,$B$5:$B$204,$B174,$C$5:$C$204,"Milestone")&lt;&gt;1,"Parent must be Milestone",IF(OR($G174="",$H174=""),"Enter baseline dates",IF($H174&lt;$G174,"Baseline finish before start",IF($I174="","Enter forecast finish",IF(COUNT($J174)=0,"Enter actual %",IF(OR(NOT(ISNUMBER($J174)),$J174&lt;0,$J174&gt;1),"Actual % must be 0–100%","OK")))))),"Select level"))))))</x:f>
      </x:c>
    </x:row>
    <x:row r="175">
      <x:c r="A175" s="66" t="str" cm="1">
        <x:f t="array" ref="A175">IF(OR(B175="",C175=""),"",IF(C175="Initiative",COUNTIF($C$5:C175,"Initiative"),IF(C175="Milestone",IF(D175="","",D175&amp;"."&amp;COUNTIFS($D$5:D175,D175,$C$5:C175,"Milestone")),IF(OR(C175="Activity",C175="Variation"),IF(D175="","",D175&amp;"."&amp;(COUNTIFS($D$5:D175,D175,$C$5:C175,"Activity")+COUNTIFS($D$5:D175,D175,$C$5:C175,"Variation"))),""))))</x:f>
      </x:c>
      <x:c r="B175" s="19"/>
      <x:c r="C175" s="19"/>
      <x:c r="D175" s="20"/>
      <x:c r="E175" s="21"/>
      <x:c r="F175" s="21"/>
      <x:c r="G175" s="102"/>
      <x:c r="H175" s="102"/>
      <x:c r="I175" s="102"/>
      <x:c r="J175" s="100"/>
      <x:c r="K175" s="7" t="str">
        <x:f>IF($B175="","",IF($C175="Initiative",IF(COUNTIFS($B$176:$B$204,$B175,$C$176:$C$204,"Activity")+COUNTIFS($B$176:$B$204,$B175,$C$176:$C$204,"Variation")=0,"",IF(COUNTIFS($B$176:$B$204,$B175,$C$176:$C$204,"Activity")+COUNTIFS($B$176:$B$204,$B175,$C$176:$C$204,"Variation")&lt;&gt;COUNTIFS($B$176:$B$204,$B175,$C$176:$C$204,"Activity",$G$176:$G$204,"&lt;&gt;",$H$176:$H$204,"&lt;&gt;")+COUNTIFS($B$176:$B$204,$B175,$C$176:$C$204,"Variation",$G$176:$G$204,"&lt;&gt;",$H$176:$H$204,"&lt;&gt;"),"",(SUMIFS($K$176:$K$204,$B$176:$B$204,$B175,$C$176:$C$204,"Activity")+SUMIFS($K$176:$K$204,$B$176:$B$204,$B175,$C$176:$C$204,"Variation"))/(COUNTIFS($B$176:$B$204,$B175,$C$176:$C$204,"Activity")+COUNTIFS($B$176:$B$204,$B175,$C$176:$C$204,"Variation")))),IF($C175="Milestone",IF(COUNTIFS($D$176:$D$204,$A175,$C$176:$C$204,"Activity")+COUNTIFS($D$176:$D$204,$A175,$C$176:$C$204,"Variation")=0,"",IF(COUNTIFS($D$176:$D$204,$A175,$C$176:$C$204,"Activity")+COUNTIFS($D$176:$D$204,$A175,$C$176:$C$204,"Variation")&lt;&gt;COUNTIFS($D$176:$D$204,$A175,$C$176:$C$204,"Activity",$G$176:$G$204,"&lt;&gt;",$H$176:$H$204,"&lt;&gt;")+COUNTIFS($D$176:$D$204,$A175,$C$176:$C$204,"Variation",$G$176:$G$204,"&lt;&gt;",$H$176:$H$204,"&lt;&gt;"),"",(SUMIFS($K$176:$K$204,$D$176:$D$204,$A175,$C$176:$C$204,"Activity")+SUMIFS($K$176:$K$204,$D$176:$D$204,$A175,$C$176:$C$204,"Variation"))/(COUNTIFS($D$176:$D$204,$A175,$C$176:$C$204,"Activity")+COUNTIFS($D$176:$D$204,$A175,$C$176:$C$204,"Variation")))),IF(OR($C175="Activity",$C175="Variation"),IF(OR($G175="",$H175=""),"",IF($H175&lt;$G175,"",IF($H175=$G175,--(TODAY()&gt;=$H175),MAX(0,MIN(1,(TODAY()-$G175)/($H175-$G175)))))),""))))</x:f>
      </x:c>
      <x:c r="L175" s="7" t="str">
        <x:f t="shared" si="6">IF($B175="","",IF($C175="Initiative",IF(COUNTIFS($B$5:$B$204,$B175,$C$5:$C$204,"Activity")+COUNTIFS($B$5:$B$204,$B175,$C$5:$C$204,"Variation")=0,"",IF(COUNTIFS($B$5:$B$204,$B175,$C$5:$C$204,"Activity")+COUNTIFS($B$5:$B$204,$B175,$C$5:$C$204,"Variation")&lt;&gt;COUNTIFS($B$5:$B$204,$B175,$C$5:$C$204,"Activity",$J$5:$J$204,"&lt;&gt;",$J$5:$J$204,"&gt;=0",$J$5:$J$204,"&lt;=1")+COUNTIFS($B$5:$B$204,$B175,$C$5:$C$204,"Variation",$J$5:$J$204,"&lt;&gt;",$J$5:$J$204,"&gt;=0",$J$5:$J$204,"&lt;=1"),"",(SUMIFS($J$5:$J$204,$B$5:$B$204,$B175,$C$5:$C$204,"Activity")+SUMIFS($J$5:$J$204,$B$5:$B$204,$B175,$C$5:$C$204,"Variation"))/(COUNTIFS($B$5:$B$204,$B175,$C$5:$C$204,"Activity")+COUNTIFS($B$5:$B$204,$B175,$C$5:$C$204,"Variation")))),IF($C175="Milestone",IF(COUNTIFS($D$5:$D$204,$A175,$C$5:$C$204,"Activity")+COUNTIFS($D$5:$D$204,$A175,$C$5:$C$204,"Variation")=0,"",IF(COUNTIFS($D$5:$D$204,$A175,$C$5:$C$204,"Activity")+COUNTIFS($D$5:$D$204,$A175,$C$5:$C$204,"Variation")&lt;&gt;COUNTIFS($D$5:$D$204,$A175,$C$5:$C$204,"Activity",$J$5:$J$204,"&lt;&gt;",$J$5:$J$204,"&gt;=0",$J$5:$J$204,"&lt;=1")+COUNTIFS($D$5:$D$204,$A175,$C$5:$C$204,"Variation",$J$5:$J$204,"&lt;&gt;",$J$5:$J$204,"&gt;=0",$J$5:$J$204,"&lt;=1"),"",(SUMIFS($J$5:$J$204,$D$5:$D$204,$A175,$C$5:$C$204,"Activity")+SUMIFS($J$5:$J$204,$D$5:$D$204,$A175,$C$5:$C$204,"Variation"))/(COUNTIFS($D$5:$D$204,$A175,$C$5:$C$204,"Activity")+COUNTIFS($D$5:$D$204,$A175,$C$5:$C$204,"Variation")))),IF(OR($C175="Activity",$C175="Variation"),IF(AND(ISNUMBER($J175),$J175&gt;=0,$J175&lt;=1),$J175,""),""))))</x:f>
      </x:c>
      <x:c r="M175" s="7" t="str">
        <x:f t="shared" si="7">IF(OR($K175="",$L175=""),"",$L175-$K175)</x:f>
      </x:c>
      <x:c r="N175" s="6" t="str">
        <x:f>IF(OR($B175="",$I175="",$L175=""),"",IF(AND($L175&lt;1,$I175&lt;TODAY()),"Late",IF(AND($H175&lt;&gt;"",$I175&gt;$H175),"Forecast Slip","On Plan")))</x:f>
      </x:c>
      <x:c r="O175" s="19"/>
      <x:c r="P175" s="6" t="str">
        <x:f t="shared" si="8">IF($B175="","",IF($A175="","Enter item ID",IF(COUNTIF($A$5:$A$204,$A175)&gt;1,"Duplicate item ID",IF($C175="Initiative",IF($D175&lt;&gt;"","Parent must be blank",IF(COUNTIFS($B$5:$B$204,$B175,$C$5:$C$204,"Initiative")&lt;&gt;1,"One Initiative row required",IF(COUNTIFS($D$5:$D$204,$A175,$C$5:$C$204,"Milestone")=0,"Add milestone","OK"))),IF($C175="Milestone",IF(COUNTIFS($A$5:$A$204,$D175,$B$5:$B$204,$B175,$C$5:$C$204,"Initiative")&lt;&gt;1,"Parent must be Initiative",IF(COUNTIFS($D$5:$D$204,$A175,$C$5:$C$204,"Activity")+COUNTIFS($D$5:$D$204,$A175,$C$5:$C$204,"Variation")=0,"Add activity or variation","OK")),IF(OR($C175="Activity",$C175="Variation"),IF(COUNTIFS($A$5:$A$204,$D175,$B$5:$B$204,$B175,$C$5:$C$204,"Milestone")&lt;&gt;1,"Parent must be Milestone",IF(OR($G175="",$H175=""),"Enter baseline dates",IF($H175&lt;$G175,"Baseline finish before start",IF($I175="","Enter forecast finish",IF(COUNT($J175)=0,"Enter actual %",IF(OR(NOT(ISNUMBER($J175)),$J175&lt;0,$J175&gt;1),"Actual % must be 0–100%","OK")))))),"Select level"))))))</x:f>
      </x:c>
    </x:row>
    <x:row r="176">
      <x:c r="A176" s="66" t="str" cm="1">
        <x:f t="array" ref="A176">IF(OR(B176="",C176=""),"",IF(C176="Initiative",COUNTIF($C$5:C176,"Initiative"),IF(C176="Milestone",IF(D176="","",D176&amp;"."&amp;COUNTIFS($D$5:D176,D176,$C$5:C176,"Milestone")),IF(OR(C176="Activity",C176="Variation"),IF(D176="","",D176&amp;"."&amp;(COUNTIFS($D$5:D176,D176,$C$5:C176,"Activity")+COUNTIFS($D$5:D176,D176,$C$5:C176,"Variation"))),""))))</x:f>
      </x:c>
      <x:c r="B176" s="19"/>
      <x:c r="C176" s="19"/>
      <x:c r="D176" s="20"/>
      <x:c r="E176" s="21"/>
      <x:c r="F176" s="21"/>
      <x:c r="G176" s="102"/>
      <x:c r="H176" s="102"/>
      <x:c r="I176" s="102"/>
      <x:c r="J176" s="100"/>
      <x:c r="K176" s="7" t="str">
        <x:f>IF($B176="","",IF($C176="Initiative",IF(COUNTIFS($B$177:$B$204,$B176,$C$177:$C$204,"Activity")+COUNTIFS($B$177:$B$204,$B176,$C$177:$C$204,"Variation")=0,"",IF(COUNTIFS($B$177:$B$204,$B176,$C$177:$C$204,"Activity")+COUNTIFS($B$177:$B$204,$B176,$C$177:$C$204,"Variation")&lt;&gt;COUNTIFS($B$177:$B$204,$B176,$C$177:$C$204,"Activity",$G$177:$G$204,"&lt;&gt;",$H$177:$H$204,"&lt;&gt;")+COUNTIFS($B$177:$B$204,$B176,$C$177:$C$204,"Variation",$G$177:$G$204,"&lt;&gt;",$H$177:$H$204,"&lt;&gt;"),"",(SUMIFS($K$177:$K$204,$B$177:$B$204,$B176,$C$177:$C$204,"Activity")+SUMIFS($K$177:$K$204,$B$177:$B$204,$B176,$C$177:$C$204,"Variation"))/(COUNTIFS($B$177:$B$204,$B176,$C$177:$C$204,"Activity")+COUNTIFS($B$177:$B$204,$B176,$C$177:$C$204,"Variation")))),IF($C176="Milestone",IF(COUNTIFS($D$177:$D$204,$A176,$C$177:$C$204,"Activity")+COUNTIFS($D$177:$D$204,$A176,$C$177:$C$204,"Variation")=0,"",IF(COUNTIFS($D$177:$D$204,$A176,$C$177:$C$204,"Activity")+COUNTIFS($D$177:$D$204,$A176,$C$177:$C$204,"Variation")&lt;&gt;COUNTIFS($D$177:$D$204,$A176,$C$177:$C$204,"Activity",$G$177:$G$204,"&lt;&gt;",$H$177:$H$204,"&lt;&gt;")+COUNTIFS($D$177:$D$204,$A176,$C$177:$C$204,"Variation",$G$177:$G$204,"&lt;&gt;",$H$177:$H$204,"&lt;&gt;"),"",(SUMIFS($K$177:$K$204,$D$177:$D$204,$A176,$C$177:$C$204,"Activity")+SUMIFS($K$177:$K$204,$D$177:$D$204,$A176,$C$177:$C$204,"Variation"))/(COUNTIFS($D$177:$D$204,$A176,$C$177:$C$204,"Activity")+COUNTIFS($D$177:$D$204,$A176,$C$177:$C$204,"Variation")))),IF(OR($C176="Activity",$C176="Variation"),IF(OR($G176="",$H176=""),"",IF($H176&lt;$G176,"",IF($H176=$G176,--(TODAY()&gt;=$H176),MAX(0,MIN(1,(TODAY()-$G176)/($H176-$G176)))))),""))))</x:f>
      </x:c>
      <x:c r="L176" s="7" t="str">
        <x:f t="shared" si="6">IF($B176="","",IF($C176="Initiative",IF(COUNTIFS($B$5:$B$204,$B176,$C$5:$C$204,"Activity")+COUNTIFS($B$5:$B$204,$B176,$C$5:$C$204,"Variation")=0,"",IF(COUNTIFS($B$5:$B$204,$B176,$C$5:$C$204,"Activity")+COUNTIFS($B$5:$B$204,$B176,$C$5:$C$204,"Variation")&lt;&gt;COUNTIFS($B$5:$B$204,$B176,$C$5:$C$204,"Activity",$J$5:$J$204,"&lt;&gt;",$J$5:$J$204,"&gt;=0",$J$5:$J$204,"&lt;=1")+COUNTIFS($B$5:$B$204,$B176,$C$5:$C$204,"Variation",$J$5:$J$204,"&lt;&gt;",$J$5:$J$204,"&gt;=0",$J$5:$J$204,"&lt;=1"),"",(SUMIFS($J$5:$J$204,$B$5:$B$204,$B176,$C$5:$C$204,"Activity")+SUMIFS($J$5:$J$204,$B$5:$B$204,$B176,$C$5:$C$204,"Variation"))/(COUNTIFS($B$5:$B$204,$B176,$C$5:$C$204,"Activity")+COUNTIFS($B$5:$B$204,$B176,$C$5:$C$204,"Variation")))),IF($C176="Milestone",IF(COUNTIFS($D$5:$D$204,$A176,$C$5:$C$204,"Activity")+COUNTIFS($D$5:$D$204,$A176,$C$5:$C$204,"Variation")=0,"",IF(COUNTIFS($D$5:$D$204,$A176,$C$5:$C$204,"Activity")+COUNTIFS($D$5:$D$204,$A176,$C$5:$C$204,"Variation")&lt;&gt;COUNTIFS($D$5:$D$204,$A176,$C$5:$C$204,"Activity",$J$5:$J$204,"&lt;&gt;",$J$5:$J$204,"&gt;=0",$J$5:$J$204,"&lt;=1")+COUNTIFS($D$5:$D$204,$A176,$C$5:$C$204,"Variation",$J$5:$J$204,"&lt;&gt;",$J$5:$J$204,"&gt;=0",$J$5:$J$204,"&lt;=1"),"",(SUMIFS($J$5:$J$204,$D$5:$D$204,$A176,$C$5:$C$204,"Activity")+SUMIFS($J$5:$J$204,$D$5:$D$204,$A176,$C$5:$C$204,"Variation"))/(COUNTIFS($D$5:$D$204,$A176,$C$5:$C$204,"Activity")+COUNTIFS($D$5:$D$204,$A176,$C$5:$C$204,"Variation")))),IF(OR($C176="Activity",$C176="Variation"),IF(AND(ISNUMBER($J176),$J176&gt;=0,$J176&lt;=1),$J176,""),""))))</x:f>
      </x:c>
      <x:c r="M176" s="7" t="str">
        <x:f t="shared" si="7">IF(OR($K176="",$L176=""),"",$L176-$K176)</x:f>
      </x:c>
      <x:c r="N176" s="6" t="str">
        <x:f>IF(OR($B176="",$I176="",$L176=""),"",IF(AND($L176&lt;1,$I176&lt;TODAY()),"Late",IF(AND($H176&lt;&gt;"",$I176&gt;$H176),"Forecast Slip","On Plan")))</x:f>
      </x:c>
      <x:c r="O176" s="19"/>
      <x:c r="P176" s="6" t="str">
        <x:f t="shared" si="8">IF($B176="","",IF($A176="","Enter item ID",IF(COUNTIF($A$5:$A$204,$A176)&gt;1,"Duplicate item ID",IF($C176="Initiative",IF($D176&lt;&gt;"","Parent must be blank",IF(COUNTIFS($B$5:$B$204,$B176,$C$5:$C$204,"Initiative")&lt;&gt;1,"One Initiative row required",IF(COUNTIFS($D$5:$D$204,$A176,$C$5:$C$204,"Milestone")=0,"Add milestone","OK"))),IF($C176="Milestone",IF(COUNTIFS($A$5:$A$204,$D176,$B$5:$B$204,$B176,$C$5:$C$204,"Initiative")&lt;&gt;1,"Parent must be Initiative",IF(COUNTIFS($D$5:$D$204,$A176,$C$5:$C$204,"Activity")+COUNTIFS($D$5:$D$204,$A176,$C$5:$C$204,"Variation")=0,"Add activity or variation","OK")),IF(OR($C176="Activity",$C176="Variation"),IF(COUNTIFS($A$5:$A$204,$D176,$B$5:$B$204,$B176,$C$5:$C$204,"Milestone")&lt;&gt;1,"Parent must be Milestone",IF(OR($G176="",$H176=""),"Enter baseline dates",IF($H176&lt;$G176,"Baseline finish before start",IF($I176="","Enter forecast finish",IF(COUNT($J176)=0,"Enter actual %",IF(OR(NOT(ISNUMBER($J176)),$J176&lt;0,$J176&gt;1),"Actual % must be 0–100%","OK")))))),"Select level"))))))</x:f>
      </x:c>
    </x:row>
    <x:row r="177">
      <x:c r="A177" s="66" t="str" cm="1">
        <x:f t="array" ref="A177">IF(OR(B177="",C177=""),"",IF(C177="Initiative",COUNTIF($C$5:C177,"Initiative"),IF(C177="Milestone",IF(D177="","",D177&amp;"."&amp;COUNTIFS($D$5:D177,D177,$C$5:C177,"Milestone")),IF(OR(C177="Activity",C177="Variation"),IF(D177="","",D177&amp;"."&amp;(COUNTIFS($D$5:D177,D177,$C$5:C177,"Activity")+COUNTIFS($D$5:D177,D177,$C$5:C177,"Variation"))),""))))</x:f>
      </x:c>
      <x:c r="B177" s="19"/>
      <x:c r="C177" s="19"/>
      <x:c r="D177" s="20"/>
      <x:c r="E177" s="21"/>
      <x:c r="F177" s="21"/>
      <x:c r="G177" s="102"/>
      <x:c r="H177" s="102"/>
      <x:c r="I177" s="102"/>
      <x:c r="J177" s="100"/>
      <x:c r="K177" s="7" t="str">
        <x:f>IF($B177="","",IF($C177="Initiative",IF(COUNTIFS($B$178:$B$204,$B177,$C$178:$C$204,"Activity")+COUNTIFS($B$178:$B$204,$B177,$C$178:$C$204,"Variation")=0,"",IF(COUNTIFS($B$178:$B$204,$B177,$C$178:$C$204,"Activity")+COUNTIFS($B$178:$B$204,$B177,$C$178:$C$204,"Variation")&lt;&gt;COUNTIFS($B$178:$B$204,$B177,$C$178:$C$204,"Activity",$G$178:$G$204,"&lt;&gt;",$H$178:$H$204,"&lt;&gt;")+COUNTIFS($B$178:$B$204,$B177,$C$178:$C$204,"Variation",$G$178:$G$204,"&lt;&gt;",$H$178:$H$204,"&lt;&gt;"),"",(SUMIFS($K$178:$K$204,$B$178:$B$204,$B177,$C$178:$C$204,"Activity")+SUMIFS($K$178:$K$204,$B$178:$B$204,$B177,$C$178:$C$204,"Variation"))/(COUNTIFS($B$178:$B$204,$B177,$C$178:$C$204,"Activity")+COUNTIFS($B$178:$B$204,$B177,$C$178:$C$204,"Variation")))),IF($C177="Milestone",IF(COUNTIFS($D$178:$D$204,$A177,$C$178:$C$204,"Activity")+COUNTIFS($D$178:$D$204,$A177,$C$178:$C$204,"Variation")=0,"",IF(COUNTIFS($D$178:$D$204,$A177,$C$178:$C$204,"Activity")+COUNTIFS($D$178:$D$204,$A177,$C$178:$C$204,"Variation")&lt;&gt;COUNTIFS($D$178:$D$204,$A177,$C$178:$C$204,"Activity",$G$178:$G$204,"&lt;&gt;",$H$178:$H$204,"&lt;&gt;")+COUNTIFS($D$178:$D$204,$A177,$C$178:$C$204,"Variation",$G$178:$G$204,"&lt;&gt;",$H$178:$H$204,"&lt;&gt;"),"",(SUMIFS($K$178:$K$204,$D$178:$D$204,$A177,$C$178:$C$204,"Activity")+SUMIFS($K$178:$K$204,$D$178:$D$204,$A177,$C$178:$C$204,"Variation"))/(COUNTIFS($D$178:$D$204,$A177,$C$178:$C$204,"Activity")+COUNTIFS($D$178:$D$204,$A177,$C$178:$C$204,"Variation")))),IF(OR($C177="Activity",$C177="Variation"),IF(OR($G177="",$H177=""),"",IF($H177&lt;$G177,"",IF($H177=$G177,--(TODAY()&gt;=$H177),MAX(0,MIN(1,(TODAY()-$G177)/($H177-$G177)))))),""))))</x:f>
      </x:c>
      <x:c r="L177" s="7" t="str">
        <x:f t="shared" si="6">IF($B177="","",IF($C177="Initiative",IF(COUNTIFS($B$5:$B$204,$B177,$C$5:$C$204,"Activity")+COUNTIFS($B$5:$B$204,$B177,$C$5:$C$204,"Variation")=0,"",IF(COUNTIFS($B$5:$B$204,$B177,$C$5:$C$204,"Activity")+COUNTIFS($B$5:$B$204,$B177,$C$5:$C$204,"Variation")&lt;&gt;COUNTIFS($B$5:$B$204,$B177,$C$5:$C$204,"Activity",$J$5:$J$204,"&lt;&gt;",$J$5:$J$204,"&gt;=0",$J$5:$J$204,"&lt;=1")+COUNTIFS($B$5:$B$204,$B177,$C$5:$C$204,"Variation",$J$5:$J$204,"&lt;&gt;",$J$5:$J$204,"&gt;=0",$J$5:$J$204,"&lt;=1"),"",(SUMIFS($J$5:$J$204,$B$5:$B$204,$B177,$C$5:$C$204,"Activity")+SUMIFS($J$5:$J$204,$B$5:$B$204,$B177,$C$5:$C$204,"Variation"))/(COUNTIFS($B$5:$B$204,$B177,$C$5:$C$204,"Activity")+COUNTIFS($B$5:$B$204,$B177,$C$5:$C$204,"Variation")))),IF($C177="Milestone",IF(COUNTIFS($D$5:$D$204,$A177,$C$5:$C$204,"Activity")+COUNTIFS($D$5:$D$204,$A177,$C$5:$C$204,"Variation")=0,"",IF(COUNTIFS($D$5:$D$204,$A177,$C$5:$C$204,"Activity")+COUNTIFS($D$5:$D$204,$A177,$C$5:$C$204,"Variation")&lt;&gt;COUNTIFS($D$5:$D$204,$A177,$C$5:$C$204,"Activity",$J$5:$J$204,"&lt;&gt;",$J$5:$J$204,"&gt;=0",$J$5:$J$204,"&lt;=1")+COUNTIFS($D$5:$D$204,$A177,$C$5:$C$204,"Variation",$J$5:$J$204,"&lt;&gt;",$J$5:$J$204,"&gt;=0",$J$5:$J$204,"&lt;=1"),"",(SUMIFS($J$5:$J$204,$D$5:$D$204,$A177,$C$5:$C$204,"Activity")+SUMIFS($J$5:$J$204,$D$5:$D$204,$A177,$C$5:$C$204,"Variation"))/(COUNTIFS($D$5:$D$204,$A177,$C$5:$C$204,"Activity")+COUNTIFS($D$5:$D$204,$A177,$C$5:$C$204,"Variation")))),IF(OR($C177="Activity",$C177="Variation"),IF(AND(ISNUMBER($J177),$J177&gt;=0,$J177&lt;=1),$J177,""),""))))</x:f>
      </x:c>
      <x:c r="M177" s="7" t="str">
        <x:f t="shared" si="7">IF(OR($K177="",$L177=""),"",$L177-$K177)</x:f>
      </x:c>
      <x:c r="N177" s="6" t="str">
        <x:f>IF(OR($B177="",$I177="",$L177=""),"",IF(AND($L177&lt;1,$I177&lt;TODAY()),"Late",IF(AND($H177&lt;&gt;"",$I177&gt;$H177),"Forecast Slip","On Plan")))</x:f>
      </x:c>
      <x:c r="O177" s="19"/>
      <x:c r="P177" s="6" t="str">
        <x:f t="shared" si="8">IF($B177="","",IF($A177="","Enter item ID",IF(COUNTIF($A$5:$A$204,$A177)&gt;1,"Duplicate item ID",IF($C177="Initiative",IF($D177&lt;&gt;"","Parent must be blank",IF(COUNTIFS($B$5:$B$204,$B177,$C$5:$C$204,"Initiative")&lt;&gt;1,"One Initiative row required",IF(COUNTIFS($D$5:$D$204,$A177,$C$5:$C$204,"Milestone")=0,"Add milestone","OK"))),IF($C177="Milestone",IF(COUNTIFS($A$5:$A$204,$D177,$B$5:$B$204,$B177,$C$5:$C$204,"Initiative")&lt;&gt;1,"Parent must be Initiative",IF(COUNTIFS($D$5:$D$204,$A177,$C$5:$C$204,"Activity")+COUNTIFS($D$5:$D$204,$A177,$C$5:$C$204,"Variation")=0,"Add activity or variation","OK")),IF(OR($C177="Activity",$C177="Variation"),IF(COUNTIFS($A$5:$A$204,$D177,$B$5:$B$204,$B177,$C$5:$C$204,"Milestone")&lt;&gt;1,"Parent must be Milestone",IF(OR($G177="",$H177=""),"Enter baseline dates",IF($H177&lt;$G177,"Baseline finish before start",IF($I177="","Enter forecast finish",IF(COUNT($J177)=0,"Enter actual %",IF(OR(NOT(ISNUMBER($J177)),$J177&lt;0,$J177&gt;1),"Actual % must be 0–100%","OK")))))),"Select level"))))))</x:f>
      </x:c>
    </x:row>
    <x:row r="178">
      <x:c r="A178" s="66" t="str" cm="1">
        <x:f t="array" ref="A178">IF(OR(B178="",C178=""),"",IF(C178="Initiative",COUNTIF($C$5:C178,"Initiative"),IF(C178="Milestone",IF(D178="","",D178&amp;"."&amp;COUNTIFS($D$5:D178,D178,$C$5:C178,"Milestone")),IF(OR(C178="Activity",C178="Variation"),IF(D178="","",D178&amp;"."&amp;(COUNTIFS($D$5:D178,D178,$C$5:C178,"Activity")+COUNTIFS($D$5:D178,D178,$C$5:C178,"Variation"))),""))))</x:f>
      </x:c>
      <x:c r="B178" s="19"/>
      <x:c r="C178" s="19"/>
      <x:c r="D178" s="20"/>
      <x:c r="E178" s="21"/>
      <x:c r="F178" s="21"/>
      <x:c r="G178" s="102"/>
      <x:c r="H178" s="102"/>
      <x:c r="I178" s="102"/>
      <x:c r="J178" s="100"/>
      <x:c r="K178" s="7" t="str">
        <x:f>IF($B178="","",IF($C178="Initiative",IF(COUNTIFS($B$179:$B$204,$B178,$C$179:$C$204,"Activity")+COUNTIFS($B$179:$B$204,$B178,$C$179:$C$204,"Variation")=0,"",IF(COUNTIFS($B$179:$B$204,$B178,$C$179:$C$204,"Activity")+COUNTIFS($B$179:$B$204,$B178,$C$179:$C$204,"Variation")&lt;&gt;COUNTIFS($B$179:$B$204,$B178,$C$179:$C$204,"Activity",$G$179:$G$204,"&lt;&gt;",$H$179:$H$204,"&lt;&gt;")+COUNTIFS($B$179:$B$204,$B178,$C$179:$C$204,"Variation",$G$179:$G$204,"&lt;&gt;",$H$179:$H$204,"&lt;&gt;"),"",(SUMIFS($K$179:$K$204,$B$179:$B$204,$B178,$C$179:$C$204,"Activity")+SUMIFS($K$179:$K$204,$B$179:$B$204,$B178,$C$179:$C$204,"Variation"))/(COUNTIFS($B$179:$B$204,$B178,$C$179:$C$204,"Activity")+COUNTIFS($B$179:$B$204,$B178,$C$179:$C$204,"Variation")))),IF($C178="Milestone",IF(COUNTIFS($D$179:$D$204,$A178,$C$179:$C$204,"Activity")+COUNTIFS($D$179:$D$204,$A178,$C$179:$C$204,"Variation")=0,"",IF(COUNTIFS($D$179:$D$204,$A178,$C$179:$C$204,"Activity")+COUNTIFS($D$179:$D$204,$A178,$C$179:$C$204,"Variation")&lt;&gt;COUNTIFS($D$179:$D$204,$A178,$C$179:$C$204,"Activity",$G$179:$G$204,"&lt;&gt;",$H$179:$H$204,"&lt;&gt;")+COUNTIFS($D$179:$D$204,$A178,$C$179:$C$204,"Variation",$G$179:$G$204,"&lt;&gt;",$H$179:$H$204,"&lt;&gt;"),"",(SUMIFS($K$179:$K$204,$D$179:$D$204,$A178,$C$179:$C$204,"Activity")+SUMIFS($K$179:$K$204,$D$179:$D$204,$A178,$C$179:$C$204,"Variation"))/(COUNTIFS($D$179:$D$204,$A178,$C$179:$C$204,"Activity")+COUNTIFS($D$179:$D$204,$A178,$C$179:$C$204,"Variation")))),IF(OR($C178="Activity",$C178="Variation"),IF(OR($G178="",$H178=""),"",IF($H178&lt;$G178,"",IF($H178=$G178,--(TODAY()&gt;=$H178),MAX(0,MIN(1,(TODAY()-$G178)/($H178-$G178)))))),""))))</x:f>
      </x:c>
      <x:c r="L178" s="7" t="str">
        <x:f t="shared" si="6">IF($B178="","",IF($C178="Initiative",IF(COUNTIFS($B$5:$B$204,$B178,$C$5:$C$204,"Activity")+COUNTIFS($B$5:$B$204,$B178,$C$5:$C$204,"Variation")=0,"",IF(COUNTIFS($B$5:$B$204,$B178,$C$5:$C$204,"Activity")+COUNTIFS($B$5:$B$204,$B178,$C$5:$C$204,"Variation")&lt;&gt;COUNTIFS($B$5:$B$204,$B178,$C$5:$C$204,"Activity",$J$5:$J$204,"&lt;&gt;",$J$5:$J$204,"&gt;=0",$J$5:$J$204,"&lt;=1")+COUNTIFS($B$5:$B$204,$B178,$C$5:$C$204,"Variation",$J$5:$J$204,"&lt;&gt;",$J$5:$J$204,"&gt;=0",$J$5:$J$204,"&lt;=1"),"",(SUMIFS($J$5:$J$204,$B$5:$B$204,$B178,$C$5:$C$204,"Activity")+SUMIFS($J$5:$J$204,$B$5:$B$204,$B178,$C$5:$C$204,"Variation"))/(COUNTIFS($B$5:$B$204,$B178,$C$5:$C$204,"Activity")+COUNTIFS($B$5:$B$204,$B178,$C$5:$C$204,"Variation")))),IF($C178="Milestone",IF(COUNTIFS($D$5:$D$204,$A178,$C$5:$C$204,"Activity")+COUNTIFS($D$5:$D$204,$A178,$C$5:$C$204,"Variation")=0,"",IF(COUNTIFS($D$5:$D$204,$A178,$C$5:$C$204,"Activity")+COUNTIFS($D$5:$D$204,$A178,$C$5:$C$204,"Variation")&lt;&gt;COUNTIFS($D$5:$D$204,$A178,$C$5:$C$204,"Activity",$J$5:$J$204,"&lt;&gt;",$J$5:$J$204,"&gt;=0",$J$5:$J$204,"&lt;=1")+COUNTIFS($D$5:$D$204,$A178,$C$5:$C$204,"Variation",$J$5:$J$204,"&lt;&gt;",$J$5:$J$204,"&gt;=0",$J$5:$J$204,"&lt;=1"),"",(SUMIFS($J$5:$J$204,$D$5:$D$204,$A178,$C$5:$C$204,"Activity")+SUMIFS($J$5:$J$204,$D$5:$D$204,$A178,$C$5:$C$204,"Variation"))/(COUNTIFS($D$5:$D$204,$A178,$C$5:$C$204,"Activity")+COUNTIFS($D$5:$D$204,$A178,$C$5:$C$204,"Variation")))),IF(OR($C178="Activity",$C178="Variation"),IF(AND(ISNUMBER($J178),$J178&gt;=0,$J178&lt;=1),$J178,""),""))))</x:f>
      </x:c>
      <x:c r="M178" s="7" t="str">
        <x:f t="shared" si="7">IF(OR($K178="",$L178=""),"",$L178-$K178)</x:f>
      </x:c>
      <x:c r="N178" s="6" t="str">
        <x:f>IF(OR($B178="",$I178="",$L178=""),"",IF(AND($L178&lt;1,$I178&lt;TODAY()),"Late",IF(AND($H178&lt;&gt;"",$I178&gt;$H178),"Forecast Slip","On Plan")))</x:f>
      </x:c>
      <x:c r="O178" s="19"/>
      <x:c r="P178" s="6" t="str">
        <x:f t="shared" si="8">IF($B178="","",IF($A178="","Enter item ID",IF(COUNTIF($A$5:$A$204,$A178)&gt;1,"Duplicate item ID",IF($C178="Initiative",IF($D178&lt;&gt;"","Parent must be blank",IF(COUNTIFS($B$5:$B$204,$B178,$C$5:$C$204,"Initiative")&lt;&gt;1,"One Initiative row required",IF(COUNTIFS($D$5:$D$204,$A178,$C$5:$C$204,"Milestone")=0,"Add milestone","OK"))),IF($C178="Milestone",IF(COUNTIFS($A$5:$A$204,$D178,$B$5:$B$204,$B178,$C$5:$C$204,"Initiative")&lt;&gt;1,"Parent must be Initiative",IF(COUNTIFS($D$5:$D$204,$A178,$C$5:$C$204,"Activity")+COUNTIFS($D$5:$D$204,$A178,$C$5:$C$204,"Variation")=0,"Add activity or variation","OK")),IF(OR($C178="Activity",$C178="Variation"),IF(COUNTIFS($A$5:$A$204,$D178,$B$5:$B$204,$B178,$C$5:$C$204,"Milestone")&lt;&gt;1,"Parent must be Milestone",IF(OR($G178="",$H178=""),"Enter baseline dates",IF($H178&lt;$G178,"Baseline finish before start",IF($I178="","Enter forecast finish",IF(COUNT($J178)=0,"Enter actual %",IF(OR(NOT(ISNUMBER($J178)),$J178&lt;0,$J178&gt;1),"Actual % must be 0–100%","OK")))))),"Select level"))))))</x:f>
      </x:c>
    </x:row>
    <x:row r="179">
      <x:c r="A179" s="66" t="str" cm="1">
        <x:f t="array" ref="A179">IF(OR(B179="",C179=""),"",IF(C179="Initiative",COUNTIF($C$5:C179,"Initiative"),IF(C179="Milestone",IF(D179="","",D179&amp;"."&amp;COUNTIFS($D$5:D179,D179,$C$5:C179,"Milestone")),IF(OR(C179="Activity",C179="Variation"),IF(D179="","",D179&amp;"."&amp;(COUNTIFS($D$5:D179,D179,$C$5:C179,"Activity")+COUNTIFS($D$5:D179,D179,$C$5:C179,"Variation"))),""))))</x:f>
      </x:c>
      <x:c r="B179" s="19"/>
      <x:c r="C179" s="19"/>
      <x:c r="D179" s="20"/>
      <x:c r="E179" s="21"/>
      <x:c r="F179" s="21"/>
      <x:c r="G179" s="102"/>
      <x:c r="H179" s="102"/>
      <x:c r="I179" s="102"/>
      <x:c r="J179" s="100"/>
      <x:c r="K179" s="7" t="str">
        <x:f>IF($B179="","",IF($C179="Initiative",IF(COUNTIFS($B$180:$B$204,$B179,$C$180:$C$204,"Activity")+COUNTIFS($B$180:$B$204,$B179,$C$180:$C$204,"Variation")=0,"",IF(COUNTIFS($B$180:$B$204,$B179,$C$180:$C$204,"Activity")+COUNTIFS($B$180:$B$204,$B179,$C$180:$C$204,"Variation")&lt;&gt;COUNTIFS($B$180:$B$204,$B179,$C$180:$C$204,"Activity",$G$180:$G$204,"&lt;&gt;",$H$180:$H$204,"&lt;&gt;")+COUNTIFS($B$180:$B$204,$B179,$C$180:$C$204,"Variation",$G$180:$G$204,"&lt;&gt;",$H$180:$H$204,"&lt;&gt;"),"",(SUMIFS($K$180:$K$204,$B$180:$B$204,$B179,$C$180:$C$204,"Activity")+SUMIFS($K$180:$K$204,$B$180:$B$204,$B179,$C$180:$C$204,"Variation"))/(COUNTIFS($B$180:$B$204,$B179,$C$180:$C$204,"Activity")+COUNTIFS($B$180:$B$204,$B179,$C$180:$C$204,"Variation")))),IF($C179="Milestone",IF(COUNTIFS($D$180:$D$204,$A179,$C$180:$C$204,"Activity")+COUNTIFS($D$180:$D$204,$A179,$C$180:$C$204,"Variation")=0,"",IF(COUNTIFS($D$180:$D$204,$A179,$C$180:$C$204,"Activity")+COUNTIFS($D$180:$D$204,$A179,$C$180:$C$204,"Variation")&lt;&gt;COUNTIFS($D$180:$D$204,$A179,$C$180:$C$204,"Activity",$G$180:$G$204,"&lt;&gt;",$H$180:$H$204,"&lt;&gt;")+COUNTIFS($D$180:$D$204,$A179,$C$180:$C$204,"Variation",$G$180:$G$204,"&lt;&gt;",$H$180:$H$204,"&lt;&gt;"),"",(SUMIFS($K$180:$K$204,$D$180:$D$204,$A179,$C$180:$C$204,"Activity")+SUMIFS($K$180:$K$204,$D$180:$D$204,$A179,$C$180:$C$204,"Variation"))/(COUNTIFS($D$180:$D$204,$A179,$C$180:$C$204,"Activity")+COUNTIFS($D$180:$D$204,$A179,$C$180:$C$204,"Variation")))),IF(OR($C179="Activity",$C179="Variation"),IF(OR($G179="",$H179=""),"",IF($H179&lt;$G179,"",IF($H179=$G179,--(TODAY()&gt;=$H179),MAX(0,MIN(1,(TODAY()-$G179)/($H179-$G179)))))),""))))</x:f>
      </x:c>
      <x:c r="L179" s="7" t="str">
        <x:f t="shared" si="6">IF($B179="","",IF($C179="Initiative",IF(COUNTIFS($B$5:$B$204,$B179,$C$5:$C$204,"Activity")+COUNTIFS($B$5:$B$204,$B179,$C$5:$C$204,"Variation")=0,"",IF(COUNTIFS($B$5:$B$204,$B179,$C$5:$C$204,"Activity")+COUNTIFS($B$5:$B$204,$B179,$C$5:$C$204,"Variation")&lt;&gt;COUNTIFS($B$5:$B$204,$B179,$C$5:$C$204,"Activity",$J$5:$J$204,"&lt;&gt;",$J$5:$J$204,"&gt;=0",$J$5:$J$204,"&lt;=1")+COUNTIFS($B$5:$B$204,$B179,$C$5:$C$204,"Variation",$J$5:$J$204,"&lt;&gt;",$J$5:$J$204,"&gt;=0",$J$5:$J$204,"&lt;=1"),"",(SUMIFS($J$5:$J$204,$B$5:$B$204,$B179,$C$5:$C$204,"Activity")+SUMIFS($J$5:$J$204,$B$5:$B$204,$B179,$C$5:$C$204,"Variation"))/(COUNTIFS($B$5:$B$204,$B179,$C$5:$C$204,"Activity")+COUNTIFS($B$5:$B$204,$B179,$C$5:$C$204,"Variation")))),IF($C179="Milestone",IF(COUNTIFS($D$5:$D$204,$A179,$C$5:$C$204,"Activity")+COUNTIFS($D$5:$D$204,$A179,$C$5:$C$204,"Variation")=0,"",IF(COUNTIFS($D$5:$D$204,$A179,$C$5:$C$204,"Activity")+COUNTIFS($D$5:$D$204,$A179,$C$5:$C$204,"Variation")&lt;&gt;COUNTIFS($D$5:$D$204,$A179,$C$5:$C$204,"Activity",$J$5:$J$204,"&lt;&gt;",$J$5:$J$204,"&gt;=0",$J$5:$J$204,"&lt;=1")+COUNTIFS($D$5:$D$204,$A179,$C$5:$C$204,"Variation",$J$5:$J$204,"&lt;&gt;",$J$5:$J$204,"&gt;=0",$J$5:$J$204,"&lt;=1"),"",(SUMIFS($J$5:$J$204,$D$5:$D$204,$A179,$C$5:$C$204,"Activity")+SUMIFS($J$5:$J$204,$D$5:$D$204,$A179,$C$5:$C$204,"Variation"))/(COUNTIFS($D$5:$D$204,$A179,$C$5:$C$204,"Activity")+COUNTIFS($D$5:$D$204,$A179,$C$5:$C$204,"Variation")))),IF(OR($C179="Activity",$C179="Variation"),IF(AND(ISNUMBER($J179),$J179&gt;=0,$J179&lt;=1),$J179,""),""))))</x:f>
      </x:c>
      <x:c r="M179" s="7" t="str">
        <x:f t="shared" si="7">IF(OR($K179="",$L179=""),"",$L179-$K179)</x:f>
      </x:c>
      <x:c r="N179" s="6" t="str">
        <x:f>IF(OR($B179="",$I179="",$L179=""),"",IF(AND($L179&lt;1,$I179&lt;TODAY()),"Late",IF(AND($H179&lt;&gt;"",$I179&gt;$H179),"Forecast Slip","On Plan")))</x:f>
      </x:c>
      <x:c r="O179" s="19"/>
      <x:c r="P179" s="6" t="str">
        <x:f t="shared" si="8">IF($B179="","",IF($A179="","Enter item ID",IF(COUNTIF($A$5:$A$204,$A179)&gt;1,"Duplicate item ID",IF($C179="Initiative",IF($D179&lt;&gt;"","Parent must be blank",IF(COUNTIFS($B$5:$B$204,$B179,$C$5:$C$204,"Initiative")&lt;&gt;1,"One Initiative row required",IF(COUNTIFS($D$5:$D$204,$A179,$C$5:$C$204,"Milestone")=0,"Add milestone","OK"))),IF($C179="Milestone",IF(COUNTIFS($A$5:$A$204,$D179,$B$5:$B$204,$B179,$C$5:$C$204,"Initiative")&lt;&gt;1,"Parent must be Initiative",IF(COUNTIFS($D$5:$D$204,$A179,$C$5:$C$204,"Activity")+COUNTIFS($D$5:$D$204,$A179,$C$5:$C$204,"Variation")=0,"Add activity or variation","OK")),IF(OR($C179="Activity",$C179="Variation"),IF(COUNTIFS($A$5:$A$204,$D179,$B$5:$B$204,$B179,$C$5:$C$204,"Milestone")&lt;&gt;1,"Parent must be Milestone",IF(OR($G179="",$H179=""),"Enter baseline dates",IF($H179&lt;$G179,"Baseline finish before start",IF($I179="","Enter forecast finish",IF(COUNT($J179)=0,"Enter actual %",IF(OR(NOT(ISNUMBER($J179)),$J179&lt;0,$J179&gt;1),"Actual % must be 0–100%","OK")))))),"Select level"))))))</x:f>
      </x:c>
    </x:row>
    <x:row r="180">
      <x:c r="A180" s="66" t="str" cm="1">
        <x:f t="array" ref="A180">IF(OR(B180="",C180=""),"",IF(C180="Initiative",COUNTIF($C$5:C180,"Initiative"),IF(C180="Milestone",IF(D180="","",D180&amp;"."&amp;COUNTIFS($D$5:D180,D180,$C$5:C180,"Milestone")),IF(OR(C180="Activity",C180="Variation"),IF(D180="","",D180&amp;"."&amp;(COUNTIFS($D$5:D180,D180,$C$5:C180,"Activity")+COUNTIFS($D$5:D180,D180,$C$5:C180,"Variation"))),""))))</x:f>
      </x:c>
      <x:c r="B180" s="19"/>
      <x:c r="C180" s="19"/>
      <x:c r="D180" s="20"/>
      <x:c r="E180" s="21"/>
      <x:c r="F180" s="21"/>
      <x:c r="G180" s="102"/>
      <x:c r="H180" s="102"/>
      <x:c r="I180" s="102"/>
      <x:c r="J180" s="100"/>
      <x:c r="K180" s="7" t="str">
        <x:f>IF($B180="","",IF($C180="Initiative",IF(COUNTIFS($B$181:$B$204,$B180,$C$181:$C$204,"Activity")+COUNTIFS($B$181:$B$204,$B180,$C$181:$C$204,"Variation")=0,"",IF(COUNTIFS($B$181:$B$204,$B180,$C$181:$C$204,"Activity")+COUNTIFS($B$181:$B$204,$B180,$C$181:$C$204,"Variation")&lt;&gt;COUNTIFS($B$181:$B$204,$B180,$C$181:$C$204,"Activity",$G$181:$G$204,"&lt;&gt;",$H$181:$H$204,"&lt;&gt;")+COUNTIFS($B$181:$B$204,$B180,$C$181:$C$204,"Variation",$G$181:$G$204,"&lt;&gt;",$H$181:$H$204,"&lt;&gt;"),"",(SUMIFS($K$181:$K$204,$B$181:$B$204,$B180,$C$181:$C$204,"Activity")+SUMIFS($K$181:$K$204,$B$181:$B$204,$B180,$C$181:$C$204,"Variation"))/(COUNTIFS($B$181:$B$204,$B180,$C$181:$C$204,"Activity")+COUNTIFS($B$181:$B$204,$B180,$C$181:$C$204,"Variation")))),IF($C180="Milestone",IF(COUNTIFS($D$181:$D$204,$A180,$C$181:$C$204,"Activity")+COUNTIFS($D$181:$D$204,$A180,$C$181:$C$204,"Variation")=0,"",IF(COUNTIFS($D$181:$D$204,$A180,$C$181:$C$204,"Activity")+COUNTIFS($D$181:$D$204,$A180,$C$181:$C$204,"Variation")&lt;&gt;COUNTIFS($D$181:$D$204,$A180,$C$181:$C$204,"Activity",$G$181:$G$204,"&lt;&gt;",$H$181:$H$204,"&lt;&gt;")+COUNTIFS($D$181:$D$204,$A180,$C$181:$C$204,"Variation",$G$181:$G$204,"&lt;&gt;",$H$181:$H$204,"&lt;&gt;"),"",(SUMIFS($K$181:$K$204,$D$181:$D$204,$A180,$C$181:$C$204,"Activity")+SUMIFS($K$181:$K$204,$D$181:$D$204,$A180,$C$181:$C$204,"Variation"))/(COUNTIFS($D$181:$D$204,$A180,$C$181:$C$204,"Activity")+COUNTIFS($D$181:$D$204,$A180,$C$181:$C$204,"Variation")))),IF(OR($C180="Activity",$C180="Variation"),IF(OR($G180="",$H180=""),"",IF($H180&lt;$G180,"",IF($H180=$G180,--(TODAY()&gt;=$H180),MAX(0,MIN(1,(TODAY()-$G180)/($H180-$G180)))))),""))))</x:f>
      </x:c>
      <x:c r="L180" s="7" t="str">
        <x:f t="shared" si="6">IF($B180="","",IF($C180="Initiative",IF(COUNTIFS($B$5:$B$204,$B180,$C$5:$C$204,"Activity")+COUNTIFS($B$5:$B$204,$B180,$C$5:$C$204,"Variation")=0,"",IF(COUNTIFS($B$5:$B$204,$B180,$C$5:$C$204,"Activity")+COUNTIFS($B$5:$B$204,$B180,$C$5:$C$204,"Variation")&lt;&gt;COUNTIFS($B$5:$B$204,$B180,$C$5:$C$204,"Activity",$J$5:$J$204,"&lt;&gt;",$J$5:$J$204,"&gt;=0",$J$5:$J$204,"&lt;=1")+COUNTIFS($B$5:$B$204,$B180,$C$5:$C$204,"Variation",$J$5:$J$204,"&lt;&gt;",$J$5:$J$204,"&gt;=0",$J$5:$J$204,"&lt;=1"),"",(SUMIFS($J$5:$J$204,$B$5:$B$204,$B180,$C$5:$C$204,"Activity")+SUMIFS($J$5:$J$204,$B$5:$B$204,$B180,$C$5:$C$204,"Variation"))/(COUNTIFS($B$5:$B$204,$B180,$C$5:$C$204,"Activity")+COUNTIFS($B$5:$B$204,$B180,$C$5:$C$204,"Variation")))),IF($C180="Milestone",IF(COUNTIFS($D$5:$D$204,$A180,$C$5:$C$204,"Activity")+COUNTIFS($D$5:$D$204,$A180,$C$5:$C$204,"Variation")=0,"",IF(COUNTIFS($D$5:$D$204,$A180,$C$5:$C$204,"Activity")+COUNTIFS($D$5:$D$204,$A180,$C$5:$C$204,"Variation")&lt;&gt;COUNTIFS($D$5:$D$204,$A180,$C$5:$C$204,"Activity",$J$5:$J$204,"&lt;&gt;",$J$5:$J$204,"&gt;=0",$J$5:$J$204,"&lt;=1")+COUNTIFS($D$5:$D$204,$A180,$C$5:$C$204,"Variation",$J$5:$J$204,"&lt;&gt;",$J$5:$J$204,"&gt;=0",$J$5:$J$204,"&lt;=1"),"",(SUMIFS($J$5:$J$204,$D$5:$D$204,$A180,$C$5:$C$204,"Activity")+SUMIFS($J$5:$J$204,$D$5:$D$204,$A180,$C$5:$C$204,"Variation"))/(COUNTIFS($D$5:$D$204,$A180,$C$5:$C$204,"Activity")+COUNTIFS($D$5:$D$204,$A180,$C$5:$C$204,"Variation")))),IF(OR($C180="Activity",$C180="Variation"),IF(AND(ISNUMBER($J180),$J180&gt;=0,$J180&lt;=1),$J180,""),""))))</x:f>
      </x:c>
      <x:c r="M180" s="7" t="str">
        <x:f t="shared" si="7">IF(OR($K180="",$L180=""),"",$L180-$K180)</x:f>
      </x:c>
      <x:c r="N180" s="6" t="str">
        <x:f>IF(OR($B180="",$I180="",$L180=""),"",IF(AND($L180&lt;1,$I180&lt;TODAY()),"Late",IF(AND($H180&lt;&gt;"",$I180&gt;$H180),"Forecast Slip","On Plan")))</x:f>
      </x:c>
      <x:c r="O180" s="19"/>
      <x:c r="P180" s="6" t="str">
        <x:f t="shared" si="8">IF($B180="","",IF($A180="","Enter item ID",IF(COUNTIF($A$5:$A$204,$A180)&gt;1,"Duplicate item ID",IF($C180="Initiative",IF($D180&lt;&gt;"","Parent must be blank",IF(COUNTIFS($B$5:$B$204,$B180,$C$5:$C$204,"Initiative")&lt;&gt;1,"One Initiative row required",IF(COUNTIFS($D$5:$D$204,$A180,$C$5:$C$204,"Milestone")=0,"Add milestone","OK"))),IF($C180="Milestone",IF(COUNTIFS($A$5:$A$204,$D180,$B$5:$B$204,$B180,$C$5:$C$204,"Initiative")&lt;&gt;1,"Parent must be Initiative",IF(COUNTIFS($D$5:$D$204,$A180,$C$5:$C$204,"Activity")+COUNTIFS($D$5:$D$204,$A180,$C$5:$C$204,"Variation")=0,"Add activity or variation","OK")),IF(OR($C180="Activity",$C180="Variation"),IF(COUNTIFS($A$5:$A$204,$D180,$B$5:$B$204,$B180,$C$5:$C$204,"Milestone")&lt;&gt;1,"Parent must be Milestone",IF(OR($G180="",$H180=""),"Enter baseline dates",IF($H180&lt;$G180,"Baseline finish before start",IF($I180="","Enter forecast finish",IF(COUNT($J180)=0,"Enter actual %",IF(OR(NOT(ISNUMBER($J180)),$J180&lt;0,$J180&gt;1),"Actual % must be 0–100%","OK")))))),"Select level"))))))</x:f>
      </x:c>
    </x:row>
    <x:row r="181">
      <x:c r="A181" s="66" t="str" cm="1">
        <x:f t="array" ref="A181">IF(OR(B181="",C181=""),"",IF(C181="Initiative",COUNTIF($C$5:C181,"Initiative"),IF(C181="Milestone",IF(D181="","",D181&amp;"."&amp;COUNTIFS($D$5:D181,D181,$C$5:C181,"Milestone")),IF(OR(C181="Activity",C181="Variation"),IF(D181="","",D181&amp;"."&amp;(COUNTIFS($D$5:D181,D181,$C$5:C181,"Activity")+COUNTIFS($D$5:D181,D181,$C$5:C181,"Variation"))),""))))</x:f>
      </x:c>
      <x:c r="B181" s="19"/>
      <x:c r="C181" s="19"/>
      <x:c r="D181" s="20"/>
      <x:c r="E181" s="21"/>
      <x:c r="F181" s="21"/>
      <x:c r="G181" s="102"/>
      <x:c r="H181" s="102"/>
      <x:c r="I181" s="102"/>
      <x:c r="J181" s="100"/>
      <x:c r="K181" s="7" t="str">
        <x:f>IF($B181="","",IF($C181="Initiative",IF(COUNTIFS($B$182:$B$204,$B181,$C$182:$C$204,"Activity")+COUNTIFS($B$182:$B$204,$B181,$C$182:$C$204,"Variation")=0,"",IF(COUNTIFS($B$182:$B$204,$B181,$C$182:$C$204,"Activity")+COUNTIFS($B$182:$B$204,$B181,$C$182:$C$204,"Variation")&lt;&gt;COUNTIFS($B$182:$B$204,$B181,$C$182:$C$204,"Activity",$G$182:$G$204,"&lt;&gt;",$H$182:$H$204,"&lt;&gt;")+COUNTIFS($B$182:$B$204,$B181,$C$182:$C$204,"Variation",$G$182:$G$204,"&lt;&gt;",$H$182:$H$204,"&lt;&gt;"),"",(SUMIFS($K$182:$K$204,$B$182:$B$204,$B181,$C$182:$C$204,"Activity")+SUMIFS($K$182:$K$204,$B$182:$B$204,$B181,$C$182:$C$204,"Variation"))/(COUNTIFS($B$182:$B$204,$B181,$C$182:$C$204,"Activity")+COUNTIFS($B$182:$B$204,$B181,$C$182:$C$204,"Variation")))),IF($C181="Milestone",IF(COUNTIFS($D$182:$D$204,$A181,$C$182:$C$204,"Activity")+COUNTIFS($D$182:$D$204,$A181,$C$182:$C$204,"Variation")=0,"",IF(COUNTIFS($D$182:$D$204,$A181,$C$182:$C$204,"Activity")+COUNTIFS($D$182:$D$204,$A181,$C$182:$C$204,"Variation")&lt;&gt;COUNTIFS($D$182:$D$204,$A181,$C$182:$C$204,"Activity",$G$182:$G$204,"&lt;&gt;",$H$182:$H$204,"&lt;&gt;")+COUNTIFS($D$182:$D$204,$A181,$C$182:$C$204,"Variation",$G$182:$G$204,"&lt;&gt;",$H$182:$H$204,"&lt;&gt;"),"",(SUMIFS($K$182:$K$204,$D$182:$D$204,$A181,$C$182:$C$204,"Activity")+SUMIFS($K$182:$K$204,$D$182:$D$204,$A181,$C$182:$C$204,"Variation"))/(COUNTIFS($D$182:$D$204,$A181,$C$182:$C$204,"Activity")+COUNTIFS($D$182:$D$204,$A181,$C$182:$C$204,"Variation")))),IF(OR($C181="Activity",$C181="Variation"),IF(OR($G181="",$H181=""),"",IF($H181&lt;$G181,"",IF($H181=$G181,--(TODAY()&gt;=$H181),MAX(0,MIN(1,(TODAY()-$G181)/($H181-$G181)))))),""))))</x:f>
      </x:c>
      <x:c r="L181" s="7" t="str">
        <x:f t="shared" si="6">IF($B181="","",IF($C181="Initiative",IF(COUNTIFS($B$5:$B$204,$B181,$C$5:$C$204,"Activity")+COUNTIFS($B$5:$B$204,$B181,$C$5:$C$204,"Variation")=0,"",IF(COUNTIFS($B$5:$B$204,$B181,$C$5:$C$204,"Activity")+COUNTIFS($B$5:$B$204,$B181,$C$5:$C$204,"Variation")&lt;&gt;COUNTIFS($B$5:$B$204,$B181,$C$5:$C$204,"Activity",$J$5:$J$204,"&lt;&gt;",$J$5:$J$204,"&gt;=0",$J$5:$J$204,"&lt;=1")+COUNTIFS($B$5:$B$204,$B181,$C$5:$C$204,"Variation",$J$5:$J$204,"&lt;&gt;",$J$5:$J$204,"&gt;=0",$J$5:$J$204,"&lt;=1"),"",(SUMIFS($J$5:$J$204,$B$5:$B$204,$B181,$C$5:$C$204,"Activity")+SUMIFS($J$5:$J$204,$B$5:$B$204,$B181,$C$5:$C$204,"Variation"))/(COUNTIFS($B$5:$B$204,$B181,$C$5:$C$204,"Activity")+COUNTIFS($B$5:$B$204,$B181,$C$5:$C$204,"Variation")))),IF($C181="Milestone",IF(COUNTIFS($D$5:$D$204,$A181,$C$5:$C$204,"Activity")+COUNTIFS($D$5:$D$204,$A181,$C$5:$C$204,"Variation")=0,"",IF(COUNTIFS($D$5:$D$204,$A181,$C$5:$C$204,"Activity")+COUNTIFS($D$5:$D$204,$A181,$C$5:$C$204,"Variation")&lt;&gt;COUNTIFS($D$5:$D$204,$A181,$C$5:$C$204,"Activity",$J$5:$J$204,"&lt;&gt;",$J$5:$J$204,"&gt;=0",$J$5:$J$204,"&lt;=1")+COUNTIFS($D$5:$D$204,$A181,$C$5:$C$204,"Variation",$J$5:$J$204,"&lt;&gt;",$J$5:$J$204,"&gt;=0",$J$5:$J$204,"&lt;=1"),"",(SUMIFS($J$5:$J$204,$D$5:$D$204,$A181,$C$5:$C$204,"Activity")+SUMIFS($J$5:$J$204,$D$5:$D$204,$A181,$C$5:$C$204,"Variation"))/(COUNTIFS($D$5:$D$204,$A181,$C$5:$C$204,"Activity")+COUNTIFS($D$5:$D$204,$A181,$C$5:$C$204,"Variation")))),IF(OR($C181="Activity",$C181="Variation"),IF(AND(ISNUMBER($J181),$J181&gt;=0,$J181&lt;=1),$J181,""),""))))</x:f>
      </x:c>
      <x:c r="M181" s="7" t="str">
        <x:f t="shared" si="7">IF(OR($K181="",$L181=""),"",$L181-$K181)</x:f>
      </x:c>
      <x:c r="N181" s="6" t="str">
        <x:f>IF(OR($B181="",$I181="",$L181=""),"",IF(AND($L181&lt;1,$I181&lt;TODAY()),"Late",IF(AND($H181&lt;&gt;"",$I181&gt;$H181),"Forecast Slip","On Plan")))</x:f>
      </x:c>
      <x:c r="O181" s="19"/>
      <x:c r="P181" s="6" t="str">
        <x:f t="shared" si="8">IF($B181="","",IF($A181="","Enter item ID",IF(COUNTIF($A$5:$A$204,$A181)&gt;1,"Duplicate item ID",IF($C181="Initiative",IF($D181&lt;&gt;"","Parent must be blank",IF(COUNTIFS($B$5:$B$204,$B181,$C$5:$C$204,"Initiative")&lt;&gt;1,"One Initiative row required",IF(COUNTIFS($D$5:$D$204,$A181,$C$5:$C$204,"Milestone")=0,"Add milestone","OK"))),IF($C181="Milestone",IF(COUNTIFS($A$5:$A$204,$D181,$B$5:$B$204,$B181,$C$5:$C$204,"Initiative")&lt;&gt;1,"Parent must be Initiative",IF(COUNTIFS($D$5:$D$204,$A181,$C$5:$C$204,"Activity")+COUNTIFS($D$5:$D$204,$A181,$C$5:$C$204,"Variation")=0,"Add activity or variation","OK")),IF(OR($C181="Activity",$C181="Variation"),IF(COUNTIFS($A$5:$A$204,$D181,$B$5:$B$204,$B181,$C$5:$C$204,"Milestone")&lt;&gt;1,"Parent must be Milestone",IF(OR($G181="",$H181=""),"Enter baseline dates",IF($H181&lt;$G181,"Baseline finish before start",IF($I181="","Enter forecast finish",IF(COUNT($J181)=0,"Enter actual %",IF(OR(NOT(ISNUMBER($J181)),$J181&lt;0,$J181&gt;1),"Actual % must be 0–100%","OK")))))),"Select level"))))))</x:f>
      </x:c>
    </x:row>
    <x:row r="182">
      <x:c r="A182" s="66" t="str" cm="1">
        <x:f t="array" ref="A182">IF(OR(B182="",C182=""),"",IF(C182="Initiative",COUNTIF($C$5:C182,"Initiative"),IF(C182="Milestone",IF(D182="","",D182&amp;"."&amp;COUNTIFS($D$5:D182,D182,$C$5:C182,"Milestone")),IF(OR(C182="Activity",C182="Variation"),IF(D182="","",D182&amp;"."&amp;(COUNTIFS($D$5:D182,D182,$C$5:C182,"Activity")+COUNTIFS($D$5:D182,D182,$C$5:C182,"Variation"))),""))))</x:f>
      </x:c>
      <x:c r="B182" s="19"/>
      <x:c r="C182" s="19"/>
      <x:c r="D182" s="20"/>
      <x:c r="E182" s="21"/>
      <x:c r="F182" s="21"/>
      <x:c r="G182" s="102"/>
      <x:c r="H182" s="102"/>
      <x:c r="I182" s="102"/>
      <x:c r="J182" s="100"/>
      <x:c r="K182" s="7" t="str">
        <x:f>IF($B182="","",IF($C182="Initiative",IF(COUNTIFS($B$183:$B$204,$B182,$C$183:$C$204,"Activity")+COUNTIFS($B$183:$B$204,$B182,$C$183:$C$204,"Variation")=0,"",IF(COUNTIFS($B$183:$B$204,$B182,$C$183:$C$204,"Activity")+COUNTIFS($B$183:$B$204,$B182,$C$183:$C$204,"Variation")&lt;&gt;COUNTIFS($B$183:$B$204,$B182,$C$183:$C$204,"Activity",$G$183:$G$204,"&lt;&gt;",$H$183:$H$204,"&lt;&gt;")+COUNTIFS($B$183:$B$204,$B182,$C$183:$C$204,"Variation",$G$183:$G$204,"&lt;&gt;",$H$183:$H$204,"&lt;&gt;"),"",(SUMIFS($K$183:$K$204,$B$183:$B$204,$B182,$C$183:$C$204,"Activity")+SUMIFS($K$183:$K$204,$B$183:$B$204,$B182,$C$183:$C$204,"Variation"))/(COUNTIFS($B$183:$B$204,$B182,$C$183:$C$204,"Activity")+COUNTIFS($B$183:$B$204,$B182,$C$183:$C$204,"Variation")))),IF($C182="Milestone",IF(COUNTIFS($D$183:$D$204,$A182,$C$183:$C$204,"Activity")+COUNTIFS($D$183:$D$204,$A182,$C$183:$C$204,"Variation")=0,"",IF(COUNTIFS($D$183:$D$204,$A182,$C$183:$C$204,"Activity")+COUNTIFS($D$183:$D$204,$A182,$C$183:$C$204,"Variation")&lt;&gt;COUNTIFS($D$183:$D$204,$A182,$C$183:$C$204,"Activity",$G$183:$G$204,"&lt;&gt;",$H$183:$H$204,"&lt;&gt;")+COUNTIFS($D$183:$D$204,$A182,$C$183:$C$204,"Variation",$G$183:$G$204,"&lt;&gt;",$H$183:$H$204,"&lt;&gt;"),"",(SUMIFS($K$183:$K$204,$D$183:$D$204,$A182,$C$183:$C$204,"Activity")+SUMIFS($K$183:$K$204,$D$183:$D$204,$A182,$C$183:$C$204,"Variation"))/(COUNTIFS($D$183:$D$204,$A182,$C$183:$C$204,"Activity")+COUNTIFS($D$183:$D$204,$A182,$C$183:$C$204,"Variation")))),IF(OR($C182="Activity",$C182="Variation"),IF(OR($G182="",$H182=""),"",IF($H182&lt;$G182,"",IF($H182=$G182,--(TODAY()&gt;=$H182),MAX(0,MIN(1,(TODAY()-$G182)/($H182-$G182)))))),""))))</x:f>
      </x:c>
      <x:c r="L182" s="7" t="str">
        <x:f t="shared" si="6">IF($B182="","",IF($C182="Initiative",IF(COUNTIFS($B$5:$B$204,$B182,$C$5:$C$204,"Activity")+COUNTIFS($B$5:$B$204,$B182,$C$5:$C$204,"Variation")=0,"",IF(COUNTIFS($B$5:$B$204,$B182,$C$5:$C$204,"Activity")+COUNTIFS($B$5:$B$204,$B182,$C$5:$C$204,"Variation")&lt;&gt;COUNTIFS($B$5:$B$204,$B182,$C$5:$C$204,"Activity",$J$5:$J$204,"&lt;&gt;",$J$5:$J$204,"&gt;=0",$J$5:$J$204,"&lt;=1")+COUNTIFS($B$5:$B$204,$B182,$C$5:$C$204,"Variation",$J$5:$J$204,"&lt;&gt;",$J$5:$J$204,"&gt;=0",$J$5:$J$204,"&lt;=1"),"",(SUMIFS($J$5:$J$204,$B$5:$B$204,$B182,$C$5:$C$204,"Activity")+SUMIFS($J$5:$J$204,$B$5:$B$204,$B182,$C$5:$C$204,"Variation"))/(COUNTIFS($B$5:$B$204,$B182,$C$5:$C$204,"Activity")+COUNTIFS($B$5:$B$204,$B182,$C$5:$C$204,"Variation")))),IF($C182="Milestone",IF(COUNTIFS($D$5:$D$204,$A182,$C$5:$C$204,"Activity")+COUNTIFS($D$5:$D$204,$A182,$C$5:$C$204,"Variation")=0,"",IF(COUNTIFS($D$5:$D$204,$A182,$C$5:$C$204,"Activity")+COUNTIFS($D$5:$D$204,$A182,$C$5:$C$204,"Variation")&lt;&gt;COUNTIFS($D$5:$D$204,$A182,$C$5:$C$204,"Activity",$J$5:$J$204,"&lt;&gt;",$J$5:$J$204,"&gt;=0",$J$5:$J$204,"&lt;=1")+COUNTIFS($D$5:$D$204,$A182,$C$5:$C$204,"Variation",$J$5:$J$204,"&lt;&gt;",$J$5:$J$204,"&gt;=0",$J$5:$J$204,"&lt;=1"),"",(SUMIFS($J$5:$J$204,$D$5:$D$204,$A182,$C$5:$C$204,"Activity")+SUMIFS($J$5:$J$204,$D$5:$D$204,$A182,$C$5:$C$204,"Variation"))/(COUNTIFS($D$5:$D$204,$A182,$C$5:$C$204,"Activity")+COUNTIFS($D$5:$D$204,$A182,$C$5:$C$204,"Variation")))),IF(OR($C182="Activity",$C182="Variation"),IF(AND(ISNUMBER($J182),$J182&gt;=0,$J182&lt;=1),$J182,""),""))))</x:f>
      </x:c>
      <x:c r="M182" s="7" t="str">
        <x:f t="shared" si="7">IF(OR($K182="",$L182=""),"",$L182-$K182)</x:f>
      </x:c>
      <x:c r="N182" s="6" t="str">
        <x:f>IF(OR($B182="",$I182="",$L182=""),"",IF(AND($L182&lt;1,$I182&lt;TODAY()),"Late",IF(AND($H182&lt;&gt;"",$I182&gt;$H182),"Forecast Slip","On Plan")))</x:f>
      </x:c>
      <x:c r="O182" s="19"/>
      <x:c r="P182" s="6" t="str">
        <x:f t="shared" si="8">IF($B182="","",IF($A182="","Enter item ID",IF(COUNTIF($A$5:$A$204,$A182)&gt;1,"Duplicate item ID",IF($C182="Initiative",IF($D182&lt;&gt;"","Parent must be blank",IF(COUNTIFS($B$5:$B$204,$B182,$C$5:$C$204,"Initiative")&lt;&gt;1,"One Initiative row required",IF(COUNTIFS($D$5:$D$204,$A182,$C$5:$C$204,"Milestone")=0,"Add milestone","OK"))),IF($C182="Milestone",IF(COUNTIFS($A$5:$A$204,$D182,$B$5:$B$204,$B182,$C$5:$C$204,"Initiative")&lt;&gt;1,"Parent must be Initiative",IF(COUNTIFS($D$5:$D$204,$A182,$C$5:$C$204,"Activity")+COUNTIFS($D$5:$D$204,$A182,$C$5:$C$204,"Variation")=0,"Add activity or variation","OK")),IF(OR($C182="Activity",$C182="Variation"),IF(COUNTIFS($A$5:$A$204,$D182,$B$5:$B$204,$B182,$C$5:$C$204,"Milestone")&lt;&gt;1,"Parent must be Milestone",IF(OR($G182="",$H182=""),"Enter baseline dates",IF($H182&lt;$G182,"Baseline finish before start",IF($I182="","Enter forecast finish",IF(COUNT($J182)=0,"Enter actual %",IF(OR(NOT(ISNUMBER($J182)),$J182&lt;0,$J182&gt;1),"Actual % must be 0–100%","OK")))))),"Select level"))))))</x:f>
      </x:c>
    </x:row>
    <x:row r="183">
      <x:c r="A183" s="66" t="str" cm="1">
        <x:f t="array" ref="A183">IF(OR(B183="",C183=""),"",IF(C183="Initiative",COUNTIF($C$5:C183,"Initiative"),IF(C183="Milestone",IF(D183="","",D183&amp;"."&amp;COUNTIFS($D$5:D183,D183,$C$5:C183,"Milestone")),IF(OR(C183="Activity",C183="Variation"),IF(D183="","",D183&amp;"."&amp;(COUNTIFS($D$5:D183,D183,$C$5:C183,"Activity")+COUNTIFS($D$5:D183,D183,$C$5:C183,"Variation"))),""))))</x:f>
      </x:c>
      <x:c r="B183" s="19"/>
      <x:c r="C183" s="19"/>
      <x:c r="D183" s="20"/>
      <x:c r="E183" s="21"/>
      <x:c r="F183" s="21"/>
      <x:c r="G183" s="102"/>
      <x:c r="H183" s="102"/>
      <x:c r="I183" s="102"/>
      <x:c r="J183" s="100"/>
      <x:c r="K183" s="7" t="str">
        <x:f>IF($B183="","",IF($C183="Initiative",IF(COUNTIFS($B$184:$B$204,$B183,$C$184:$C$204,"Activity")+COUNTIFS($B$184:$B$204,$B183,$C$184:$C$204,"Variation")=0,"",IF(COUNTIFS($B$184:$B$204,$B183,$C$184:$C$204,"Activity")+COUNTIFS($B$184:$B$204,$B183,$C$184:$C$204,"Variation")&lt;&gt;COUNTIFS($B$184:$B$204,$B183,$C$184:$C$204,"Activity",$G$184:$G$204,"&lt;&gt;",$H$184:$H$204,"&lt;&gt;")+COUNTIFS($B$184:$B$204,$B183,$C$184:$C$204,"Variation",$G$184:$G$204,"&lt;&gt;",$H$184:$H$204,"&lt;&gt;"),"",(SUMIFS($K$184:$K$204,$B$184:$B$204,$B183,$C$184:$C$204,"Activity")+SUMIFS($K$184:$K$204,$B$184:$B$204,$B183,$C$184:$C$204,"Variation"))/(COUNTIFS($B$184:$B$204,$B183,$C$184:$C$204,"Activity")+COUNTIFS($B$184:$B$204,$B183,$C$184:$C$204,"Variation")))),IF($C183="Milestone",IF(COUNTIFS($D$184:$D$204,$A183,$C$184:$C$204,"Activity")+COUNTIFS($D$184:$D$204,$A183,$C$184:$C$204,"Variation")=0,"",IF(COUNTIFS($D$184:$D$204,$A183,$C$184:$C$204,"Activity")+COUNTIFS($D$184:$D$204,$A183,$C$184:$C$204,"Variation")&lt;&gt;COUNTIFS($D$184:$D$204,$A183,$C$184:$C$204,"Activity",$G$184:$G$204,"&lt;&gt;",$H$184:$H$204,"&lt;&gt;")+COUNTIFS($D$184:$D$204,$A183,$C$184:$C$204,"Variation",$G$184:$G$204,"&lt;&gt;",$H$184:$H$204,"&lt;&gt;"),"",(SUMIFS($K$184:$K$204,$D$184:$D$204,$A183,$C$184:$C$204,"Activity")+SUMIFS($K$184:$K$204,$D$184:$D$204,$A183,$C$184:$C$204,"Variation"))/(COUNTIFS($D$184:$D$204,$A183,$C$184:$C$204,"Activity")+COUNTIFS($D$184:$D$204,$A183,$C$184:$C$204,"Variation")))),IF(OR($C183="Activity",$C183="Variation"),IF(OR($G183="",$H183=""),"",IF($H183&lt;$G183,"",IF($H183=$G183,--(TODAY()&gt;=$H183),MAX(0,MIN(1,(TODAY()-$G183)/($H183-$G183)))))),""))))</x:f>
      </x:c>
      <x:c r="L183" s="7" t="str">
        <x:f t="shared" si="6">IF($B183="","",IF($C183="Initiative",IF(COUNTIFS($B$5:$B$204,$B183,$C$5:$C$204,"Activity")+COUNTIFS($B$5:$B$204,$B183,$C$5:$C$204,"Variation")=0,"",IF(COUNTIFS($B$5:$B$204,$B183,$C$5:$C$204,"Activity")+COUNTIFS($B$5:$B$204,$B183,$C$5:$C$204,"Variation")&lt;&gt;COUNTIFS($B$5:$B$204,$B183,$C$5:$C$204,"Activity",$J$5:$J$204,"&lt;&gt;",$J$5:$J$204,"&gt;=0",$J$5:$J$204,"&lt;=1")+COUNTIFS($B$5:$B$204,$B183,$C$5:$C$204,"Variation",$J$5:$J$204,"&lt;&gt;",$J$5:$J$204,"&gt;=0",$J$5:$J$204,"&lt;=1"),"",(SUMIFS($J$5:$J$204,$B$5:$B$204,$B183,$C$5:$C$204,"Activity")+SUMIFS($J$5:$J$204,$B$5:$B$204,$B183,$C$5:$C$204,"Variation"))/(COUNTIFS($B$5:$B$204,$B183,$C$5:$C$204,"Activity")+COUNTIFS($B$5:$B$204,$B183,$C$5:$C$204,"Variation")))),IF($C183="Milestone",IF(COUNTIFS($D$5:$D$204,$A183,$C$5:$C$204,"Activity")+COUNTIFS($D$5:$D$204,$A183,$C$5:$C$204,"Variation")=0,"",IF(COUNTIFS($D$5:$D$204,$A183,$C$5:$C$204,"Activity")+COUNTIFS($D$5:$D$204,$A183,$C$5:$C$204,"Variation")&lt;&gt;COUNTIFS($D$5:$D$204,$A183,$C$5:$C$204,"Activity",$J$5:$J$204,"&lt;&gt;",$J$5:$J$204,"&gt;=0",$J$5:$J$204,"&lt;=1")+COUNTIFS($D$5:$D$204,$A183,$C$5:$C$204,"Variation",$J$5:$J$204,"&lt;&gt;",$J$5:$J$204,"&gt;=0",$J$5:$J$204,"&lt;=1"),"",(SUMIFS($J$5:$J$204,$D$5:$D$204,$A183,$C$5:$C$204,"Activity")+SUMIFS($J$5:$J$204,$D$5:$D$204,$A183,$C$5:$C$204,"Variation"))/(COUNTIFS($D$5:$D$204,$A183,$C$5:$C$204,"Activity")+COUNTIFS($D$5:$D$204,$A183,$C$5:$C$204,"Variation")))),IF(OR($C183="Activity",$C183="Variation"),IF(AND(ISNUMBER($J183),$J183&gt;=0,$J183&lt;=1),$J183,""),""))))</x:f>
      </x:c>
      <x:c r="M183" s="7" t="str">
        <x:f t="shared" si="7">IF(OR($K183="",$L183=""),"",$L183-$K183)</x:f>
      </x:c>
      <x:c r="N183" s="6" t="str">
        <x:f>IF(OR($B183="",$I183="",$L183=""),"",IF(AND($L183&lt;1,$I183&lt;TODAY()),"Late",IF(AND($H183&lt;&gt;"",$I183&gt;$H183),"Forecast Slip","On Plan")))</x:f>
      </x:c>
      <x:c r="O183" s="19"/>
      <x:c r="P183" s="6" t="str">
        <x:f t="shared" si="8">IF($B183="","",IF($A183="","Enter item ID",IF(COUNTIF($A$5:$A$204,$A183)&gt;1,"Duplicate item ID",IF($C183="Initiative",IF($D183&lt;&gt;"","Parent must be blank",IF(COUNTIFS($B$5:$B$204,$B183,$C$5:$C$204,"Initiative")&lt;&gt;1,"One Initiative row required",IF(COUNTIFS($D$5:$D$204,$A183,$C$5:$C$204,"Milestone")=0,"Add milestone","OK"))),IF($C183="Milestone",IF(COUNTIFS($A$5:$A$204,$D183,$B$5:$B$204,$B183,$C$5:$C$204,"Initiative")&lt;&gt;1,"Parent must be Initiative",IF(COUNTIFS($D$5:$D$204,$A183,$C$5:$C$204,"Activity")+COUNTIFS($D$5:$D$204,$A183,$C$5:$C$204,"Variation")=0,"Add activity or variation","OK")),IF(OR($C183="Activity",$C183="Variation"),IF(COUNTIFS($A$5:$A$204,$D183,$B$5:$B$204,$B183,$C$5:$C$204,"Milestone")&lt;&gt;1,"Parent must be Milestone",IF(OR($G183="",$H183=""),"Enter baseline dates",IF($H183&lt;$G183,"Baseline finish before start",IF($I183="","Enter forecast finish",IF(COUNT($J183)=0,"Enter actual %",IF(OR(NOT(ISNUMBER($J183)),$J183&lt;0,$J183&gt;1),"Actual % must be 0–100%","OK")))))),"Select level"))))))</x:f>
      </x:c>
    </x:row>
    <x:row r="184">
      <x:c r="A184" s="66" t="str" cm="1">
        <x:f t="array" ref="A184">IF(OR(B184="",C184=""),"",IF(C184="Initiative",COUNTIF($C$5:C184,"Initiative"),IF(C184="Milestone",IF(D184="","",D184&amp;"."&amp;COUNTIFS($D$5:D184,D184,$C$5:C184,"Milestone")),IF(OR(C184="Activity",C184="Variation"),IF(D184="","",D184&amp;"."&amp;(COUNTIFS($D$5:D184,D184,$C$5:C184,"Activity")+COUNTIFS($D$5:D184,D184,$C$5:C184,"Variation"))),""))))</x:f>
      </x:c>
      <x:c r="B184" s="19"/>
      <x:c r="C184" s="19"/>
      <x:c r="D184" s="20"/>
      <x:c r="E184" s="21"/>
      <x:c r="F184" s="21"/>
      <x:c r="G184" s="102"/>
      <x:c r="H184" s="102"/>
      <x:c r="I184" s="102"/>
      <x:c r="J184" s="100"/>
      <x:c r="K184" s="7" t="str">
        <x:f>IF($B184="","",IF($C184="Initiative",IF(COUNTIFS($B$185:$B$204,$B184,$C$185:$C$204,"Activity")+COUNTIFS($B$185:$B$204,$B184,$C$185:$C$204,"Variation")=0,"",IF(COUNTIFS($B$185:$B$204,$B184,$C$185:$C$204,"Activity")+COUNTIFS($B$185:$B$204,$B184,$C$185:$C$204,"Variation")&lt;&gt;COUNTIFS($B$185:$B$204,$B184,$C$185:$C$204,"Activity",$G$185:$G$204,"&lt;&gt;",$H$185:$H$204,"&lt;&gt;")+COUNTIFS($B$185:$B$204,$B184,$C$185:$C$204,"Variation",$G$185:$G$204,"&lt;&gt;",$H$185:$H$204,"&lt;&gt;"),"",(SUMIFS($K$185:$K$204,$B$185:$B$204,$B184,$C$185:$C$204,"Activity")+SUMIFS($K$185:$K$204,$B$185:$B$204,$B184,$C$185:$C$204,"Variation"))/(COUNTIFS($B$185:$B$204,$B184,$C$185:$C$204,"Activity")+COUNTIFS($B$185:$B$204,$B184,$C$185:$C$204,"Variation")))),IF($C184="Milestone",IF(COUNTIFS($D$185:$D$204,$A184,$C$185:$C$204,"Activity")+COUNTIFS($D$185:$D$204,$A184,$C$185:$C$204,"Variation")=0,"",IF(COUNTIFS($D$185:$D$204,$A184,$C$185:$C$204,"Activity")+COUNTIFS($D$185:$D$204,$A184,$C$185:$C$204,"Variation")&lt;&gt;COUNTIFS($D$185:$D$204,$A184,$C$185:$C$204,"Activity",$G$185:$G$204,"&lt;&gt;",$H$185:$H$204,"&lt;&gt;")+COUNTIFS($D$185:$D$204,$A184,$C$185:$C$204,"Variation",$G$185:$G$204,"&lt;&gt;",$H$185:$H$204,"&lt;&gt;"),"",(SUMIFS($K$185:$K$204,$D$185:$D$204,$A184,$C$185:$C$204,"Activity")+SUMIFS($K$185:$K$204,$D$185:$D$204,$A184,$C$185:$C$204,"Variation"))/(COUNTIFS($D$185:$D$204,$A184,$C$185:$C$204,"Activity")+COUNTIFS($D$185:$D$204,$A184,$C$185:$C$204,"Variation")))),IF(OR($C184="Activity",$C184="Variation"),IF(OR($G184="",$H184=""),"",IF($H184&lt;$G184,"",IF($H184=$G184,--(TODAY()&gt;=$H184),MAX(0,MIN(1,(TODAY()-$G184)/($H184-$G184)))))),""))))</x:f>
      </x:c>
      <x:c r="L184" s="7" t="str">
        <x:f t="shared" si="6">IF($B184="","",IF($C184="Initiative",IF(COUNTIFS($B$5:$B$204,$B184,$C$5:$C$204,"Activity")+COUNTIFS($B$5:$B$204,$B184,$C$5:$C$204,"Variation")=0,"",IF(COUNTIFS($B$5:$B$204,$B184,$C$5:$C$204,"Activity")+COUNTIFS($B$5:$B$204,$B184,$C$5:$C$204,"Variation")&lt;&gt;COUNTIFS($B$5:$B$204,$B184,$C$5:$C$204,"Activity",$J$5:$J$204,"&lt;&gt;",$J$5:$J$204,"&gt;=0",$J$5:$J$204,"&lt;=1")+COUNTIFS($B$5:$B$204,$B184,$C$5:$C$204,"Variation",$J$5:$J$204,"&lt;&gt;",$J$5:$J$204,"&gt;=0",$J$5:$J$204,"&lt;=1"),"",(SUMIFS($J$5:$J$204,$B$5:$B$204,$B184,$C$5:$C$204,"Activity")+SUMIFS($J$5:$J$204,$B$5:$B$204,$B184,$C$5:$C$204,"Variation"))/(COUNTIFS($B$5:$B$204,$B184,$C$5:$C$204,"Activity")+COUNTIFS($B$5:$B$204,$B184,$C$5:$C$204,"Variation")))),IF($C184="Milestone",IF(COUNTIFS($D$5:$D$204,$A184,$C$5:$C$204,"Activity")+COUNTIFS($D$5:$D$204,$A184,$C$5:$C$204,"Variation")=0,"",IF(COUNTIFS($D$5:$D$204,$A184,$C$5:$C$204,"Activity")+COUNTIFS($D$5:$D$204,$A184,$C$5:$C$204,"Variation")&lt;&gt;COUNTIFS($D$5:$D$204,$A184,$C$5:$C$204,"Activity",$J$5:$J$204,"&lt;&gt;",$J$5:$J$204,"&gt;=0",$J$5:$J$204,"&lt;=1")+COUNTIFS($D$5:$D$204,$A184,$C$5:$C$204,"Variation",$J$5:$J$204,"&lt;&gt;",$J$5:$J$204,"&gt;=0",$J$5:$J$204,"&lt;=1"),"",(SUMIFS($J$5:$J$204,$D$5:$D$204,$A184,$C$5:$C$204,"Activity")+SUMIFS($J$5:$J$204,$D$5:$D$204,$A184,$C$5:$C$204,"Variation"))/(COUNTIFS($D$5:$D$204,$A184,$C$5:$C$204,"Activity")+COUNTIFS($D$5:$D$204,$A184,$C$5:$C$204,"Variation")))),IF(OR($C184="Activity",$C184="Variation"),IF(AND(ISNUMBER($J184),$J184&gt;=0,$J184&lt;=1),$J184,""),""))))</x:f>
      </x:c>
      <x:c r="M184" s="7" t="str">
        <x:f t="shared" si="7">IF(OR($K184="",$L184=""),"",$L184-$K184)</x:f>
      </x:c>
      <x:c r="N184" s="6" t="str">
        <x:f>IF(OR($B184="",$I184="",$L184=""),"",IF(AND($L184&lt;1,$I184&lt;TODAY()),"Late",IF(AND($H184&lt;&gt;"",$I184&gt;$H184),"Forecast Slip","On Plan")))</x:f>
      </x:c>
      <x:c r="O184" s="19"/>
      <x:c r="P184" s="6" t="str">
        <x:f t="shared" si="8">IF($B184="","",IF($A184="","Enter item ID",IF(COUNTIF($A$5:$A$204,$A184)&gt;1,"Duplicate item ID",IF($C184="Initiative",IF($D184&lt;&gt;"","Parent must be blank",IF(COUNTIFS($B$5:$B$204,$B184,$C$5:$C$204,"Initiative")&lt;&gt;1,"One Initiative row required",IF(COUNTIFS($D$5:$D$204,$A184,$C$5:$C$204,"Milestone")=0,"Add milestone","OK"))),IF($C184="Milestone",IF(COUNTIFS($A$5:$A$204,$D184,$B$5:$B$204,$B184,$C$5:$C$204,"Initiative")&lt;&gt;1,"Parent must be Initiative",IF(COUNTIFS($D$5:$D$204,$A184,$C$5:$C$204,"Activity")+COUNTIFS($D$5:$D$204,$A184,$C$5:$C$204,"Variation")=0,"Add activity or variation","OK")),IF(OR($C184="Activity",$C184="Variation"),IF(COUNTIFS($A$5:$A$204,$D184,$B$5:$B$204,$B184,$C$5:$C$204,"Milestone")&lt;&gt;1,"Parent must be Milestone",IF(OR($G184="",$H184=""),"Enter baseline dates",IF($H184&lt;$G184,"Baseline finish before start",IF($I184="","Enter forecast finish",IF(COUNT($J184)=0,"Enter actual %",IF(OR(NOT(ISNUMBER($J184)),$J184&lt;0,$J184&gt;1),"Actual % must be 0–100%","OK")))))),"Select level"))))))</x:f>
      </x:c>
    </x:row>
    <x:row r="185">
      <x:c r="A185" s="66" t="str" cm="1">
        <x:f t="array" ref="A185">IF(OR(B185="",C185=""),"",IF(C185="Initiative",COUNTIF($C$5:C185,"Initiative"),IF(C185="Milestone",IF(D185="","",D185&amp;"."&amp;COUNTIFS($D$5:D185,D185,$C$5:C185,"Milestone")),IF(OR(C185="Activity",C185="Variation"),IF(D185="","",D185&amp;"."&amp;(COUNTIFS($D$5:D185,D185,$C$5:C185,"Activity")+COUNTIFS($D$5:D185,D185,$C$5:C185,"Variation"))),""))))</x:f>
      </x:c>
      <x:c r="B185" s="19"/>
      <x:c r="C185" s="19"/>
      <x:c r="D185" s="20"/>
      <x:c r="E185" s="21"/>
      <x:c r="F185" s="21"/>
      <x:c r="G185" s="102"/>
      <x:c r="H185" s="102"/>
      <x:c r="I185" s="102"/>
      <x:c r="J185" s="100"/>
      <x:c r="K185" s="7" t="str">
        <x:f>IF($B185="","",IF($C185="Initiative",IF(COUNTIFS($B$186:$B$204,$B185,$C$186:$C$204,"Activity")+COUNTIFS($B$186:$B$204,$B185,$C$186:$C$204,"Variation")=0,"",IF(COUNTIFS($B$186:$B$204,$B185,$C$186:$C$204,"Activity")+COUNTIFS($B$186:$B$204,$B185,$C$186:$C$204,"Variation")&lt;&gt;COUNTIFS($B$186:$B$204,$B185,$C$186:$C$204,"Activity",$G$186:$G$204,"&lt;&gt;",$H$186:$H$204,"&lt;&gt;")+COUNTIFS($B$186:$B$204,$B185,$C$186:$C$204,"Variation",$G$186:$G$204,"&lt;&gt;",$H$186:$H$204,"&lt;&gt;"),"",(SUMIFS($K$186:$K$204,$B$186:$B$204,$B185,$C$186:$C$204,"Activity")+SUMIFS($K$186:$K$204,$B$186:$B$204,$B185,$C$186:$C$204,"Variation"))/(COUNTIFS($B$186:$B$204,$B185,$C$186:$C$204,"Activity")+COUNTIFS($B$186:$B$204,$B185,$C$186:$C$204,"Variation")))),IF($C185="Milestone",IF(COUNTIFS($D$186:$D$204,$A185,$C$186:$C$204,"Activity")+COUNTIFS($D$186:$D$204,$A185,$C$186:$C$204,"Variation")=0,"",IF(COUNTIFS($D$186:$D$204,$A185,$C$186:$C$204,"Activity")+COUNTIFS($D$186:$D$204,$A185,$C$186:$C$204,"Variation")&lt;&gt;COUNTIFS($D$186:$D$204,$A185,$C$186:$C$204,"Activity",$G$186:$G$204,"&lt;&gt;",$H$186:$H$204,"&lt;&gt;")+COUNTIFS($D$186:$D$204,$A185,$C$186:$C$204,"Variation",$G$186:$G$204,"&lt;&gt;",$H$186:$H$204,"&lt;&gt;"),"",(SUMIFS($K$186:$K$204,$D$186:$D$204,$A185,$C$186:$C$204,"Activity")+SUMIFS($K$186:$K$204,$D$186:$D$204,$A185,$C$186:$C$204,"Variation"))/(COUNTIFS($D$186:$D$204,$A185,$C$186:$C$204,"Activity")+COUNTIFS($D$186:$D$204,$A185,$C$186:$C$204,"Variation")))),IF(OR($C185="Activity",$C185="Variation"),IF(OR($G185="",$H185=""),"",IF($H185&lt;$G185,"",IF($H185=$G185,--(TODAY()&gt;=$H185),MAX(0,MIN(1,(TODAY()-$G185)/($H185-$G185)))))),""))))</x:f>
      </x:c>
      <x:c r="L185" s="7" t="str">
        <x:f t="shared" si="6">IF($B185="","",IF($C185="Initiative",IF(COUNTIFS($B$5:$B$204,$B185,$C$5:$C$204,"Activity")+COUNTIFS($B$5:$B$204,$B185,$C$5:$C$204,"Variation")=0,"",IF(COUNTIFS($B$5:$B$204,$B185,$C$5:$C$204,"Activity")+COUNTIFS($B$5:$B$204,$B185,$C$5:$C$204,"Variation")&lt;&gt;COUNTIFS($B$5:$B$204,$B185,$C$5:$C$204,"Activity",$J$5:$J$204,"&lt;&gt;",$J$5:$J$204,"&gt;=0",$J$5:$J$204,"&lt;=1")+COUNTIFS($B$5:$B$204,$B185,$C$5:$C$204,"Variation",$J$5:$J$204,"&lt;&gt;",$J$5:$J$204,"&gt;=0",$J$5:$J$204,"&lt;=1"),"",(SUMIFS($J$5:$J$204,$B$5:$B$204,$B185,$C$5:$C$204,"Activity")+SUMIFS($J$5:$J$204,$B$5:$B$204,$B185,$C$5:$C$204,"Variation"))/(COUNTIFS($B$5:$B$204,$B185,$C$5:$C$204,"Activity")+COUNTIFS($B$5:$B$204,$B185,$C$5:$C$204,"Variation")))),IF($C185="Milestone",IF(COUNTIFS($D$5:$D$204,$A185,$C$5:$C$204,"Activity")+COUNTIFS($D$5:$D$204,$A185,$C$5:$C$204,"Variation")=0,"",IF(COUNTIFS($D$5:$D$204,$A185,$C$5:$C$204,"Activity")+COUNTIFS($D$5:$D$204,$A185,$C$5:$C$204,"Variation")&lt;&gt;COUNTIFS($D$5:$D$204,$A185,$C$5:$C$204,"Activity",$J$5:$J$204,"&lt;&gt;",$J$5:$J$204,"&gt;=0",$J$5:$J$204,"&lt;=1")+COUNTIFS($D$5:$D$204,$A185,$C$5:$C$204,"Variation",$J$5:$J$204,"&lt;&gt;",$J$5:$J$204,"&gt;=0",$J$5:$J$204,"&lt;=1"),"",(SUMIFS($J$5:$J$204,$D$5:$D$204,$A185,$C$5:$C$204,"Activity")+SUMIFS($J$5:$J$204,$D$5:$D$204,$A185,$C$5:$C$204,"Variation"))/(COUNTIFS($D$5:$D$204,$A185,$C$5:$C$204,"Activity")+COUNTIFS($D$5:$D$204,$A185,$C$5:$C$204,"Variation")))),IF(OR($C185="Activity",$C185="Variation"),IF(AND(ISNUMBER($J185),$J185&gt;=0,$J185&lt;=1),$J185,""),""))))</x:f>
      </x:c>
      <x:c r="M185" s="7" t="str">
        <x:f t="shared" si="7">IF(OR($K185="",$L185=""),"",$L185-$K185)</x:f>
      </x:c>
      <x:c r="N185" s="6" t="str">
        <x:f>IF(OR($B185="",$I185="",$L185=""),"",IF(AND($L185&lt;1,$I185&lt;TODAY()),"Late",IF(AND($H185&lt;&gt;"",$I185&gt;$H185),"Forecast Slip","On Plan")))</x:f>
      </x:c>
      <x:c r="O185" s="19"/>
      <x:c r="P185" s="6" t="str">
        <x:f t="shared" si="8">IF($B185="","",IF($A185="","Enter item ID",IF(COUNTIF($A$5:$A$204,$A185)&gt;1,"Duplicate item ID",IF($C185="Initiative",IF($D185&lt;&gt;"","Parent must be blank",IF(COUNTIFS($B$5:$B$204,$B185,$C$5:$C$204,"Initiative")&lt;&gt;1,"One Initiative row required",IF(COUNTIFS($D$5:$D$204,$A185,$C$5:$C$204,"Milestone")=0,"Add milestone","OK"))),IF($C185="Milestone",IF(COUNTIFS($A$5:$A$204,$D185,$B$5:$B$204,$B185,$C$5:$C$204,"Initiative")&lt;&gt;1,"Parent must be Initiative",IF(COUNTIFS($D$5:$D$204,$A185,$C$5:$C$204,"Activity")+COUNTIFS($D$5:$D$204,$A185,$C$5:$C$204,"Variation")=0,"Add activity or variation","OK")),IF(OR($C185="Activity",$C185="Variation"),IF(COUNTIFS($A$5:$A$204,$D185,$B$5:$B$204,$B185,$C$5:$C$204,"Milestone")&lt;&gt;1,"Parent must be Milestone",IF(OR($G185="",$H185=""),"Enter baseline dates",IF($H185&lt;$G185,"Baseline finish before start",IF($I185="","Enter forecast finish",IF(COUNT($J185)=0,"Enter actual %",IF(OR(NOT(ISNUMBER($J185)),$J185&lt;0,$J185&gt;1),"Actual % must be 0–100%","OK")))))),"Select level"))))))</x:f>
      </x:c>
    </x:row>
    <x:row r="186">
      <x:c r="A186" s="66" t="str" cm="1">
        <x:f t="array" ref="A186">IF(OR(B186="",C186=""),"",IF(C186="Initiative",COUNTIF($C$5:C186,"Initiative"),IF(C186="Milestone",IF(D186="","",D186&amp;"."&amp;COUNTIFS($D$5:D186,D186,$C$5:C186,"Milestone")),IF(OR(C186="Activity",C186="Variation"),IF(D186="","",D186&amp;"."&amp;(COUNTIFS($D$5:D186,D186,$C$5:C186,"Activity")+COUNTIFS($D$5:D186,D186,$C$5:C186,"Variation"))),""))))</x:f>
      </x:c>
      <x:c r="B186" s="19"/>
      <x:c r="C186" s="19"/>
      <x:c r="D186" s="20"/>
      <x:c r="E186" s="21"/>
      <x:c r="F186" s="21"/>
      <x:c r="G186" s="102"/>
      <x:c r="H186" s="102"/>
      <x:c r="I186" s="102"/>
      <x:c r="J186" s="100"/>
      <x:c r="K186" s="7" t="str">
        <x:f>IF($B186="","",IF($C186="Initiative",IF(COUNTIFS($B$187:$B$204,$B186,$C$187:$C$204,"Activity")+COUNTIFS($B$187:$B$204,$B186,$C$187:$C$204,"Variation")=0,"",IF(COUNTIFS($B$187:$B$204,$B186,$C$187:$C$204,"Activity")+COUNTIFS($B$187:$B$204,$B186,$C$187:$C$204,"Variation")&lt;&gt;COUNTIFS($B$187:$B$204,$B186,$C$187:$C$204,"Activity",$G$187:$G$204,"&lt;&gt;",$H$187:$H$204,"&lt;&gt;")+COUNTIFS($B$187:$B$204,$B186,$C$187:$C$204,"Variation",$G$187:$G$204,"&lt;&gt;",$H$187:$H$204,"&lt;&gt;"),"",(SUMIFS($K$187:$K$204,$B$187:$B$204,$B186,$C$187:$C$204,"Activity")+SUMIFS($K$187:$K$204,$B$187:$B$204,$B186,$C$187:$C$204,"Variation"))/(COUNTIFS($B$187:$B$204,$B186,$C$187:$C$204,"Activity")+COUNTIFS($B$187:$B$204,$B186,$C$187:$C$204,"Variation")))),IF($C186="Milestone",IF(COUNTIFS($D$187:$D$204,$A186,$C$187:$C$204,"Activity")+COUNTIFS($D$187:$D$204,$A186,$C$187:$C$204,"Variation")=0,"",IF(COUNTIFS($D$187:$D$204,$A186,$C$187:$C$204,"Activity")+COUNTIFS($D$187:$D$204,$A186,$C$187:$C$204,"Variation")&lt;&gt;COUNTIFS($D$187:$D$204,$A186,$C$187:$C$204,"Activity",$G$187:$G$204,"&lt;&gt;",$H$187:$H$204,"&lt;&gt;")+COUNTIFS($D$187:$D$204,$A186,$C$187:$C$204,"Variation",$G$187:$G$204,"&lt;&gt;",$H$187:$H$204,"&lt;&gt;"),"",(SUMIFS($K$187:$K$204,$D$187:$D$204,$A186,$C$187:$C$204,"Activity")+SUMIFS($K$187:$K$204,$D$187:$D$204,$A186,$C$187:$C$204,"Variation"))/(COUNTIFS($D$187:$D$204,$A186,$C$187:$C$204,"Activity")+COUNTIFS($D$187:$D$204,$A186,$C$187:$C$204,"Variation")))),IF(OR($C186="Activity",$C186="Variation"),IF(OR($G186="",$H186=""),"",IF($H186&lt;$G186,"",IF($H186=$G186,--(TODAY()&gt;=$H186),MAX(0,MIN(1,(TODAY()-$G186)/($H186-$G186)))))),""))))</x:f>
      </x:c>
      <x:c r="L186" s="7" t="str">
        <x:f t="shared" si="6">IF($B186="","",IF($C186="Initiative",IF(COUNTIFS($B$5:$B$204,$B186,$C$5:$C$204,"Activity")+COUNTIFS($B$5:$B$204,$B186,$C$5:$C$204,"Variation")=0,"",IF(COUNTIFS($B$5:$B$204,$B186,$C$5:$C$204,"Activity")+COUNTIFS($B$5:$B$204,$B186,$C$5:$C$204,"Variation")&lt;&gt;COUNTIFS($B$5:$B$204,$B186,$C$5:$C$204,"Activity",$J$5:$J$204,"&lt;&gt;",$J$5:$J$204,"&gt;=0",$J$5:$J$204,"&lt;=1")+COUNTIFS($B$5:$B$204,$B186,$C$5:$C$204,"Variation",$J$5:$J$204,"&lt;&gt;",$J$5:$J$204,"&gt;=0",$J$5:$J$204,"&lt;=1"),"",(SUMIFS($J$5:$J$204,$B$5:$B$204,$B186,$C$5:$C$204,"Activity")+SUMIFS($J$5:$J$204,$B$5:$B$204,$B186,$C$5:$C$204,"Variation"))/(COUNTIFS($B$5:$B$204,$B186,$C$5:$C$204,"Activity")+COUNTIFS($B$5:$B$204,$B186,$C$5:$C$204,"Variation")))),IF($C186="Milestone",IF(COUNTIFS($D$5:$D$204,$A186,$C$5:$C$204,"Activity")+COUNTIFS($D$5:$D$204,$A186,$C$5:$C$204,"Variation")=0,"",IF(COUNTIFS($D$5:$D$204,$A186,$C$5:$C$204,"Activity")+COUNTIFS($D$5:$D$204,$A186,$C$5:$C$204,"Variation")&lt;&gt;COUNTIFS($D$5:$D$204,$A186,$C$5:$C$204,"Activity",$J$5:$J$204,"&lt;&gt;",$J$5:$J$204,"&gt;=0",$J$5:$J$204,"&lt;=1")+COUNTIFS($D$5:$D$204,$A186,$C$5:$C$204,"Variation",$J$5:$J$204,"&lt;&gt;",$J$5:$J$204,"&gt;=0",$J$5:$J$204,"&lt;=1"),"",(SUMIFS($J$5:$J$204,$D$5:$D$204,$A186,$C$5:$C$204,"Activity")+SUMIFS($J$5:$J$204,$D$5:$D$204,$A186,$C$5:$C$204,"Variation"))/(COUNTIFS($D$5:$D$204,$A186,$C$5:$C$204,"Activity")+COUNTIFS($D$5:$D$204,$A186,$C$5:$C$204,"Variation")))),IF(OR($C186="Activity",$C186="Variation"),IF(AND(ISNUMBER($J186),$J186&gt;=0,$J186&lt;=1),$J186,""),""))))</x:f>
      </x:c>
      <x:c r="M186" s="7" t="str">
        <x:f t="shared" si="7">IF(OR($K186="",$L186=""),"",$L186-$K186)</x:f>
      </x:c>
      <x:c r="N186" s="6" t="str">
        <x:f>IF(OR($B186="",$I186="",$L186=""),"",IF(AND($L186&lt;1,$I186&lt;TODAY()),"Late",IF(AND($H186&lt;&gt;"",$I186&gt;$H186),"Forecast Slip","On Plan")))</x:f>
      </x:c>
      <x:c r="O186" s="19"/>
      <x:c r="P186" s="6" t="str">
        <x:f t="shared" si="8">IF($B186="","",IF($A186="","Enter item ID",IF(COUNTIF($A$5:$A$204,$A186)&gt;1,"Duplicate item ID",IF($C186="Initiative",IF($D186&lt;&gt;"","Parent must be blank",IF(COUNTIFS($B$5:$B$204,$B186,$C$5:$C$204,"Initiative")&lt;&gt;1,"One Initiative row required",IF(COUNTIFS($D$5:$D$204,$A186,$C$5:$C$204,"Milestone")=0,"Add milestone","OK"))),IF($C186="Milestone",IF(COUNTIFS($A$5:$A$204,$D186,$B$5:$B$204,$B186,$C$5:$C$204,"Initiative")&lt;&gt;1,"Parent must be Initiative",IF(COUNTIFS($D$5:$D$204,$A186,$C$5:$C$204,"Activity")+COUNTIFS($D$5:$D$204,$A186,$C$5:$C$204,"Variation")=0,"Add activity or variation","OK")),IF(OR($C186="Activity",$C186="Variation"),IF(COUNTIFS($A$5:$A$204,$D186,$B$5:$B$204,$B186,$C$5:$C$204,"Milestone")&lt;&gt;1,"Parent must be Milestone",IF(OR($G186="",$H186=""),"Enter baseline dates",IF($H186&lt;$G186,"Baseline finish before start",IF($I186="","Enter forecast finish",IF(COUNT($J186)=0,"Enter actual %",IF(OR(NOT(ISNUMBER($J186)),$J186&lt;0,$J186&gt;1),"Actual % must be 0–100%","OK")))))),"Select level"))))))</x:f>
      </x:c>
    </x:row>
    <x:row r="187">
      <x:c r="A187" s="66" t="str" cm="1">
        <x:f t="array" ref="A187">IF(OR(B187="",C187=""),"",IF(C187="Initiative",COUNTIF($C$5:C187,"Initiative"),IF(C187="Milestone",IF(D187="","",D187&amp;"."&amp;COUNTIFS($D$5:D187,D187,$C$5:C187,"Milestone")),IF(OR(C187="Activity",C187="Variation"),IF(D187="","",D187&amp;"."&amp;(COUNTIFS($D$5:D187,D187,$C$5:C187,"Activity")+COUNTIFS($D$5:D187,D187,$C$5:C187,"Variation"))),""))))</x:f>
      </x:c>
      <x:c r="B187" s="19"/>
      <x:c r="C187" s="19"/>
      <x:c r="D187" s="20"/>
      <x:c r="E187" s="21"/>
      <x:c r="F187" s="21"/>
      <x:c r="G187" s="102"/>
      <x:c r="H187" s="102"/>
      <x:c r="I187" s="102"/>
      <x:c r="J187" s="100"/>
      <x:c r="K187" s="7" t="str">
        <x:f>IF($B187="","",IF($C187="Initiative",IF(COUNTIFS($B$188:$B$204,$B187,$C$188:$C$204,"Activity")+COUNTIFS($B$188:$B$204,$B187,$C$188:$C$204,"Variation")=0,"",IF(COUNTIFS($B$188:$B$204,$B187,$C$188:$C$204,"Activity")+COUNTIFS($B$188:$B$204,$B187,$C$188:$C$204,"Variation")&lt;&gt;COUNTIFS($B$188:$B$204,$B187,$C$188:$C$204,"Activity",$G$188:$G$204,"&lt;&gt;",$H$188:$H$204,"&lt;&gt;")+COUNTIFS($B$188:$B$204,$B187,$C$188:$C$204,"Variation",$G$188:$G$204,"&lt;&gt;",$H$188:$H$204,"&lt;&gt;"),"",(SUMIFS($K$188:$K$204,$B$188:$B$204,$B187,$C$188:$C$204,"Activity")+SUMIFS($K$188:$K$204,$B$188:$B$204,$B187,$C$188:$C$204,"Variation"))/(COUNTIFS($B$188:$B$204,$B187,$C$188:$C$204,"Activity")+COUNTIFS($B$188:$B$204,$B187,$C$188:$C$204,"Variation")))),IF($C187="Milestone",IF(COUNTIFS($D$188:$D$204,$A187,$C$188:$C$204,"Activity")+COUNTIFS($D$188:$D$204,$A187,$C$188:$C$204,"Variation")=0,"",IF(COUNTIFS($D$188:$D$204,$A187,$C$188:$C$204,"Activity")+COUNTIFS($D$188:$D$204,$A187,$C$188:$C$204,"Variation")&lt;&gt;COUNTIFS($D$188:$D$204,$A187,$C$188:$C$204,"Activity",$G$188:$G$204,"&lt;&gt;",$H$188:$H$204,"&lt;&gt;")+COUNTIFS($D$188:$D$204,$A187,$C$188:$C$204,"Variation",$G$188:$G$204,"&lt;&gt;",$H$188:$H$204,"&lt;&gt;"),"",(SUMIFS($K$188:$K$204,$D$188:$D$204,$A187,$C$188:$C$204,"Activity")+SUMIFS($K$188:$K$204,$D$188:$D$204,$A187,$C$188:$C$204,"Variation"))/(COUNTIFS($D$188:$D$204,$A187,$C$188:$C$204,"Activity")+COUNTIFS($D$188:$D$204,$A187,$C$188:$C$204,"Variation")))),IF(OR($C187="Activity",$C187="Variation"),IF(OR($G187="",$H187=""),"",IF($H187&lt;$G187,"",IF($H187=$G187,--(TODAY()&gt;=$H187),MAX(0,MIN(1,(TODAY()-$G187)/($H187-$G187)))))),""))))</x:f>
      </x:c>
      <x:c r="L187" s="7" t="str">
        <x:f t="shared" si="6">IF($B187="","",IF($C187="Initiative",IF(COUNTIFS($B$5:$B$204,$B187,$C$5:$C$204,"Activity")+COUNTIFS($B$5:$B$204,$B187,$C$5:$C$204,"Variation")=0,"",IF(COUNTIFS($B$5:$B$204,$B187,$C$5:$C$204,"Activity")+COUNTIFS($B$5:$B$204,$B187,$C$5:$C$204,"Variation")&lt;&gt;COUNTIFS($B$5:$B$204,$B187,$C$5:$C$204,"Activity",$J$5:$J$204,"&lt;&gt;",$J$5:$J$204,"&gt;=0",$J$5:$J$204,"&lt;=1")+COUNTIFS($B$5:$B$204,$B187,$C$5:$C$204,"Variation",$J$5:$J$204,"&lt;&gt;",$J$5:$J$204,"&gt;=0",$J$5:$J$204,"&lt;=1"),"",(SUMIFS($J$5:$J$204,$B$5:$B$204,$B187,$C$5:$C$204,"Activity")+SUMIFS($J$5:$J$204,$B$5:$B$204,$B187,$C$5:$C$204,"Variation"))/(COUNTIFS($B$5:$B$204,$B187,$C$5:$C$204,"Activity")+COUNTIFS($B$5:$B$204,$B187,$C$5:$C$204,"Variation")))),IF($C187="Milestone",IF(COUNTIFS($D$5:$D$204,$A187,$C$5:$C$204,"Activity")+COUNTIFS($D$5:$D$204,$A187,$C$5:$C$204,"Variation")=0,"",IF(COUNTIFS($D$5:$D$204,$A187,$C$5:$C$204,"Activity")+COUNTIFS($D$5:$D$204,$A187,$C$5:$C$204,"Variation")&lt;&gt;COUNTIFS($D$5:$D$204,$A187,$C$5:$C$204,"Activity",$J$5:$J$204,"&lt;&gt;",$J$5:$J$204,"&gt;=0",$J$5:$J$204,"&lt;=1")+COUNTIFS($D$5:$D$204,$A187,$C$5:$C$204,"Variation",$J$5:$J$204,"&lt;&gt;",$J$5:$J$204,"&gt;=0",$J$5:$J$204,"&lt;=1"),"",(SUMIFS($J$5:$J$204,$D$5:$D$204,$A187,$C$5:$C$204,"Activity")+SUMIFS($J$5:$J$204,$D$5:$D$204,$A187,$C$5:$C$204,"Variation"))/(COUNTIFS($D$5:$D$204,$A187,$C$5:$C$204,"Activity")+COUNTIFS($D$5:$D$204,$A187,$C$5:$C$204,"Variation")))),IF(OR($C187="Activity",$C187="Variation"),IF(AND(ISNUMBER($J187),$J187&gt;=0,$J187&lt;=1),$J187,""),""))))</x:f>
      </x:c>
      <x:c r="M187" s="7" t="str">
        <x:f t="shared" si="7">IF(OR($K187="",$L187=""),"",$L187-$K187)</x:f>
      </x:c>
      <x:c r="N187" s="6" t="str">
        <x:f>IF(OR($B187="",$I187="",$L187=""),"",IF(AND($L187&lt;1,$I187&lt;TODAY()),"Late",IF(AND($H187&lt;&gt;"",$I187&gt;$H187),"Forecast Slip","On Plan")))</x:f>
      </x:c>
      <x:c r="O187" s="19"/>
      <x:c r="P187" s="6" t="str">
        <x:f t="shared" si="8">IF($B187="","",IF($A187="","Enter item ID",IF(COUNTIF($A$5:$A$204,$A187)&gt;1,"Duplicate item ID",IF($C187="Initiative",IF($D187&lt;&gt;"","Parent must be blank",IF(COUNTIFS($B$5:$B$204,$B187,$C$5:$C$204,"Initiative")&lt;&gt;1,"One Initiative row required",IF(COUNTIFS($D$5:$D$204,$A187,$C$5:$C$204,"Milestone")=0,"Add milestone","OK"))),IF($C187="Milestone",IF(COUNTIFS($A$5:$A$204,$D187,$B$5:$B$204,$B187,$C$5:$C$204,"Initiative")&lt;&gt;1,"Parent must be Initiative",IF(COUNTIFS($D$5:$D$204,$A187,$C$5:$C$204,"Activity")+COUNTIFS($D$5:$D$204,$A187,$C$5:$C$204,"Variation")=0,"Add activity or variation","OK")),IF(OR($C187="Activity",$C187="Variation"),IF(COUNTIFS($A$5:$A$204,$D187,$B$5:$B$204,$B187,$C$5:$C$204,"Milestone")&lt;&gt;1,"Parent must be Milestone",IF(OR($G187="",$H187=""),"Enter baseline dates",IF($H187&lt;$G187,"Baseline finish before start",IF($I187="","Enter forecast finish",IF(COUNT($J187)=0,"Enter actual %",IF(OR(NOT(ISNUMBER($J187)),$J187&lt;0,$J187&gt;1),"Actual % must be 0–100%","OK")))))),"Select level"))))))</x:f>
      </x:c>
    </x:row>
    <x:row r="188">
      <x:c r="A188" s="66" t="str" cm="1">
        <x:f t="array" ref="A188">IF(OR(B188="",C188=""),"",IF(C188="Initiative",COUNTIF($C$5:C188,"Initiative"),IF(C188="Milestone",IF(D188="","",D188&amp;"."&amp;COUNTIFS($D$5:D188,D188,$C$5:C188,"Milestone")),IF(OR(C188="Activity",C188="Variation"),IF(D188="","",D188&amp;"."&amp;(COUNTIFS($D$5:D188,D188,$C$5:C188,"Activity")+COUNTIFS($D$5:D188,D188,$C$5:C188,"Variation"))),""))))</x:f>
      </x:c>
      <x:c r="B188" s="19"/>
      <x:c r="C188" s="19"/>
      <x:c r="D188" s="20"/>
      <x:c r="E188" s="21"/>
      <x:c r="F188" s="21"/>
      <x:c r="G188" s="102"/>
      <x:c r="H188" s="102"/>
      <x:c r="I188" s="102"/>
      <x:c r="J188" s="100"/>
      <x:c r="K188" s="7" t="str">
        <x:f>IF($B188="","",IF($C188="Initiative",IF(COUNTIFS($B$189:$B$204,$B188,$C$189:$C$204,"Activity")+COUNTIFS($B$189:$B$204,$B188,$C$189:$C$204,"Variation")=0,"",IF(COUNTIFS($B$189:$B$204,$B188,$C$189:$C$204,"Activity")+COUNTIFS($B$189:$B$204,$B188,$C$189:$C$204,"Variation")&lt;&gt;COUNTIFS($B$189:$B$204,$B188,$C$189:$C$204,"Activity",$G$189:$G$204,"&lt;&gt;",$H$189:$H$204,"&lt;&gt;")+COUNTIFS($B$189:$B$204,$B188,$C$189:$C$204,"Variation",$G$189:$G$204,"&lt;&gt;",$H$189:$H$204,"&lt;&gt;"),"",(SUMIFS($K$189:$K$204,$B$189:$B$204,$B188,$C$189:$C$204,"Activity")+SUMIFS($K$189:$K$204,$B$189:$B$204,$B188,$C$189:$C$204,"Variation"))/(COUNTIFS($B$189:$B$204,$B188,$C$189:$C$204,"Activity")+COUNTIFS($B$189:$B$204,$B188,$C$189:$C$204,"Variation")))),IF($C188="Milestone",IF(COUNTIFS($D$189:$D$204,$A188,$C$189:$C$204,"Activity")+COUNTIFS($D$189:$D$204,$A188,$C$189:$C$204,"Variation")=0,"",IF(COUNTIFS($D$189:$D$204,$A188,$C$189:$C$204,"Activity")+COUNTIFS($D$189:$D$204,$A188,$C$189:$C$204,"Variation")&lt;&gt;COUNTIFS($D$189:$D$204,$A188,$C$189:$C$204,"Activity",$G$189:$G$204,"&lt;&gt;",$H$189:$H$204,"&lt;&gt;")+COUNTIFS($D$189:$D$204,$A188,$C$189:$C$204,"Variation",$G$189:$G$204,"&lt;&gt;",$H$189:$H$204,"&lt;&gt;"),"",(SUMIFS($K$189:$K$204,$D$189:$D$204,$A188,$C$189:$C$204,"Activity")+SUMIFS($K$189:$K$204,$D$189:$D$204,$A188,$C$189:$C$204,"Variation"))/(COUNTIFS($D$189:$D$204,$A188,$C$189:$C$204,"Activity")+COUNTIFS($D$189:$D$204,$A188,$C$189:$C$204,"Variation")))),IF(OR($C188="Activity",$C188="Variation"),IF(OR($G188="",$H188=""),"",IF($H188&lt;$G188,"",IF($H188=$G188,--(TODAY()&gt;=$H188),MAX(0,MIN(1,(TODAY()-$G188)/($H188-$G188)))))),""))))</x:f>
      </x:c>
      <x:c r="L188" s="7" t="str">
        <x:f t="shared" si="6">IF($B188="","",IF($C188="Initiative",IF(COUNTIFS($B$5:$B$204,$B188,$C$5:$C$204,"Activity")+COUNTIFS($B$5:$B$204,$B188,$C$5:$C$204,"Variation")=0,"",IF(COUNTIFS($B$5:$B$204,$B188,$C$5:$C$204,"Activity")+COUNTIFS($B$5:$B$204,$B188,$C$5:$C$204,"Variation")&lt;&gt;COUNTIFS($B$5:$B$204,$B188,$C$5:$C$204,"Activity",$J$5:$J$204,"&lt;&gt;",$J$5:$J$204,"&gt;=0",$J$5:$J$204,"&lt;=1")+COUNTIFS($B$5:$B$204,$B188,$C$5:$C$204,"Variation",$J$5:$J$204,"&lt;&gt;",$J$5:$J$204,"&gt;=0",$J$5:$J$204,"&lt;=1"),"",(SUMIFS($J$5:$J$204,$B$5:$B$204,$B188,$C$5:$C$204,"Activity")+SUMIFS($J$5:$J$204,$B$5:$B$204,$B188,$C$5:$C$204,"Variation"))/(COUNTIFS($B$5:$B$204,$B188,$C$5:$C$204,"Activity")+COUNTIFS($B$5:$B$204,$B188,$C$5:$C$204,"Variation")))),IF($C188="Milestone",IF(COUNTIFS($D$5:$D$204,$A188,$C$5:$C$204,"Activity")+COUNTIFS($D$5:$D$204,$A188,$C$5:$C$204,"Variation")=0,"",IF(COUNTIFS($D$5:$D$204,$A188,$C$5:$C$204,"Activity")+COUNTIFS($D$5:$D$204,$A188,$C$5:$C$204,"Variation")&lt;&gt;COUNTIFS($D$5:$D$204,$A188,$C$5:$C$204,"Activity",$J$5:$J$204,"&lt;&gt;",$J$5:$J$204,"&gt;=0",$J$5:$J$204,"&lt;=1")+COUNTIFS($D$5:$D$204,$A188,$C$5:$C$204,"Variation",$J$5:$J$204,"&lt;&gt;",$J$5:$J$204,"&gt;=0",$J$5:$J$204,"&lt;=1"),"",(SUMIFS($J$5:$J$204,$D$5:$D$204,$A188,$C$5:$C$204,"Activity")+SUMIFS($J$5:$J$204,$D$5:$D$204,$A188,$C$5:$C$204,"Variation"))/(COUNTIFS($D$5:$D$204,$A188,$C$5:$C$204,"Activity")+COUNTIFS($D$5:$D$204,$A188,$C$5:$C$204,"Variation")))),IF(OR($C188="Activity",$C188="Variation"),IF(AND(ISNUMBER($J188),$J188&gt;=0,$J188&lt;=1),$J188,""),""))))</x:f>
      </x:c>
      <x:c r="M188" s="7" t="str">
        <x:f t="shared" si="7">IF(OR($K188="",$L188=""),"",$L188-$K188)</x:f>
      </x:c>
      <x:c r="N188" s="6" t="str">
        <x:f>IF(OR($B188="",$I188="",$L188=""),"",IF(AND($L188&lt;1,$I188&lt;TODAY()),"Late",IF(AND($H188&lt;&gt;"",$I188&gt;$H188),"Forecast Slip","On Plan")))</x:f>
      </x:c>
      <x:c r="O188" s="19"/>
      <x:c r="P188" s="6" t="str">
        <x:f t="shared" si="8">IF($B188="","",IF($A188="","Enter item ID",IF(COUNTIF($A$5:$A$204,$A188)&gt;1,"Duplicate item ID",IF($C188="Initiative",IF($D188&lt;&gt;"","Parent must be blank",IF(COUNTIFS($B$5:$B$204,$B188,$C$5:$C$204,"Initiative")&lt;&gt;1,"One Initiative row required",IF(COUNTIFS($D$5:$D$204,$A188,$C$5:$C$204,"Milestone")=0,"Add milestone","OK"))),IF($C188="Milestone",IF(COUNTIFS($A$5:$A$204,$D188,$B$5:$B$204,$B188,$C$5:$C$204,"Initiative")&lt;&gt;1,"Parent must be Initiative",IF(COUNTIFS($D$5:$D$204,$A188,$C$5:$C$204,"Activity")+COUNTIFS($D$5:$D$204,$A188,$C$5:$C$204,"Variation")=0,"Add activity or variation","OK")),IF(OR($C188="Activity",$C188="Variation"),IF(COUNTIFS($A$5:$A$204,$D188,$B$5:$B$204,$B188,$C$5:$C$204,"Milestone")&lt;&gt;1,"Parent must be Milestone",IF(OR($G188="",$H188=""),"Enter baseline dates",IF($H188&lt;$G188,"Baseline finish before start",IF($I188="","Enter forecast finish",IF(COUNT($J188)=0,"Enter actual %",IF(OR(NOT(ISNUMBER($J188)),$J188&lt;0,$J188&gt;1),"Actual % must be 0–100%","OK")))))),"Select level"))))))</x:f>
      </x:c>
    </x:row>
    <x:row r="189">
      <x:c r="A189" s="66" t="str" cm="1">
        <x:f t="array" ref="A189">IF(OR(B189="",C189=""),"",IF(C189="Initiative",COUNTIF($C$5:C189,"Initiative"),IF(C189="Milestone",IF(D189="","",D189&amp;"."&amp;COUNTIFS($D$5:D189,D189,$C$5:C189,"Milestone")),IF(OR(C189="Activity",C189="Variation"),IF(D189="","",D189&amp;"."&amp;(COUNTIFS($D$5:D189,D189,$C$5:C189,"Activity")+COUNTIFS($D$5:D189,D189,$C$5:C189,"Variation"))),""))))</x:f>
      </x:c>
      <x:c r="B189" s="19"/>
      <x:c r="C189" s="19"/>
      <x:c r="D189" s="20"/>
      <x:c r="E189" s="21"/>
      <x:c r="F189" s="21"/>
      <x:c r="G189" s="102"/>
      <x:c r="H189" s="102"/>
      <x:c r="I189" s="102"/>
      <x:c r="J189" s="100"/>
      <x:c r="K189" s="7" t="str">
        <x:f>IF($B189="","",IF($C189="Initiative",IF(COUNTIFS($B$190:$B$204,$B189,$C$190:$C$204,"Activity")+COUNTIFS($B$190:$B$204,$B189,$C$190:$C$204,"Variation")=0,"",IF(COUNTIFS($B$190:$B$204,$B189,$C$190:$C$204,"Activity")+COUNTIFS($B$190:$B$204,$B189,$C$190:$C$204,"Variation")&lt;&gt;COUNTIFS($B$190:$B$204,$B189,$C$190:$C$204,"Activity",$G$190:$G$204,"&lt;&gt;",$H$190:$H$204,"&lt;&gt;")+COUNTIFS($B$190:$B$204,$B189,$C$190:$C$204,"Variation",$G$190:$G$204,"&lt;&gt;",$H$190:$H$204,"&lt;&gt;"),"",(SUMIFS($K$190:$K$204,$B$190:$B$204,$B189,$C$190:$C$204,"Activity")+SUMIFS($K$190:$K$204,$B$190:$B$204,$B189,$C$190:$C$204,"Variation"))/(COUNTIFS($B$190:$B$204,$B189,$C$190:$C$204,"Activity")+COUNTIFS($B$190:$B$204,$B189,$C$190:$C$204,"Variation")))),IF($C189="Milestone",IF(COUNTIFS($D$190:$D$204,$A189,$C$190:$C$204,"Activity")+COUNTIFS($D$190:$D$204,$A189,$C$190:$C$204,"Variation")=0,"",IF(COUNTIFS($D$190:$D$204,$A189,$C$190:$C$204,"Activity")+COUNTIFS($D$190:$D$204,$A189,$C$190:$C$204,"Variation")&lt;&gt;COUNTIFS($D$190:$D$204,$A189,$C$190:$C$204,"Activity",$G$190:$G$204,"&lt;&gt;",$H$190:$H$204,"&lt;&gt;")+COUNTIFS($D$190:$D$204,$A189,$C$190:$C$204,"Variation",$G$190:$G$204,"&lt;&gt;",$H$190:$H$204,"&lt;&gt;"),"",(SUMIFS($K$190:$K$204,$D$190:$D$204,$A189,$C$190:$C$204,"Activity")+SUMIFS($K$190:$K$204,$D$190:$D$204,$A189,$C$190:$C$204,"Variation"))/(COUNTIFS($D$190:$D$204,$A189,$C$190:$C$204,"Activity")+COUNTIFS($D$190:$D$204,$A189,$C$190:$C$204,"Variation")))),IF(OR($C189="Activity",$C189="Variation"),IF(OR($G189="",$H189=""),"",IF($H189&lt;$G189,"",IF($H189=$G189,--(TODAY()&gt;=$H189),MAX(0,MIN(1,(TODAY()-$G189)/($H189-$G189)))))),""))))</x:f>
      </x:c>
      <x:c r="L189" s="7" t="str">
        <x:f t="shared" si="6">IF($B189="","",IF($C189="Initiative",IF(COUNTIFS($B$5:$B$204,$B189,$C$5:$C$204,"Activity")+COUNTIFS($B$5:$B$204,$B189,$C$5:$C$204,"Variation")=0,"",IF(COUNTIFS($B$5:$B$204,$B189,$C$5:$C$204,"Activity")+COUNTIFS($B$5:$B$204,$B189,$C$5:$C$204,"Variation")&lt;&gt;COUNTIFS($B$5:$B$204,$B189,$C$5:$C$204,"Activity",$J$5:$J$204,"&lt;&gt;",$J$5:$J$204,"&gt;=0",$J$5:$J$204,"&lt;=1")+COUNTIFS($B$5:$B$204,$B189,$C$5:$C$204,"Variation",$J$5:$J$204,"&lt;&gt;",$J$5:$J$204,"&gt;=0",$J$5:$J$204,"&lt;=1"),"",(SUMIFS($J$5:$J$204,$B$5:$B$204,$B189,$C$5:$C$204,"Activity")+SUMIFS($J$5:$J$204,$B$5:$B$204,$B189,$C$5:$C$204,"Variation"))/(COUNTIFS($B$5:$B$204,$B189,$C$5:$C$204,"Activity")+COUNTIFS($B$5:$B$204,$B189,$C$5:$C$204,"Variation")))),IF($C189="Milestone",IF(COUNTIFS($D$5:$D$204,$A189,$C$5:$C$204,"Activity")+COUNTIFS($D$5:$D$204,$A189,$C$5:$C$204,"Variation")=0,"",IF(COUNTIFS($D$5:$D$204,$A189,$C$5:$C$204,"Activity")+COUNTIFS($D$5:$D$204,$A189,$C$5:$C$204,"Variation")&lt;&gt;COUNTIFS($D$5:$D$204,$A189,$C$5:$C$204,"Activity",$J$5:$J$204,"&lt;&gt;",$J$5:$J$204,"&gt;=0",$J$5:$J$204,"&lt;=1")+COUNTIFS($D$5:$D$204,$A189,$C$5:$C$204,"Variation",$J$5:$J$204,"&lt;&gt;",$J$5:$J$204,"&gt;=0",$J$5:$J$204,"&lt;=1"),"",(SUMIFS($J$5:$J$204,$D$5:$D$204,$A189,$C$5:$C$204,"Activity")+SUMIFS($J$5:$J$204,$D$5:$D$204,$A189,$C$5:$C$204,"Variation"))/(COUNTIFS($D$5:$D$204,$A189,$C$5:$C$204,"Activity")+COUNTIFS($D$5:$D$204,$A189,$C$5:$C$204,"Variation")))),IF(OR($C189="Activity",$C189="Variation"),IF(AND(ISNUMBER($J189),$J189&gt;=0,$J189&lt;=1),$J189,""),""))))</x:f>
      </x:c>
      <x:c r="M189" s="7" t="str">
        <x:f t="shared" si="7">IF(OR($K189="",$L189=""),"",$L189-$K189)</x:f>
      </x:c>
      <x:c r="N189" s="6" t="str">
        <x:f>IF(OR($B189="",$I189="",$L189=""),"",IF(AND($L189&lt;1,$I189&lt;TODAY()),"Late",IF(AND($H189&lt;&gt;"",$I189&gt;$H189),"Forecast Slip","On Plan")))</x:f>
      </x:c>
      <x:c r="O189" s="19"/>
      <x:c r="P189" s="6" t="str">
        <x:f t="shared" si="8">IF($B189="","",IF($A189="","Enter item ID",IF(COUNTIF($A$5:$A$204,$A189)&gt;1,"Duplicate item ID",IF($C189="Initiative",IF($D189&lt;&gt;"","Parent must be blank",IF(COUNTIFS($B$5:$B$204,$B189,$C$5:$C$204,"Initiative")&lt;&gt;1,"One Initiative row required",IF(COUNTIFS($D$5:$D$204,$A189,$C$5:$C$204,"Milestone")=0,"Add milestone","OK"))),IF($C189="Milestone",IF(COUNTIFS($A$5:$A$204,$D189,$B$5:$B$204,$B189,$C$5:$C$204,"Initiative")&lt;&gt;1,"Parent must be Initiative",IF(COUNTIFS($D$5:$D$204,$A189,$C$5:$C$204,"Activity")+COUNTIFS($D$5:$D$204,$A189,$C$5:$C$204,"Variation")=0,"Add activity or variation","OK")),IF(OR($C189="Activity",$C189="Variation"),IF(COUNTIFS($A$5:$A$204,$D189,$B$5:$B$204,$B189,$C$5:$C$204,"Milestone")&lt;&gt;1,"Parent must be Milestone",IF(OR($G189="",$H189=""),"Enter baseline dates",IF($H189&lt;$G189,"Baseline finish before start",IF($I189="","Enter forecast finish",IF(COUNT($J189)=0,"Enter actual %",IF(OR(NOT(ISNUMBER($J189)),$J189&lt;0,$J189&gt;1),"Actual % must be 0–100%","OK")))))),"Select level"))))))</x:f>
      </x:c>
    </x:row>
    <x:row r="190">
      <x:c r="A190" s="66" t="str" cm="1">
        <x:f t="array" ref="A190">IF(OR(B190="",C190=""),"",IF(C190="Initiative",COUNTIF($C$5:C190,"Initiative"),IF(C190="Milestone",IF(D190="","",D190&amp;"."&amp;COUNTIFS($D$5:D190,D190,$C$5:C190,"Milestone")),IF(OR(C190="Activity",C190="Variation"),IF(D190="","",D190&amp;"."&amp;(COUNTIFS($D$5:D190,D190,$C$5:C190,"Activity")+COUNTIFS($D$5:D190,D190,$C$5:C190,"Variation"))),""))))</x:f>
      </x:c>
      <x:c r="B190" s="19"/>
      <x:c r="C190" s="19"/>
      <x:c r="D190" s="20"/>
      <x:c r="E190" s="21"/>
      <x:c r="F190" s="21"/>
      <x:c r="G190" s="102"/>
      <x:c r="H190" s="102"/>
      <x:c r="I190" s="102"/>
      <x:c r="J190" s="100"/>
      <x:c r="K190" s="7" t="str">
        <x:f>IF($B190="","",IF($C190="Initiative",IF(COUNTIFS($B$191:$B$204,$B190,$C$191:$C$204,"Activity")+COUNTIFS($B$191:$B$204,$B190,$C$191:$C$204,"Variation")=0,"",IF(COUNTIFS($B$191:$B$204,$B190,$C$191:$C$204,"Activity")+COUNTIFS($B$191:$B$204,$B190,$C$191:$C$204,"Variation")&lt;&gt;COUNTIFS($B$191:$B$204,$B190,$C$191:$C$204,"Activity",$G$191:$G$204,"&lt;&gt;",$H$191:$H$204,"&lt;&gt;")+COUNTIFS($B$191:$B$204,$B190,$C$191:$C$204,"Variation",$G$191:$G$204,"&lt;&gt;",$H$191:$H$204,"&lt;&gt;"),"",(SUMIFS($K$191:$K$204,$B$191:$B$204,$B190,$C$191:$C$204,"Activity")+SUMIFS($K$191:$K$204,$B$191:$B$204,$B190,$C$191:$C$204,"Variation"))/(COUNTIFS($B$191:$B$204,$B190,$C$191:$C$204,"Activity")+COUNTIFS($B$191:$B$204,$B190,$C$191:$C$204,"Variation")))),IF($C190="Milestone",IF(COUNTIFS($D$191:$D$204,$A190,$C$191:$C$204,"Activity")+COUNTIFS($D$191:$D$204,$A190,$C$191:$C$204,"Variation")=0,"",IF(COUNTIFS($D$191:$D$204,$A190,$C$191:$C$204,"Activity")+COUNTIFS($D$191:$D$204,$A190,$C$191:$C$204,"Variation")&lt;&gt;COUNTIFS($D$191:$D$204,$A190,$C$191:$C$204,"Activity",$G$191:$G$204,"&lt;&gt;",$H$191:$H$204,"&lt;&gt;")+COUNTIFS($D$191:$D$204,$A190,$C$191:$C$204,"Variation",$G$191:$G$204,"&lt;&gt;",$H$191:$H$204,"&lt;&gt;"),"",(SUMIFS($K$191:$K$204,$D$191:$D$204,$A190,$C$191:$C$204,"Activity")+SUMIFS($K$191:$K$204,$D$191:$D$204,$A190,$C$191:$C$204,"Variation"))/(COUNTIFS($D$191:$D$204,$A190,$C$191:$C$204,"Activity")+COUNTIFS($D$191:$D$204,$A190,$C$191:$C$204,"Variation")))),IF(OR($C190="Activity",$C190="Variation"),IF(OR($G190="",$H190=""),"",IF($H190&lt;$G190,"",IF($H190=$G190,--(TODAY()&gt;=$H190),MAX(0,MIN(1,(TODAY()-$G190)/($H190-$G190)))))),""))))</x:f>
      </x:c>
      <x:c r="L190" s="7" t="str">
        <x:f t="shared" si="6">IF($B190="","",IF($C190="Initiative",IF(COUNTIFS($B$5:$B$204,$B190,$C$5:$C$204,"Activity")+COUNTIFS($B$5:$B$204,$B190,$C$5:$C$204,"Variation")=0,"",IF(COUNTIFS($B$5:$B$204,$B190,$C$5:$C$204,"Activity")+COUNTIFS($B$5:$B$204,$B190,$C$5:$C$204,"Variation")&lt;&gt;COUNTIFS($B$5:$B$204,$B190,$C$5:$C$204,"Activity",$J$5:$J$204,"&lt;&gt;",$J$5:$J$204,"&gt;=0",$J$5:$J$204,"&lt;=1")+COUNTIFS($B$5:$B$204,$B190,$C$5:$C$204,"Variation",$J$5:$J$204,"&lt;&gt;",$J$5:$J$204,"&gt;=0",$J$5:$J$204,"&lt;=1"),"",(SUMIFS($J$5:$J$204,$B$5:$B$204,$B190,$C$5:$C$204,"Activity")+SUMIFS($J$5:$J$204,$B$5:$B$204,$B190,$C$5:$C$204,"Variation"))/(COUNTIFS($B$5:$B$204,$B190,$C$5:$C$204,"Activity")+COUNTIFS($B$5:$B$204,$B190,$C$5:$C$204,"Variation")))),IF($C190="Milestone",IF(COUNTIFS($D$5:$D$204,$A190,$C$5:$C$204,"Activity")+COUNTIFS($D$5:$D$204,$A190,$C$5:$C$204,"Variation")=0,"",IF(COUNTIFS($D$5:$D$204,$A190,$C$5:$C$204,"Activity")+COUNTIFS($D$5:$D$204,$A190,$C$5:$C$204,"Variation")&lt;&gt;COUNTIFS($D$5:$D$204,$A190,$C$5:$C$204,"Activity",$J$5:$J$204,"&lt;&gt;",$J$5:$J$204,"&gt;=0",$J$5:$J$204,"&lt;=1")+COUNTIFS($D$5:$D$204,$A190,$C$5:$C$204,"Variation",$J$5:$J$204,"&lt;&gt;",$J$5:$J$204,"&gt;=0",$J$5:$J$204,"&lt;=1"),"",(SUMIFS($J$5:$J$204,$D$5:$D$204,$A190,$C$5:$C$204,"Activity")+SUMIFS($J$5:$J$204,$D$5:$D$204,$A190,$C$5:$C$204,"Variation"))/(COUNTIFS($D$5:$D$204,$A190,$C$5:$C$204,"Activity")+COUNTIFS($D$5:$D$204,$A190,$C$5:$C$204,"Variation")))),IF(OR($C190="Activity",$C190="Variation"),IF(AND(ISNUMBER($J190),$J190&gt;=0,$J190&lt;=1),$J190,""),""))))</x:f>
      </x:c>
      <x:c r="M190" s="7" t="str">
        <x:f t="shared" si="7">IF(OR($K190="",$L190=""),"",$L190-$K190)</x:f>
      </x:c>
      <x:c r="N190" s="6" t="str">
        <x:f>IF(OR($B190="",$I190="",$L190=""),"",IF(AND($L190&lt;1,$I190&lt;TODAY()),"Late",IF(AND($H190&lt;&gt;"",$I190&gt;$H190),"Forecast Slip","On Plan")))</x:f>
      </x:c>
      <x:c r="O190" s="19"/>
      <x:c r="P190" s="6" t="str">
        <x:f t="shared" si="8">IF($B190="","",IF($A190="","Enter item ID",IF(COUNTIF($A$5:$A$204,$A190)&gt;1,"Duplicate item ID",IF($C190="Initiative",IF($D190&lt;&gt;"","Parent must be blank",IF(COUNTIFS($B$5:$B$204,$B190,$C$5:$C$204,"Initiative")&lt;&gt;1,"One Initiative row required",IF(COUNTIFS($D$5:$D$204,$A190,$C$5:$C$204,"Milestone")=0,"Add milestone","OK"))),IF($C190="Milestone",IF(COUNTIFS($A$5:$A$204,$D190,$B$5:$B$204,$B190,$C$5:$C$204,"Initiative")&lt;&gt;1,"Parent must be Initiative",IF(COUNTIFS($D$5:$D$204,$A190,$C$5:$C$204,"Activity")+COUNTIFS($D$5:$D$204,$A190,$C$5:$C$204,"Variation")=0,"Add activity or variation","OK")),IF(OR($C190="Activity",$C190="Variation"),IF(COUNTIFS($A$5:$A$204,$D190,$B$5:$B$204,$B190,$C$5:$C$204,"Milestone")&lt;&gt;1,"Parent must be Milestone",IF(OR($G190="",$H190=""),"Enter baseline dates",IF($H190&lt;$G190,"Baseline finish before start",IF($I190="","Enter forecast finish",IF(COUNT($J190)=0,"Enter actual %",IF(OR(NOT(ISNUMBER($J190)),$J190&lt;0,$J190&gt;1),"Actual % must be 0–100%","OK")))))),"Select level"))))))</x:f>
      </x:c>
    </x:row>
    <x:row r="191">
      <x:c r="A191" s="66" t="str" cm="1">
        <x:f t="array" ref="A191">IF(OR(B191="",C191=""),"",IF(C191="Initiative",COUNTIF($C$5:C191,"Initiative"),IF(C191="Milestone",IF(D191="","",D191&amp;"."&amp;COUNTIFS($D$5:D191,D191,$C$5:C191,"Milestone")),IF(OR(C191="Activity",C191="Variation"),IF(D191="","",D191&amp;"."&amp;(COUNTIFS($D$5:D191,D191,$C$5:C191,"Activity")+COUNTIFS($D$5:D191,D191,$C$5:C191,"Variation"))),""))))</x:f>
      </x:c>
      <x:c r="B191" s="19"/>
      <x:c r="C191" s="19"/>
      <x:c r="D191" s="20"/>
      <x:c r="E191" s="21"/>
      <x:c r="F191" s="21"/>
      <x:c r="G191" s="102"/>
      <x:c r="H191" s="102"/>
      <x:c r="I191" s="102"/>
      <x:c r="J191" s="100"/>
      <x:c r="K191" s="7" t="str">
        <x:f>IF($B191="","",IF($C191="Initiative",IF(COUNTIFS($B$192:$B$204,$B191,$C$192:$C$204,"Activity")+COUNTIFS($B$192:$B$204,$B191,$C$192:$C$204,"Variation")=0,"",IF(COUNTIFS($B$192:$B$204,$B191,$C$192:$C$204,"Activity")+COUNTIFS($B$192:$B$204,$B191,$C$192:$C$204,"Variation")&lt;&gt;COUNTIFS($B$192:$B$204,$B191,$C$192:$C$204,"Activity",$G$192:$G$204,"&lt;&gt;",$H$192:$H$204,"&lt;&gt;")+COUNTIFS($B$192:$B$204,$B191,$C$192:$C$204,"Variation",$G$192:$G$204,"&lt;&gt;",$H$192:$H$204,"&lt;&gt;"),"",(SUMIFS($K$192:$K$204,$B$192:$B$204,$B191,$C$192:$C$204,"Activity")+SUMIFS($K$192:$K$204,$B$192:$B$204,$B191,$C$192:$C$204,"Variation"))/(COUNTIFS($B$192:$B$204,$B191,$C$192:$C$204,"Activity")+COUNTIFS($B$192:$B$204,$B191,$C$192:$C$204,"Variation")))),IF($C191="Milestone",IF(COUNTIFS($D$192:$D$204,$A191,$C$192:$C$204,"Activity")+COUNTIFS($D$192:$D$204,$A191,$C$192:$C$204,"Variation")=0,"",IF(COUNTIFS($D$192:$D$204,$A191,$C$192:$C$204,"Activity")+COUNTIFS($D$192:$D$204,$A191,$C$192:$C$204,"Variation")&lt;&gt;COUNTIFS($D$192:$D$204,$A191,$C$192:$C$204,"Activity",$G$192:$G$204,"&lt;&gt;",$H$192:$H$204,"&lt;&gt;")+COUNTIFS($D$192:$D$204,$A191,$C$192:$C$204,"Variation",$G$192:$G$204,"&lt;&gt;",$H$192:$H$204,"&lt;&gt;"),"",(SUMIFS($K$192:$K$204,$D$192:$D$204,$A191,$C$192:$C$204,"Activity")+SUMIFS($K$192:$K$204,$D$192:$D$204,$A191,$C$192:$C$204,"Variation"))/(COUNTIFS($D$192:$D$204,$A191,$C$192:$C$204,"Activity")+COUNTIFS($D$192:$D$204,$A191,$C$192:$C$204,"Variation")))),IF(OR($C191="Activity",$C191="Variation"),IF(OR($G191="",$H191=""),"",IF($H191&lt;$G191,"",IF($H191=$G191,--(TODAY()&gt;=$H191),MAX(0,MIN(1,(TODAY()-$G191)/($H191-$G191)))))),""))))</x:f>
      </x:c>
      <x:c r="L191" s="7" t="str">
        <x:f t="shared" si="6">IF($B191="","",IF($C191="Initiative",IF(COUNTIFS($B$5:$B$204,$B191,$C$5:$C$204,"Activity")+COUNTIFS($B$5:$B$204,$B191,$C$5:$C$204,"Variation")=0,"",IF(COUNTIFS($B$5:$B$204,$B191,$C$5:$C$204,"Activity")+COUNTIFS($B$5:$B$204,$B191,$C$5:$C$204,"Variation")&lt;&gt;COUNTIFS($B$5:$B$204,$B191,$C$5:$C$204,"Activity",$J$5:$J$204,"&lt;&gt;",$J$5:$J$204,"&gt;=0",$J$5:$J$204,"&lt;=1")+COUNTIFS($B$5:$B$204,$B191,$C$5:$C$204,"Variation",$J$5:$J$204,"&lt;&gt;",$J$5:$J$204,"&gt;=0",$J$5:$J$204,"&lt;=1"),"",(SUMIFS($J$5:$J$204,$B$5:$B$204,$B191,$C$5:$C$204,"Activity")+SUMIFS($J$5:$J$204,$B$5:$B$204,$B191,$C$5:$C$204,"Variation"))/(COUNTIFS($B$5:$B$204,$B191,$C$5:$C$204,"Activity")+COUNTIFS($B$5:$B$204,$B191,$C$5:$C$204,"Variation")))),IF($C191="Milestone",IF(COUNTIFS($D$5:$D$204,$A191,$C$5:$C$204,"Activity")+COUNTIFS($D$5:$D$204,$A191,$C$5:$C$204,"Variation")=0,"",IF(COUNTIFS($D$5:$D$204,$A191,$C$5:$C$204,"Activity")+COUNTIFS($D$5:$D$204,$A191,$C$5:$C$204,"Variation")&lt;&gt;COUNTIFS($D$5:$D$204,$A191,$C$5:$C$204,"Activity",$J$5:$J$204,"&lt;&gt;",$J$5:$J$204,"&gt;=0",$J$5:$J$204,"&lt;=1")+COUNTIFS($D$5:$D$204,$A191,$C$5:$C$204,"Variation",$J$5:$J$204,"&lt;&gt;",$J$5:$J$204,"&gt;=0",$J$5:$J$204,"&lt;=1"),"",(SUMIFS($J$5:$J$204,$D$5:$D$204,$A191,$C$5:$C$204,"Activity")+SUMIFS($J$5:$J$204,$D$5:$D$204,$A191,$C$5:$C$204,"Variation"))/(COUNTIFS($D$5:$D$204,$A191,$C$5:$C$204,"Activity")+COUNTIFS($D$5:$D$204,$A191,$C$5:$C$204,"Variation")))),IF(OR($C191="Activity",$C191="Variation"),IF(AND(ISNUMBER($J191),$J191&gt;=0,$J191&lt;=1),$J191,""),""))))</x:f>
      </x:c>
      <x:c r="M191" s="7" t="str">
        <x:f t="shared" si="7">IF(OR($K191="",$L191=""),"",$L191-$K191)</x:f>
      </x:c>
      <x:c r="N191" s="6" t="str">
        <x:f>IF(OR($B191="",$I191="",$L191=""),"",IF(AND($L191&lt;1,$I191&lt;TODAY()),"Late",IF(AND($H191&lt;&gt;"",$I191&gt;$H191),"Forecast Slip","On Plan")))</x:f>
      </x:c>
      <x:c r="O191" s="19"/>
      <x:c r="P191" s="6" t="str">
        <x:f t="shared" si="8">IF($B191="","",IF($A191="","Enter item ID",IF(COUNTIF($A$5:$A$204,$A191)&gt;1,"Duplicate item ID",IF($C191="Initiative",IF($D191&lt;&gt;"","Parent must be blank",IF(COUNTIFS($B$5:$B$204,$B191,$C$5:$C$204,"Initiative")&lt;&gt;1,"One Initiative row required",IF(COUNTIFS($D$5:$D$204,$A191,$C$5:$C$204,"Milestone")=0,"Add milestone","OK"))),IF($C191="Milestone",IF(COUNTIFS($A$5:$A$204,$D191,$B$5:$B$204,$B191,$C$5:$C$204,"Initiative")&lt;&gt;1,"Parent must be Initiative",IF(COUNTIFS($D$5:$D$204,$A191,$C$5:$C$204,"Activity")+COUNTIFS($D$5:$D$204,$A191,$C$5:$C$204,"Variation")=0,"Add activity or variation","OK")),IF(OR($C191="Activity",$C191="Variation"),IF(COUNTIFS($A$5:$A$204,$D191,$B$5:$B$204,$B191,$C$5:$C$204,"Milestone")&lt;&gt;1,"Parent must be Milestone",IF(OR($G191="",$H191=""),"Enter baseline dates",IF($H191&lt;$G191,"Baseline finish before start",IF($I191="","Enter forecast finish",IF(COUNT($J191)=0,"Enter actual %",IF(OR(NOT(ISNUMBER($J191)),$J191&lt;0,$J191&gt;1),"Actual % must be 0–100%","OK")))))),"Select level"))))))</x:f>
      </x:c>
    </x:row>
    <x:row r="192">
      <x:c r="A192" s="66" t="str" cm="1">
        <x:f t="array" ref="A192">IF(OR(B192="",C192=""),"",IF(C192="Initiative",COUNTIF($C$5:C192,"Initiative"),IF(C192="Milestone",IF(D192="","",D192&amp;"."&amp;COUNTIFS($D$5:D192,D192,$C$5:C192,"Milestone")),IF(OR(C192="Activity",C192="Variation"),IF(D192="","",D192&amp;"."&amp;(COUNTIFS($D$5:D192,D192,$C$5:C192,"Activity")+COUNTIFS($D$5:D192,D192,$C$5:C192,"Variation"))),""))))</x:f>
      </x:c>
      <x:c r="B192" s="19"/>
      <x:c r="C192" s="19"/>
      <x:c r="D192" s="20"/>
      <x:c r="E192" s="21"/>
      <x:c r="F192" s="21"/>
      <x:c r="G192" s="102"/>
      <x:c r="H192" s="102"/>
      <x:c r="I192" s="102"/>
      <x:c r="J192" s="100"/>
      <x:c r="K192" s="7" t="str">
        <x:f>IF($B192="","",IF($C192="Initiative",IF(COUNTIFS($B$193:$B$204,$B192,$C$193:$C$204,"Activity")+COUNTIFS($B$193:$B$204,$B192,$C$193:$C$204,"Variation")=0,"",IF(COUNTIFS($B$193:$B$204,$B192,$C$193:$C$204,"Activity")+COUNTIFS($B$193:$B$204,$B192,$C$193:$C$204,"Variation")&lt;&gt;COUNTIFS($B$193:$B$204,$B192,$C$193:$C$204,"Activity",$G$193:$G$204,"&lt;&gt;",$H$193:$H$204,"&lt;&gt;")+COUNTIFS($B$193:$B$204,$B192,$C$193:$C$204,"Variation",$G$193:$G$204,"&lt;&gt;",$H$193:$H$204,"&lt;&gt;"),"",(SUMIFS($K$193:$K$204,$B$193:$B$204,$B192,$C$193:$C$204,"Activity")+SUMIFS($K$193:$K$204,$B$193:$B$204,$B192,$C$193:$C$204,"Variation"))/(COUNTIFS($B$193:$B$204,$B192,$C$193:$C$204,"Activity")+COUNTIFS($B$193:$B$204,$B192,$C$193:$C$204,"Variation")))),IF($C192="Milestone",IF(COUNTIFS($D$193:$D$204,$A192,$C$193:$C$204,"Activity")+COUNTIFS($D$193:$D$204,$A192,$C$193:$C$204,"Variation")=0,"",IF(COUNTIFS($D$193:$D$204,$A192,$C$193:$C$204,"Activity")+COUNTIFS($D$193:$D$204,$A192,$C$193:$C$204,"Variation")&lt;&gt;COUNTIFS($D$193:$D$204,$A192,$C$193:$C$204,"Activity",$G$193:$G$204,"&lt;&gt;",$H$193:$H$204,"&lt;&gt;")+COUNTIFS($D$193:$D$204,$A192,$C$193:$C$204,"Variation",$G$193:$G$204,"&lt;&gt;",$H$193:$H$204,"&lt;&gt;"),"",(SUMIFS($K$193:$K$204,$D$193:$D$204,$A192,$C$193:$C$204,"Activity")+SUMIFS($K$193:$K$204,$D$193:$D$204,$A192,$C$193:$C$204,"Variation"))/(COUNTIFS($D$193:$D$204,$A192,$C$193:$C$204,"Activity")+COUNTIFS($D$193:$D$204,$A192,$C$193:$C$204,"Variation")))),IF(OR($C192="Activity",$C192="Variation"),IF(OR($G192="",$H192=""),"",IF($H192&lt;$G192,"",IF($H192=$G192,--(TODAY()&gt;=$H192),MAX(0,MIN(1,(TODAY()-$G192)/($H192-$G192)))))),""))))</x:f>
      </x:c>
      <x:c r="L192" s="7" t="str">
        <x:f t="shared" si="6">IF($B192="","",IF($C192="Initiative",IF(COUNTIFS($B$5:$B$204,$B192,$C$5:$C$204,"Activity")+COUNTIFS($B$5:$B$204,$B192,$C$5:$C$204,"Variation")=0,"",IF(COUNTIFS($B$5:$B$204,$B192,$C$5:$C$204,"Activity")+COUNTIFS($B$5:$B$204,$B192,$C$5:$C$204,"Variation")&lt;&gt;COUNTIFS($B$5:$B$204,$B192,$C$5:$C$204,"Activity",$J$5:$J$204,"&lt;&gt;",$J$5:$J$204,"&gt;=0",$J$5:$J$204,"&lt;=1")+COUNTIFS($B$5:$B$204,$B192,$C$5:$C$204,"Variation",$J$5:$J$204,"&lt;&gt;",$J$5:$J$204,"&gt;=0",$J$5:$J$204,"&lt;=1"),"",(SUMIFS($J$5:$J$204,$B$5:$B$204,$B192,$C$5:$C$204,"Activity")+SUMIFS($J$5:$J$204,$B$5:$B$204,$B192,$C$5:$C$204,"Variation"))/(COUNTIFS($B$5:$B$204,$B192,$C$5:$C$204,"Activity")+COUNTIFS($B$5:$B$204,$B192,$C$5:$C$204,"Variation")))),IF($C192="Milestone",IF(COUNTIFS($D$5:$D$204,$A192,$C$5:$C$204,"Activity")+COUNTIFS($D$5:$D$204,$A192,$C$5:$C$204,"Variation")=0,"",IF(COUNTIFS($D$5:$D$204,$A192,$C$5:$C$204,"Activity")+COUNTIFS($D$5:$D$204,$A192,$C$5:$C$204,"Variation")&lt;&gt;COUNTIFS($D$5:$D$204,$A192,$C$5:$C$204,"Activity",$J$5:$J$204,"&lt;&gt;",$J$5:$J$204,"&gt;=0",$J$5:$J$204,"&lt;=1")+COUNTIFS($D$5:$D$204,$A192,$C$5:$C$204,"Variation",$J$5:$J$204,"&lt;&gt;",$J$5:$J$204,"&gt;=0",$J$5:$J$204,"&lt;=1"),"",(SUMIFS($J$5:$J$204,$D$5:$D$204,$A192,$C$5:$C$204,"Activity")+SUMIFS($J$5:$J$204,$D$5:$D$204,$A192,$C$5:$C$204,"Variation"))/(COUNTIFS($D$5:$D$204,$A192,$C$5:$C$204,"Activity")+COUNTIFS($D$5:$D$204,$A192,$C$5:$C$204,"Variation")))),IF(OR($C192="Activity",$C192="Variation"),IF(AND(ISNUMBER($J192),$J192&gt;=0,$J192&lt;=1),$J192,""),""))))</x:f>
      </x:c>
      <x:c r="M192" s="7" t="str">
        <x:f t="shared" si="7">IF(OR($K192="",$L192=""),"",$L192-$K192)</x:f>
      </x:c>
      <x:c r="N192" s="6" t="str">
        <x:f>IF(OR($B192="",$I192="",$L192=""),"",IF(AND($L192&lt;1,$I192&lt;TODAY()),"Late",IF(AND($H192&lt;&gt;"",$I192&gt;$H192),"Forecast Slip","On Plan")))</x:f>
      </x:c>
      <x:c r="O192" s="19"/>
      <x:c r="P192" s="6" t="str">
        <x:f t="shared" si="8">IF($B192="","",IF($A192="","Enter item ID",IF(COUNTIF($A$5:$A$204,$A192)&gt;1,"Duplicate item ID",IF($C192="Initiative",IF($D192&lt;&gt;"","Parent must be blank",IF(COUNTIFS($B$5:$B$204,$B192,$C$5:$C$204,"Initiative")&lt;&gt;1,"One Initiative row required",IF(COUNTIFS($D$5:$D$204,$A192,$C$5:$C$204,"Milestone")=0,"Add milestone","OK"))),IF($C192="Milestone",IF(COUNTIFS($A$5:$A$204,$D192,$B$5:$B$204,$B192,$C$5:$C$204,"Initiative")&lt;&gt;1,"Parent must be Initiative",IF(COUNTIFS($D$5:$D$204,$A192,$C$5:$C$204,"Activity")+COUNTIFS($D$5:$D$204,$A192,$C$5:$C$204,"Variation")=0,"Add activity or variation","OK")),IF(OR($C192="Activity",$C192="Variation"),IF(COUNTIFS($A$5:$A$204,$D192,$B$5:$B$204,$B192,$C$5:$C$204,"Milestone")&lt;&gt;1,"Parent must be Milestone",IF(OR($G192="",$H192=""),"Enter baseline dates",IF($H192&lt;$G192,"Baseline finish before start",IF($I192="","Enter forecast finish",IF(COUNT($J192)=0,"Enter actual %",IF(OR(NOT(ISNUMBER($J192)),$J192&lt;0,$J192&gt;1),"Actual % must be 0–100%","OK")))))),"Select level"))))))</x:f>
      </x:c>
    </x:row>
    <x:row r="193">
      <x:c r="A193" s="66" t="str" cm="1">
        <x:f t="array" ref="A193">IF(OR(B193="",C193=""),"",IF(C193="Initiative",COUNTIF($C$5:C193,"Initiative"),IF(C193="Milestone",IF(D193="","",D193&amp;"."&amp;COUNTIFS($D$5:D193,D193,$C$5:C193,"Milestone")),IF(OR(C193="Activity",C193="Variation"),IF(D193="","",D193&amp;"."&amp;(COUNTIFS($D$5:D193,D193,$C$5:C193,"Activity")+COUNTIFS($D$5:D193,D193,$C$5:C193,"Variation"))),""))))</x:f>
      </x:c>
      <x:c r="B193" s="19"/>
      <x:c r="C193" s="19"/>
      <x:c r="D193" s="20"/>
      <x:c r="E193" s="21"/>
      <x:c r="F193" s="21"/>
      <x:c r="G193" s="102"/>
      <x:c r="H193" s="102"/>
      <x:c r="I193" s="102"/>
      <x:c r="J193" s="100"/>
      <x:c r="K193" s="7" t="str">
        <x:f>IF($B193="","",IF($C193="Initiative",IF(COUNTIFS($B$194:$B$204,$B193,$C$194:$C$204,"Activity")+COUNTIFS($B$194:$B$204,$B193,$C$194:$C$204,"Variation")=0,"",IF(COUNTIFS($B$194:$B$204,$B193,$C$194:$C$204,"Activity")+COUNTIFS($B$194:$B$204,$B193,$C$194:$C$204,"Variation")&lt;&gt;COUNTIFS($B$194:$B$204,$B193,$C$194:$C$204,"Activity",$G$194:$G$204,"&lt;&gt;",$H$194:$H$204,"&lt;&gt;")+COUNTIFS($B$194:$B$204,$B193,$C$194:$C$204,"Variation",$G$194:$G$204,"&lt;&gt;",$H$194:$H$204,"&lt;&gt;"),"",(SUMIFS($K$194:$K$204,$B$194:$B$204,$B193,$C$194:$C$204,"Activity")+SUMIFS($K$194:$K$204,$B$194:$B$204,$B193,$C$194:$C$204,"Variation"))/(COUNTIFS($B$194:$B$204,$B193,$C$194:$C$204,"Activity")+COUNTIFS($B$194:$B$204,$B193,$C$194:$C$204,"Variation")))),IF($C193="Milestone",IF(COUNTIFS($D$194:$D$204,$A193,$C$194:$C$204,"Activity")+COUNTIFS($D$194:$D$204,$A193,$C$194:$C$204,"Variation")=0,"",IF(COUNTIFS($D$194:$D$204,$A193,$C$194:$C$204,"Activity")+COUNTIFS($D$194:$D$204,$A193,$C$194:$C$204,"Variation")&lt;&gt;COUNTIFS($D$194:$D$204,$A193,$C$194:$C$204,"Activity",$G$194:$G$204,"&lt;&gt;",$H$194:$H$204,"&lt;&gt;")+COUNTIFS($D$194:$D$204,$A193,$C$194:$C$204,"Variation",$G$194:$G$204,"&lt;&gt;",$H$194:$H$204,"&lt;&gt;"),"",(SUMIFS($K$194:$K$204,$D$194:$D$204,$A193,$C$194:$C$204,"Activity")+SUMIFS($K$194:$K$204,$D$194:$D$204,$A193,$C$194:$C$204,"Variation"))/(COUNTIFS($D$194:$D$204,$A193,$C$194:$C$204,"Activity")+COUNTIFS($D$194:$D$204,$A193,$C$194:$C$204,"Variation")))),IF(OR($C193="Activity",$C193="Variation"),IF(OR($G193="",$H193=""),"",IF($H193&lt;$G193,"",IF($H193=$G193,--(TODAY()&gt;=$H193),MAX(0,MIN(1,(TODAY()-$G193)/($H193-$G193)))))),""))))</x:f>
      </x:c>
      <x:c r="L193" s="7" t="str">
        <x:f t="shared" si="6">IF($B193="","",IF($C193="Initiative",IF(COUNTIFS($B$5:$B$204,$B193,$C$5:$C$204,"Activity")+COUNTIFS($B$5:$B$204,$B193,$C$5:$C$204,"Variation")=0,"",IF(COUNTIFS($B$5:$B$204,$B193,$C$5:$C$204,"Activity")+COUNTIFS($B$5:$B$204,$B193,$C$5:$C$204,"Variation")&lt;&gt;COUNTIFS($B$5:$B$204,$B193,$C$5:$C$204,"Activity",$J$5:$J$204,"&lt;&gt;",$J$5:$J$204,"&gt;=0",$J$5:$J$204,"&lt;=1")+COUNTIFS($B$5:$B$204,$B193,$C$5:$C$204,"Variation",$J$5:$J$204,"&lt;&gt;",$J$5:$J$204,"&gt;=0",$J$5:$J$204,"&lt;=1"),"",(SUMIFS($J$5:$J$204,$B$5:$B$204,$B193,$C$5:$C$204,"Activity")+SUMIFS($J$5:$J$204,$B$5:$B$204,$B193,$C$5:$C$204,"Variation"))/(COUNTIFS($B$5:$B$204,$B193,$C$5:$C$204,"Activity")+COUNTIFS($B$5:$B$204,$B193,$C$5:$C$204,"Variation")))),IF($C193="Milestone",IF(COUNTIFS($D$5:$D$204,$A193,$C$5:$C$204,"Activity")+COUNTIFS($D$5:$D$204,$A193,$C$5:$C$204,"Variation")=0,"",IF(COUNTIFS($D$5:$D$204,$A193,$C$5:$C$204,"Activity")+COUNTIFS($D$5:$D$204,$A193,$C$5:$C$204,"Variation")&lt;&gt;COUNTIFS($D$5:$D$204,$A193,$C$5:$C$204,"Activity",$J$5:$J$204,"&lt;&gt;",$J$5:$J$204,"&gt;=0",$J$5:$J$204,"&lt;=1")+COUNTIFS($D$5:$D$204,$A193,$C$5:$C$204,"Variation",$J$5:$J$204,"&lt;&gt;",$J$5:$J$204,"&gt;=0",$J$5:$J$204,"&lt;=1"),"",(SUMIFS($J$5:$J$204,$D$5:$D$204,$A193,$C$5:$C$204,"Activity")+SUMIFS($J$5:$J$204,$D$5:$D$204,$A193,$C$5:$C$204,"Variation"))/(COUNTIFS($D$5:$D$204,$A193,$C$5:$C$204,"Activity")+COUNTIFS($D$5:$D$204,$A193,$C$5:$C$204,"Variation")))),IF(OR($C193="Activity",$C193="Variation"),IF(AND(ISNUMBER($J193),$J193&gt;=0,$J193&lt;=1),$J193,""),""))))</x:f>
      </x:c>
      <x:c r="M193" s="7" t="str">
        <x:f t="shared" si="7">IF(OR($K193="",$L193=""),"",$L193-$K193)</x:f>
      </x:c>
      <x:c r="N193" s="6" t="str">
        <x:f>IF(OR($B193="",$I193="",$L193=""),"",IF(AND($L193&lt;1,$I193&lt;TODAY()),"Late",IF(AND($H193&lt;&gt;"",$I193&gt;$H193),"Forecast Slip","On Plan")))</x:f>
      </x:c>
      <x:c r="O193" s="19"/>
      <x:c r="P193" s="6" t="str">
        <x:f t="shared" si="8">IF($B193="","",IF($A193="","Enter item ID",IF(COUNTIF($A$5:$A$204,$A193)&gt;1,"Duplicate item ID",IF($C193="Initiative",IF($D193&lt;&gt;"","Parent must be blank",IF(COUNTIFS($B$5:$B$204,$B193,$C$5:$C$204,"Initiative")&lt;&gt;1,"One Initiative row required",IF(COUNTIFS($D$5:$D$204,$A193,$C$5:$C$204,"Milestone")=0,"Add milestone","OK"))),IF($C193="Milestone",IF(COUNTIFS($A$5:$A$204,$D193,$B$5:$B$204,$B193,$C$5:$C$204,"Initiative")&lt;&gt;1,"Parent must be Initiative",IF(COUNTIFS($D$5:$D$204,$A193,$C$5:$C$204,"Activity")+COUNTIFS($D$5:$D$204,$A193,$C$5:$C$204,"Variation")=0,"Add activity or variation","OK")),IF(OR($C193="Activity",$C193="Variation"),IF(COUNTIFS($A$5:$A$204,$D193,$B$5:$B$204,$B193,$C$5:$C$204,"Milestone")&lt;&gt;1,"Parent must be Milestone",IF(OR($G193="",$H193=""),"Enter baseline dates",IF($H193&lt;$G193,"Baseline finish before start",IF($I193="","Enter forecast finish",IF(COUNT($J193)=0,"Enter actual %",IF(OR(NOT(ISNUMBER($J193)),$J193&lt;0,$J193&gt;1),"Actual % must be 0–100%","OK")))))),"Select level"))))))</x:f>
      </x:c>
    </x:row>
    <x:row r="194">
      <x:c r="A194" s="66" t="str" cm="1">
        <x:f t="array" ref="A194">IF(OR(B194="",C194=""),"",IF(C194="Initiative",COUNTIF($C$5:C194,"Initiative"),IF(C194="Milestone",IF(D194="","",D194&amp;"."&amp;COUNTIFS($D$5:D194,D194,$C$5:C194,"Milestone")),IF(OR(C194="Activity",C194="Variation"),IF(D194="","",D194&amp;"."&amp;(COUNTIFS($D$5:D194,D194,$C$5:C194,"Activity")+COUNTIFS($D$5:D194,D194,$C$5:C194,"Variation"))),""))))</x:f>
      </x:c>
      <x:c r="B194" s="19"/>
      <x:c r="C194" s="19"/>
      <x:c r="D194" s="20"/>
      <x:c r="E194" s="21"/>
      <x:c r="F194" s="21"/>
      <x:c r="G194" s="102"/>
      <x:c r="H194" s="102"/>
      <x:c r="I194" s="102"/>
      <x:c r="J194" s="100"/>
      <x:c r="K194" s="7" t="str">
        <x:f>IF($B194="","",IF($C194="Initiative",IF(COUNTIFS($B$195:$B$204,$B194,$C$195:$C$204,"Activity")+COUNTIFS($B$195:$B$204,$B194,$C$195:$C$204,"Variation")=0,"",IF(COUNTIFS($B$195:$B$204,$B194,$C$195:$C$204,"Activity")+COUNTIFS($B$195:$B$204,$B194,$C$195:$C$204,"Variation")&lt;&gt;COUNTIFS($B$195:$B$204,$B194,$C$195:$C$204,"Activity",$G$195:$G$204,"&lt;&gt;",$H$195:$H$204,"&lt;&gt;")+COUNTIFS($B$195:$B$204,$B194,$C$195:$C$204,"Variation",$G$195:$G$204,"&lt;&gt;",$H$195:$H$204,"&lt;&gt;"),"",(SUMIFS($K$195:$K$204,$B$195:$B$204,$B194,$C$195:$C$204,"Activity")+SUMIFS($K$195:$K$204,$B$195:$B$204,$B194,$C$195:$C$204,"Variation"))/(COUNTIFS($B$195:$B$204,$B194,$C$195:$C$204,"Activity")+COUNTIFS($B$195:$B$204,$B194,$C$195:$C$204,"Variation")))),IF($C194="Milestone",IF(COUNTIFS($D$195:$D$204,$A194,$C$195:$C$204,"Activity")+COUNTIFS($D$195:$D$204,$A194,$C$195:$C$204,"Variation")=0,"",IF(COUNTIFS($D$195:$D$204,$A194,$C$195:$C$204,"Activity")+COUNTIFS($D$195:$D$204,$A194,$C$195:$C$204,"Variation")&lt;&gt;COUNTIFS($D$195:$D$204,$A194,$C$195:$C$204,"Activity",$G$195:$G$204,"&lt;&gt;",$H$195:$H$204,"&lt;&gt;")+COUNTIFS($D$195:$D$204,$A194,$C$195:$C$204,"Variation",$G$195:$G$204,"&lt;&gt;",$H$195:$H$204,"&lt;&gt;"),"",(SUMIFS($K$195:$K$204,$D$195:$D$204,$A194,$C$195:$C$204,"Activity")+SUMIFS($K$195:$K$204,$D$195:$D$204,$A194,$C$195:$C$204,"Variation"))/(COUNTIFS($D$195:$D$204,$A194,$C$195:$C$204,"Activity")+COUNTIFS($D$195:$D$204,$A194,$C$195:$C$204,"Variation")))),IF(OR($C194="Activity",$C194="Variation"),IF(OR($G194="",$H194=""),"",IF($H194&lt;$G194,"",IF($H194=$G194,--(TODAY()&gt;=$H194),MAX(0,MIN(1,(TODAY()-$G194)/($H194-$G194)))))),""))))</x:f>
      </x:c>
      <x:c r="L194" s="7" t="str">
        <x:f t="shared" si="6">IF($B194="","",IF($C194="Initiative",IF(COUNTIFS($B$5:$B$204,$B194,$C$5:$C$204,"Activity")+COUNTIFS($B$5:$B$204,$B194,$C$5:$C$204,"Variation")=0,"",IF(COUNTIFS($B$5:$B$204,$B194,$C$5:$C$204,"Activity")+COUNTIFS($B$5:$B$204,$B194,$C$5:$C$204,"Variation")&lt;&gt;COUNTIFS($B$5:$B$204,$B194,$C$5:$C$204,"Activity",$J$5:$J$204,"&lt;&gt;",$J$5:$J$204,"&gt;=0",$J$5:$J$204,"&lt;=1")+COUNTIFS($B$5:$B$204,$B194,$C$5:$C$204,"Variation",$J$5:$J$204,"&lt;&gt;",$J$5:$J$204,"&gt;=0",$J$5:$J$204,"&lt;=1"),"",(SUMIFS($J$5:$J$204,$B$5:$B$204,$B194,$C$5:$C$204,"Activity")+SUMIFS($J$5:$J$204,$B$5:$B$204,$B194,$C$5:$C$204,"Variation"))/(COUNTIFS($B$5:$B$204,$B194,$C$5:$C$204,"Activity")+COUNTIFS($B$5:$B$204,$B194,$C$5:$C$204,"Variation")))),IF($C194="Milestone",IF(COUNTIFS($D$5:$D$204,$A194,$C$5:$C$204,"Activity")+COUNTIFS($D$5:$D$204,$A194,$C$5:$C$204,"Variation")=0,"",IF(COUNTIFS($D$5:$D$204,$A194,$C$5:$C$204,"Activity")+COUNTIFS($D$5:$D$204,$A194,$C$5:$C$204,"Variation")&lt;&gt;COUNTIFS($D$5:$D$204,$A194,$C$5:$C$204,"Activity",$J$5:$J$204,"&lt;&gt;",$J$5:$J$204,"&gt;=0",$J$5:$J$204,"&lt;=1")+COUNTIFS($D$5:$D$204,$A194,$C$5:$C$204,"Variation",$J$5:$J$204,"&lt;&gt;",$J$5:$J$204,"&gt;=0",$J$5:$J$204,"&lt;=1"),"",(SUMIFS($J$5:$J$204,$D$5:$D$204,$A194,$C$5:$C$204,"Activity")+SUMIFS($J$5:$J$204,$D$5:$D$204,$A194,$C$5:$C$204,"Variation"))/(COUNTIFS($D$5:$D$204,$A194,$C$5:$C$204,"Activity")+COUNTIFS($D$5:$D$204,$A194,$C$5:$C$204,"Variation")))),IF(OR($C194="Activity",$C194="Variation"),IF(AND(ISNUMBER($J194),$J194&gt;=0,$J194&lt;=1),$J194,""),""))))</x:f>
      </x:c>
      <x:c r="M194" s="7" t="str">
        <x:f t="shared" si="7">IF(OR($K194="",$L194=""),"",$L194-$K194)</x:f>
      </x:c>
      <x:c r="N194" s="6" t="str">
        <x:f>IF(OR($B194="",$I194="",$L194=""),"",IF(AND($L194&lt;1,$I194&lt;TODAY()),"Late",IF(AND($H194&lt;&gt;"",$I194&gt;$H194),"Forecast Slip","On Plan")))</x:f>
      </x:c>
      <x:c r="O194" s="19"/>
      <x:c r="P194" s="6" t="str">
        <x:f t="shared" si="8">IF($B194="","",IF($A194="","Enter item ID",IF(COUNTIF($A$5:$A$204,$A194)&gt;1,"Duplicate item ID",IF($C194="Initiative",IF($D194&lt;&gt;"","Parent must be blank",IF(COUNTIFS($B$5:$B$204,$B194,$C$5:$C$204,"Initiative")&lt;&gt;1,"One Initiative row required",IF(COUNTIFS($D$5:$D$204,$A194,$C$5:$C$204,"Milestone")=0,"Add milestone","OK"))),IF($C194="Milestone",IF(COUNTIFS($A$5:$A$204,$D194,$B$5:$B$204,$B194,$C$5:$C$204,"Initiative")&lt;&gt;1,"Parent must be Initiative",IF(COUNTIFS($D$5:$D$204,$A194,$C$5:$C$204,"Activity")+COUNTIFS($D$5:$D$204,$A194,$C$5:$C$204,"Variation")=0,"Add activity or variation","OK")),IF(OR($C194="Activity",$C194="Variation"),IF(COUNTIFS($A$5:$A$204,$D194,$B$5:$B$204,$B194,$C$5:$C$204,"Milestone")&lt;&gt;1,"Parent must be Milestone",IF(OR($G194="",$H194=""),"Enter baseline dates",IF($H194&lt;$G194,"Baseline finish before start",IF($I194="","Enter forecast finish",IF(COUNT($J194)=0,"Enter actual %",IF(OR(NOT(ISNUMBER($J194)),$J194&lt;0,$J194&gt;1),"Actual % must be 0–100%","OK")))))),"Select level"))))))</x:f>
      </x:c>
    </x:row>
    <x:row r="195">
      <x:c r="A195" s="66" t="str" cm="1">
        <x:f t="array" ref="A195">IF(OR(B195="",C195=""),"",IF(C195="Initiative",COUNTIF($C$5:C195,"Initiative"),IF(C195="Milestone",IF(D195="","",D195&amp;"."&amp;COUNTIFS($D$5:D195,D195,$C$5:C195,"Milestone")),IF(OR(C195="Activity",C195="Variation"),IF(D195="","",D195&amp;"."&amp;(COUNTIFS($D$5:D195,D195,$C$5:C195,"Activity")+COUNTIFS($D$5:D195,D195,$C$5:C195,"Variation"))),""))))</x:f>
      </x:c>
      <x:c r="B195" s="19"/>
      <x:c r="C195" s="19"/>
      <x:c r="D195" s="20"/>
      <x:c r="E195" s="21"/>
      <x:c r="F195" s="21"/>
      <x:c r="G195" s="102"/>
      <x:c r="H195" s="102"/>
      <x:c r="I195" s="102"/>
      <x:c r="J195" s="100"/>
      <x:c r="K195" s="7" t="str">
        <x:f>IF($B195="","",IF($C195="Initiative",IF(COUNTIFS($B$196:$B$204,$B195,$C$196:$C$204,"Activity")+COUNTIFS($B$196:$B$204,$B195,$C$196:$C$204,"Variation")=0,"",IF(COUNTIFS($B$196:$B$204,$B195,$C$196:$C$204,"Activity")+COUNTIFS($B$196:$B$204,$B195,$C$196:$C$204,"Variation")&lt;&gt;COUNTIFS($B$196:$B$204,$B195,$C$196:$C$204,"Activity",$G$196:$G$204,"&lt;&gt;",$H$196:$H$204,"&lt;&gt;")+COUNTIFS($B$196:$B$204,$B195,$C$196:$C$204,"Variation",$G$196:$G$204,"&lt;&gt;",$H$196:$H$204,"&lt;&gt;"),"",(SUMIFS($K$196:$K$204,$B$196:$B$204,$B195,$C$196:$C$204,"Activity")+SUMIFS($K$196:$K$204,$B$196:$B$204,$B195,$C$196:$C$204,"Variation"))/(COUNTIFS($B$196:$B$204,$B195,$C$196:$C$204,"Activity")+COUNTIFS($B$196:$B$204,$B195,$C$196:$C$204,"Variation")))),IF($C195="Milestone",IF(COUNTIFS($D$196:$D$204,$A195,$C$196:$C$204,"Activity")+COUNTIFS($D$196:$D$204,$A195,$C$196:$C$204,"Variation")=0,"",IF(COUNTIFS($D$196:$D$204,$A195,$C$196:$C$204,"Activity")+COUNTIFS($D$196:$D$204,$A195,$C$196:$C$204,"Variation")&lt;&gt;COUNTIFS($D$196:$D$204,$A195,$C$196:$C$204,"Activity",$G$196:$G$204,"&lt;&gt;",$H$196:$H$204,"&lt;&gt;")+COUNTIFS($D$196:$D$204,$A195,$C$196:$C$204,"Variation",$G$196:$G$204,"&lt;&gt;",$H$196:$H$204,"&lt;&gt;"),"",(SUMIFS($K$196:$K$204,$D$196:$D$204,$A195,$C$196:$C$204,"Activity")+SUMIFS($K$196:$K$204,$D$196:$D$204,$A195,$C$196:$C$204,"Variation"))/(COUNTIFS($D$196:$D$204,$A195,$C$196:$C$204,"Activity")+COUNTIFS($D$196:$D$204,$A195,$C$196:$C$204,"Variation")))),IF(OR($C195="Activity",$C195="Variation"),IF(OR($G195="",$H195=""),"",IF($H195&lt;$G195,"",IF($H195=$G195,--(TODAY()&gt;=$H195),MAX(0,MIN(1,(TODAY()-$G195)/($H195-$G195)))))),""))))</x:f>
      </x:c>
      <x:c r="L195" s="7" t="str">
        <x:f t="shared" si="6">IF($B195="","",IF($C195="Initiative",IF(COUNTIFS($B$5:$B$204,$B195,$C$5:$C$204,"Activity")+COUNTIFS($B$5:$B$204,$B195,$C$5:$C$204,"Variation")=0,"",IF(COUNTIFS($B$5:$B$204,$B195,$C$5:$C$204,"Activity")+COUNTIFS($B$5:$B$204,$B195,$C$5:$C$204,"Variation")&lt;&gt;COUNTIFS($B$5:$B$204,$B195,$C$5:$C$204,"Activity",$J$5:$J$204,"&lt;&gt;",$J$5:$J$204,"&gt;=0",$J$5:$J$204,"&lt;=1")+COUNTIFS($B$5:$B$204,$B195,$C$5:$C$204,"Variation",$J$5:$J$204,"&lt;&gt;",$J$5:$J$204,"&gt;=0",$J$5:$J$204,"&lt;=1"),"",(SUMIFS($J$5:$J$204,$B$5:$B$204,$B195,$C$5:$C$204,"Activity")+SUMIFS($J$5:$J$204,$B$5:$B$204,$B195,$C$5:$C$204,"Variation"))/(COUNTIFS($B$5:$B$204,$B195,$C$5:$C$204,"Activity")+COUNTIFS($B$5:$B$204,$B195,$C$5:$C$204,"Variation")))),IF($C195="Milestone",IF(COUNTIFS($D$5:$D$204,$A195,$C$5:$C$204,"Activity")+COUNTIFS($D$5:$D$204,$A195,$C$5:$C$204,"Variation")=0,"",IF(COUNTIFS($D$5:$D$204,$A195,$C$5:$C$204,"Activity")+COUNTIFS($D$5:$D$204,$A195,$C$5:$C$204,"Variation")&lt;&gt;COUNTIFS($D$5:$D$204,$A195,$C$5:$C$204,"Activity",$J$5:$J$204,"&lt;&gt;",$J$5:$J$204,"&gt;=0",$J$5:$J$204,"&lt;=1")+COUNTIFS($D$5:$D$204,$A195,$C$5:$C$204,"Variation",$J$5:$J$204,"&lt;&gt;",$J$5:$J$204,"&gt;=0",$J$5:$J$204,"&lt;=1"),"",(SUMIFS($J$5:$J$204,$D$5:$D$204,$A195,$C$5:$C$204,"Activity")+SUMIFS($J$5:$J$204,$D$5:$D$204,$A195,$C$5:$C$204,"Variation"))/(COUNTIFS($D$5:$D$204,$A195,$C$5:$C$204,"Activity")+COUNTIFS($D$5:$D$204,$A195,$C$5:$C$204,"Variation")))),IF(OR($C195="Activity",$C195="Variation"),IF(AND(ISNUMBER($J195),$J195&gt;=0,$J195&lt;=1),$J195,""),""))))</x:f>
      </x:c>
      <x:c r="M195" s="7" t="str">
        <x:f t="shared" si="7">IF(OR($K195="",$L195=""),"",$L195-$K195)</x:f>
      </x:c>
      <x:c r="N195" s="6" t="str">
        <x:f>IF(OR($B195="",$I195="",$L195=""),"",IF(AND($L195&lt;1,$I195&lt;TODAY()),"Late",IF(AND($H195&lt;&gt;"",$I195&gt;$H195),"Forecast Slip","On Plan")))</x:f>
      </x:c>
      <x:c r="O195" s="19"/>
      <x:c r="P195" s="6" t="str">
        <x:f t="shared" si="8">IF($B195="","",IF($A195="","Enter item ID",IF(COUNTIF($A$5:$A$204,$A195)&gt;1,"Duplicate item ID",IF($C195="Initiative",IF($D195&lt;&gt;"","Parent must be blank",IF(COUNTIFS($B$5:$B$204,$B195,$C$5:$C$204,"Initiative")&lt;&gt;1,"One Initiative row required",IF(COUNTIFS($D$5:$D$204,$A195,$C$5:$C$204,"Milestone")=0,"Add milestone","OK"))),IF($C195="Milestone",IF(COUNTIFS($A$5:$A$204,$D195,$B$5:$B$204,$B195,$C$5:$C$204,"Initiative")&lt;&gt;1,"Parent must be Initiative",IF(COUNTIFS($D$5:$D$204,$A195,$C$5:$C$204,"Activity")+COUNTIFS($D$5:$D$204,$A195,$C$5:$C$204,"Variation")=0,"Add activity or variation","OK")),IF(OR($C195="Activity",$C195="Variation"),IF(COUNTIFS($A$5:$A$204,$D195,$B$5:$B$204,$B195,$C$5:$C$204,"Milestone")&lt;&gt;1,"Parent must be Milestone",IF(OR($G195="",$H195=""),"Enter baseline dates",IF($H195&lt;$G195,"Baseline finish before start",IF($I195="","Enter forecast finish",IF(COUNT($J195)=0,"Enter actual %",IF(OR(NOT(ISNUMBER($J195)),$J195&lt;0,$J195&gt;1),"Actual % must be 0–100%","OK")))))),"Select level"))))))</x:f>
      </x:c>
    </x:row>
    <x:row r="196">
      <x:c r="A196" s="66" t="str" cm="1">
        <x:f t="array" ref="A196">IF(OR(B196="",C196=""),"",IF(C196="Initiative",COUNTIF($C$5:C196,"Initiative"),IF(C196="Milestone",IF(D196="","",D196&amp;"."&amp;COUNTIFS($D$5:D196,D196,$C$5:C196,"Milestone")),IF(OR(C196="Activity",C196="Variation"),IF(D196="","",D196&amp;"."&amp;(COUNTIFS($D$5:D196,D196,$C$5:C196,"Activity")+COUNTIFS($D$5:D196,D196,$C$5:C196,"Variation"))),""))))</x:f>
      </x:c>
      <x:c r="B196" s="19"/>
      <x:c r="C196" s="19"/>
      <x:c r="D196" s="20"/>
      <x:c r="E196" s="21"/>
      <x:c r="F196" s="21"/>
      <x:c r="G196" s="102"/>
      <x:c r="H196" s="102"/>
      <x:c r="I196" s="102"/>
      <x:c r="J196" s="100"/>
      <x:c r="K196" s="7" t="str">
        <x:f>IF($B196="","",IF($C196="Initiative",IF(COUNTIFS($B$197:$B$204,$B196,$C$197:$C$204,"Activity")+COUNTIFS($B$197:$B$204,$B196,$C$197:$C$204,"Variation")=0,"",IF(COUNTIFS($B$197:$B$204,$B196,$C$197:$C$204,"Activity")+COUNTIFS($B$197:$B$204,$B196,$C$197:$C$204,"Variation")&lt;&gt;COUNTIFS($B$197:$B$204,$B196,$C$197:$C$204,"Activity",$G$197:$G$204,"&lt;&gt;",$H$197:$H$204,"&lt;&gt;")+COUNTIFS($B$197:$B$204,$B196,$C$197:$C$204,"Variation",$G$197:$G$204,"&lt;&gt;",$H$197:$H$204,"&lt;&gt;"),"",(SUMIFS($K$197:$K$204,$B$197:$B$204,$B196,$C$197:$C$204,"Activity")+SUMIFS($K$197:$K$204,$B$197:$B$204,$B196,$C$197:$C$204,"Variation"))/(COUNTIFS($B$197:$B$204,$B196,$C$197:$C$204,"Activity")+COUNTIFS($B$197:$B$204,$B196,$C$197:$C$204,"Variation")))),IF($C196="Milestone",IF(COUNTIFS($D$197:$D$204,$A196,$C$197:$C$204,"Activity")+COUNTIFS($D$197:$D$204,$A196,$C$197:$C$204,"Variation")=0,"",IF(COUNTIFS($D$197:$D$204,$A196,$C$197:$C$204,"Activity")+COUNTIFS($D$197:$D$204,$A196,$C$197:$C$204,"Variation")&lt;&gt;COUNTIFS($D$197:$D$204,$A196,$C$197:$C$204,"Activity",$G$197:$G$204,"&lt;&gt;",$H$197:$H$204,"&lt;&gt;")+COUNTIFS($D$197:$D$204,$A196,$C$197:$C$204,"Variation",$G$197:$G$204,"&lt;&gt;",$H$197:$H$204,"&lt;&gt;"),"",(SUMIFS($K$197:$K$204,$D$197:$D$204,$A196,$C$197:$C$204,"Activity")+SUMIFS($K$197:$K$204,$D$197:$D$204,$A196,$C$197:$C$204,"Variation"))/(COUNTIFS($D$197:$D$204,$A196,$C$197:$C$204,"Activity")+COUNTIFS($D$197:$D$204,$A196,$C$197:$C$204,"Variation")))),IF(OR($C196="Activity",$C196="Variation"),IF(OR($G196="",$H196=""),"",IF($H196&lt;$G196,"",IF($H196=$G196,--(TODAY()&gt;=$H196),MAX(0,MIN(1,(TODAY()-$G196)/($H196-$G196)))))),""))))</x:f>
      </x:c>
      <x:c r="L196" s="7" t="str">
        <x:f t="shared" si="6">IF($B196="","",IF($C196="Initiative",IF(COUNTIFS($B$5:$B$204,$B196,$C$5:$C$204,"Activity")+COUNTIFS($B$5:$B$204,$B196,$C$5:$C$204,"Variation")=0,"",IF(COUNTIFS($B$5:$B$204,$B196,$C$5:$C$204,"Activity")+COUNTIFS($B$5:$B$204,$B196,$C$5:$C$204,"Variation")&lt;&gt;COUNTIFS($B$5:$B$204,$B196,$C$5:$C$204,"Activity",$J$5:$J$204,"&lt;&gt;",$J$5:$J$204,"&gt;=0",$J$5:$J$204,"&lt;=1")+COUNTIFS($B$5:$B$204,$B196,$C$5:$C$204,"Variation",$J$5:$J$204,"&lt;&gt;",$J$5:$J$204,"&gt;=0",$J$5:$J$204,"&lt;=1"),"",(SUMIFS($J$5:$J$204,$B$5:$B$204,$B196,$C$5:$C$204,"Activity")+SUMIFS($J$5:$J$204,$B$5:$B$204,$B196,$C$5:$C$204,"Variation"))/(COUNTIFS($B$5:$B$204,$B196,$C$5:$C$204,"Activity")+COUNTIFS($B$5:$B$204,$B196,$C$5:$C$204,"Variation")))),IF($C196="Milestone",IF(COUNTIFS($D$5:$D$204,$A196,$C$5:$C$204,"Activity")+COUNTIFS($D$5:$D$204,$A196,$C$5:$C$204,"Variation")=0,"",IF(COUNTIFS($D$5:$D$204,$A196,$C$5:$C$204,"Activity")+COUNTIFS($D$5:$D$204,$A196,$C$5:$C$204,"Variation")&lt;&gt;COUNTIFS($D$5:$D$204,$A196,$C$5:$C$204,"Activity",$J$5:$J$204,"&lt;&gt;",$J$5:$J$204,"&gt;=0",$J$5:$J$204,"&lt;=1")+COUNTIFS($D$5:$D$204,$A196,$C$5:$C$204,"Variation",$J$5:$J$204,"&lt;&gt;",$J$5:$J$204,"&gt;=0",$J$5:$J$204,"&lt;=1"),"",(SUMIFS($J$5:$J$204,$D$5:$D$204,$A196,$C$5:$C$204,"Activity")+SUMIFS($J$5:$J$204,$D$5:$D$204,$A196,$C$5:$C$204,"Variation"))/(COUNTIFS($D$5:$D$204,$A196,$C$5:$C$204,"Activity")+COUNTIFS($D$5:$D$204,$A196,$C$5:$C$204,"Variation")))),IF(OR($C196="Activity",$C196="Variation"),IF(AND(ISNUMBER($J196),$J196&gt;=0,$J196&lt;=1),$J196,""),""))))</x:f>
      </x:c>
      <x:c r="M196" s="7" t="str">
        <x:f t="shared" si="7">IF(OR($K196="",$L196=""),"",$L196-$K196)</x:f>
      </x:c>
      <x:c r="N196" s="6" t="str">
        <x:f>IF(OR($B196="",$I196="",$L196=""),"",IF(AND($L196&lt;1,$I196&lt;TODAY()),"Late",IF(AND($H196&lt;&gt;"",$I196&gt;$H196),"Forecast Slip","On Plan")))</x:f>
      </x:c>
      <x:c r="O196" s="19"/>
      <x:c r="P196" s="6" t="str">
        <x:f t="shared" si="8">IF($B196="","",IF($A196="","Enter item ID",IF(COUNTIF($A$5:$A$204,$A196)&gt;1,"Duplicate item ID",IF($C196="Initiative",IF($D196&lt;&gt;"","Parent must be blank",IF(COUNTIFS($B$5:$B$204,$B196,$C$5:$C$204,"Initiative")&lt;&gt;1,"One Initiative row required",IF(COUNTIFS($D$5:$D$204,$A196,$C$5:$C$204,"Milestone")=0,"Add milestone","OK"))),IF($C196="Milestone",IF(COUNTIFS($A$5:$A$204,$D196,$B$5:$B$204,$B196,$C$5:$C$204,"Initiative")&lt;&gt;1,"Parent must be Initiative",IF(COUNTIFS($D$5:$D$204,$A196,$C$5:$C$204,"Activity")+COUNTIFS($D$5:$D$204,$A196,$C$5:$C$204,"Variation")=0,"Add activity or variation","OK")),IF(OR($C196="Activity",$C196="Variation"),IF(COUNTIFS($A$5:$A$204,$D196,$B$5:$B$204,$B196,$C$5:$C$204,"Milestone")&lt;&gt;1,"Parent must be Milestone",IF(OR($G196="",$H196=""),"Enter baseline dates",IF($H196&lt;$G196,"Baseline finish before start",IF($I196="","Enter forecast finish",IF(COUNT($J196)=0,"Enter actual %",IF(OR(NOT(ISNUMBER($J196)),$J196&lt;0,$J196&gt;1),"Actual % must be 0–100%","OK")))))),"Select level"))))))</x:f>
      </x:c>
    </x:row>
    <x:row r="197">
      <x:c r="A197" s="66" t="str" cm="1">
        <x:f t="array" ref="A197">IF(OR(B197="",C197=""),"",IF(C197="Initiative",COUNTIF($C$5:C197,"Initiative"),IF(C197="Milestone",IF(D197="","",D197&amp;"."&amp;COUNTIFS($D$5:D197,D197,$C$5:C197,"Milestone")),IF(OR(C197="Activity",C197="Variation"),IF(D197="","",D197&amp;"."&amp;(COUNTIFS($D$5:D197,D197,$C$5:C197,"Activity")+COUNTIFS($D$5:D197,D197,$C$5:C197,"Variation"))),""))))</x:f>
      </x:c>
      <x:c r="B197" s="19"/>
      <x:c r="C197" s="19"/>
      <x:c r="D197" s="20"/>
      <x:c r="E197" s="21"/>
      <x:c r="F197" s="21"/>
      <x:c r="G197" s="102"/>
      <x:c r="H197" s="102"/>
      <x:c r="I197" s="102"/>
      <x:c r="J197" s="100"/>
      <x:c r="K197" s="7" t="str">
        <x:f>IF($B197="","",IF($C197="Initiative",IF(COUNTIFS($B$198:$B$204,$B197,$C$198:$C$204,"Activity")+COUNTIFS($B$198:$B$204,$B197,$C$198:$C$204,"Variation")=0,"",IF(COUNTIFS($B$198:$B$204,$B197,$C$198:$C$204,"Activity")+COUNTIFS($B$198:$B$204,$B197,$C$198:$C$204,"Variation")&lt;&gt;COUNTIFS($B$198:$B$204,$B197,$C$198:$C$204,"Activity",$G$198:$G$204,"&lt;&gt;",$H$198:$H$204,"&lt;&gt;")+COUNTIFS($B$198:$B$204,$B197,$C$198:$C$204,"Variation",$G$198:$G$204,"&lt;&gt;",$H$198:$H$204,"&lt;&gt;"),"",(SUMIFS($K$198:$K$204,$B$198:$B$204,$B197,$C$198:$C$204,"Activity")+SUMIFS($K$198:$K$204,$B$198:$B$204,$B197,$C$198:$C$204,"Variation"))/(COUNTIFS($B$198:$B$204,$B197,$C$198:$C$204,"Activity")+COUNTIFS($B$198:$B$204,$B197,$C$198:$C$204,"Variation")))),IF($C197="Milestone",IF(COUNTIFS($D$198:$D$204,$A197,$C$198:$C$204,"Activity")+COUNTIFS($D$198:$D$204,$A197,$C$198:$C$204,"Variation")=0,"",IF(COUNTIFS($D$198:$D$204,$A197,$C$198:$C$204,"Activity")+COUNTIFS($D$198:$D$204,$A197,$C$198:$C$204,"Variation")&lt;&gt;COUNTIFS($D$198:$D$204,$A197,$C$198:$C$204,"Activity",$G$198:$G$204,"&lt;&gt;",$H$198:$H$204,"&lt;&gt;")+COUNTIFS($D$198:$D$204,$A197,$C$198:$C$204,"Variation",$G$198:$G$204,"&lt;&gt;",$H$198:$H$204,"&lt;&gt;"),"",(SUMIFS($K$198:$K$204,$D$198:$D$204,$A197,$C$198:$C$204,"Activity")+SUMIFS($K$198:$K$204,$D$198:$D$204,$A197,$C$198:$C$204,"Variation"))/(COUNTIFS($D$198:$D$204,$A197,$C$198:$C$204,"Activity")+COUNTIFS($D$198:$D$204,$A197,$C$198:$C$204,"Variation")))),IF(OR($C197="Activity",$C197="Variation"),IF(OR($G197="",$H197=""),"",IF($H197&lt;$G197,"",IF($H197=$G197,--(TODAY()&gt;=$H197),MAX(0,MIN(1,(TODAY()-$G197)/($H197-$G197)))))),""))))</x:f>
      </x:c>
      <x:c r="L197" s="7" t="str">
        <x:f t="shared" ref="L197:L204" si="9">IF($B197="","",IF($C197="Initiative",IF(COUNTIFS($B$5:$B$204,$B197,$C$5:$C$204,"Activity")+COUNTIFS($B$5:$B$204,$B197,$C$5:$C$204,"Variation")=0,"",IF(COUNTIFS($B$5:$B$204,$B197,$C$5:$C$204,"Activity")+COUNTIFS($B$5:$B$204,$B197,$C$5:$C$204,"Variation")&lt;&gt;COUNTIFS($B$5:$B$204,$B197,$C$5:$C$204,"Activity",$J$5:$J$204,"&lt;&gt;",$J$5:$J$204,"&gt;=0",$J$5:$J$204,"&lt;=1")+COUNTIFS($B$5:$B$204,$B197,$C$5:$C$204,"Variation",$J$5:$J$204,"&lt;&gt;",$J$5:$J$204,"&gt;=0",$J$5:$J$204,"&lt;=1"),"",(SUMIFS($J$5:$J$204,$B$5:$B$204,$B197,$C$5:$C$204,"Activity")+SUMIFS($J$5:$J$204,$B$5:$B$204,$B197,$C$5:$C$204,"Variation"))/(COUNTIFS($B$5:$B$204,$B197,$C$5:$C$204,"Activity")+COUNTIFS($B$5:$B$204,$B197,$C$5:$C$204,"Variation")))),IF($C197="Milestone",IF(COUNTIFS($D$5:$D$204,$A197,$C$5:$C$204,"Activity")+COUNTIFS($D$5:$D$204,$A197,$C$5:$C$204,"Variation")=0,"",IF(COUNTIFS($D$5:$D$204,$A197,$C$5:$C$204,"Activity")+COUNTIFS($D$5:$D$204,$A197,$C$5:$C$204,"Variation")&lt;&gt;COUNTIFS($D$5:$D$204,$A197,$C$5:$C$204,"Activity",$J$5:$J$204,"&lt;&gt;",$J$5:$J$204,"&gt;=0",$J$5:$J$204,"&lt;=1")+COUNTIFS($D$5:$D$204,$A197,$C$5:$C$204,"Variation",$J$5:$J$204,"&lt;&gt;",$J$5:$J$204,"&gt;=0",$J$5:$J$204,"&lt;=1"),"",(SUMIFS($J$5:$J$204,$D$5:$D$204,$A197,$C$5:$C$204,"Activity")+SUMIFS($J$5:$J$204,$D$5:$D$204,$A197,$C$5:$C$204,"Variation"))/(COUNTIFS($D$5:$D$204,$A197,$C$5:$C$204,"Activity")+COUNTIFS($D$5:$D$204,$A197,$C$5:$C$204,"Variation")))),IF(OR($C197="Activity",$C197="Variation"),IF(AND(ISNUMBER($J197),$J197&gt;=0,$J197&lt;=1),$J197,""),""))))</x:f>
      </x:c>
      <x:c r="M197" s="7" t="str">
        <x:f t="shared" si="7">IF(OR($K197="",$L197=""),"",$L197-$K197)</x:f>
      </x:c>
      <x:c r="N197" s="6" t="str">
        <x:f>IF(OR($B197="",$I197="",$L197=""),"",IF(AND($L197&lt;1,$I197&lt;TODAY()),"Late",IF(AND($H197&lt;&gt;"",$I197&gt;$H197),"Forecast Slip","On Plan")))</x:f>
      </x:c>
      <x:c r="O197" s="19"/>
      <x:c r="P197" s="6" t="str">
        <x:f t="shared" si="8">IF($B197="","",IF($A197="","Enter item ID",IF(COUNTIF($A$5:$A$204,$A197)&gt;1,"Duplicate item ID",IF($C197="Initiative",IF($D197&lt;&gt;"","Parent must be blank",IF(COUNTIFS($B$5:$B$204,$B197,$C$5:$C$204,"Initiative")&lt;&gt;1,"One Initiative row required",IF(COUNTIFS($D$5:$D$204,$A197,$C$5:$C$204,"Milestone")=0,"Add milestone","OK"))),IF($C197="Milestone",IF(COUNTIFS($A$5:$A$204,$D197,$B$5:$B$204,$B197,$C$5:$C$204,"Initiative")&lt;&gt;1,"Parent must be Initiative",IF(COUNTIFS($D$5:$D$204,$A197,$C$5:$C$204,"Activity")+COUNTIFS($D$5:$D$204,$A197,$C$5:$C$204,"Variation")=0,"Add activity or variation","OK")),IF(OR($C197="Activity",$C197="Variation"),IF(COUNTIFS($A$5:$A$204,$D197,$B$5:$B$204,$B197,$C$5:$C$204,"Milestone")&lt;&gt;1,"Parent must be Milestone",IF(OR($G197="",$H197=""),"Enter baseline dates",IF($H197&lt;$G197,"Baseline finish before start",IF($I197="","Enter forecast finish",IF(COUNT($J197)=0,"Enter actual %",IF(OR(NOT(ISNUMBER($J197)),$J197&lt;0,$J197&gt;1),"Actual % must be 0–100%","OK")))))),"Select level"))))))</x:f>
      </x:c>
    </x:row>
    <x:row r="198">
      <x:c r="A198" s="66" t="str" cm="1">
        <x:f t="array" ref="A198">IF(OR(B198="",C198=""),"",IF(C198="Initiative",COUNTIF($C$5:C198,"Initiative"),IF(C198="Milestone",IF(D198="","",D198&amp;"."&amp;COUNTIFS($D$5:D198,D198,$C$5:C198,"Milestone")),IF(OR(C198="Activity",C198="Variation"),IF(D198="","",D198&amp;"."&amp;(COUNTIFS($D$5:D198,D198,$C$5:C198,"Activity")+COUNTIFS($D$5:D198,D198,$C$5:C198,"Variation"))),""))))</x:f>
      </x:c>
      <x:c r="B198" s="19"/>
      <x:c r="C198" s="19"/>
      <x:c r="D198" s="20"/>
      <x:c r="E198" s="21"/>
      <x:c r="F198" s="21"/>
      <x:c r="G198" s="102"/>
      <x:c r="H198" s="102"/>
      <x:c r="I198" s="102"/>
      <x:c r="J198" s="100"/>
      <x:c r="K198" s="7" t="str">
        <x:f>IF($B198="","",IF($C198="Initiative",IF(COUNTIFS($B$199:$B$204,$B198,$C$199:$C$204,"Activity")+COUNTIFS($B$199:$B$204,$B198,$C$199:$C$204,"Variation")=0,"",IF(COUNTIFS($B$199:$B$204,$B198,$C$199:$C$204,"Activity")+COUNTIFS($B$199:$B$204,$B198,$C$199:$C$204,"Variation")&lt;&gt;COUNTIFS($B$199:$B$204,$B198,$C$199:$C$204,"Activity",$G$199:$G$204,"&lt;&gt;",$H$199:$H$204,"&lt;&gt;")+COUNTIFS($B$199:$B$204,$B198,$C$199:$C$204,"Variation",$G$199:$G$204,"&lt;&gt;",$H$199:$H$204,"&lt;&gt;"),"",(SUMIFS($K$199:$K$204,$B$199:$B$204,$B198,$C$199:$C$204,"Activity")+SUMIFS($K$199:$K$204,$B$199:$B$204,$B198,$C$199:$C$204,"Variation"))/(COUNTIFS($B$199:$B$204,$B198,$C$199:$C$204,"Activity")+COUNTIFS($B$199:$B$204,$B198,$C$199:$C$204,"Variation")))),IF($C198="Milestone",IF(COUNTIFS($D$199:$D$204,$A198,$C$199:$C$204,"Activity")+COUNTIFS($D$199:$D$204,$A198,$C$199:$C$204,"Variation")=0,"",IF(COUNTIFS($D$199:$D$204,$A198,$C$199:$C$204,"Activity")+COUNTIFS($D$199:$D$204,$A198,$C$199:$C$204,"Variation")&lt;&gt;COUNTIFS($D$199:$D$204,$A198,$C$199:$C$204,"Activity",$G$199:$G$204,"&lt;&gt;",$H$199:$H$204,"&lt;&gt;")+COUNTIFS($D$199:$D$204,$A198,$C$199:$C$204,"Variation",$G$199:$G$204,"&lt;&gt;",$H$199:$H$204,"&lt;&gt;"),"",(SUMIFS($K$199:$K$204,$D$199:$D$204,$A198,$C$199:$C$204,"Activity")+SUMIFS($K$199:$K$204,$D$199:$D$204,$A198,$C$199:$C$204,"Variation"))/(COUNTIFS($D$199:$D$204,$A198,$C$199:$C$204,"Activity")+COUNTIFS($D$199:$D$204,$A198,$C$199:$C$204,"Variation")))),IF(OR($C198="Activity",$C198="Variation"),IF(OR($G198="",$H198=""),"",IF($H198&lt;$G198,"",IF($H198=$G198,--(TODAY()&gt;=$H198),MAX(0,MIN(1,(TODAY()-$G198)/($H198-$G198)))))),""))))</x:f>
      </x:c>
      <x:c r="L198" s="7" t="str">
        <x:f t="shared" si="9">IF($B198="","",IF($C198="Initiative",IF(COUNTIFS($B$5:$B$204,$B198,$C$5:$C$204,"Activity")+COUNTIFS($B$5:$B$204,$B198,$C$5:$C$204,"Variation")=0,"",IF(COUNTIFS($B$5:$B$204,$B198,$C$5:$C$204,"Activity")+COUNTIFS($B$5:$B$204,$B198,$C$5:$C$204,"Variation")&lt;&gt;COUNTIFS($B$5:$B$204,$B198,$C$5:$C$204,"Activity",$J$5:$J$204,"&lt;&gt;",$J$5:$J$204,"&gt;=0",$J$5:$J$204,"&lt;=1")+COUNTIFS($B$5:$B$204,$B198,$C$5:$C$204,"Variation",$J$5:$J$204,"&lt;&gt;",$J$5:$J$204,"&gt;=0",$J$5:$J$204,"&lt;=1"),"",(SUMIFS($J$5:$J$204,$B$5:$B$204,$B198,$C$5:$C$204,"Activity")+SUMIFS($J$5:$J$204,$B$5:$B$204,$B198,$C$5:$C$204,"Variation"))/(COUNTIFS($B$5:$B$204,$B198,$C$5:$C$204,"Activity")+COUNTIFS($B$5:$B$204,$B198,$C$5:$C$204,"Variation")))),IF($C198="Milestone",IF(COUNTIFS($D$5:$D$204,$A198,$C$5:$C$204,"Activity")+COUNTIFS($D$5:$D$204,$A198,$C$5:$C$204,"Variation")=0,"",IF(COUNTIFS($D$5:$D$204,$A198,$C$5:$C$204,"Activity")+COUNTIFS($D$5:$D$204,$A198,$C$5:$C$204,"Variation")&lt;&gt;COUNTIFS($D$5:$D$204,$A198,$C$5:$C$204,"Activity",$J$5:$J$204,"&lt;&gt;",$J$5:$J$204,"&gt;=0",$J$5:$J$204,"&lt;=1")+COUNTIFS($D$5:$D$204,$A198,$C$5:$C$204,"Variation",$J$5:$J$204,"&lt;&gt;",$J$5:$J$204,"&gt;=0",$J$5:$J$204,"&lt;=1"),"",(SUMIFS($J$5:$J$204,$D$5:$D$204,$A198,$C$5:$C$204,"Activity")+SUMIFS($J$5:$J$204,$D$5:$D$204,$A198,$C$5:$C$204,"Variation"))/(COUNTIFS($D$5:$D$204,$A198,$C$5:$C$204,"Activity")+COUNTIFS($D$5:$D$204,$A198,$C$5:$C$204,"Variation")))),IF(OR($C198="Activity",$C198="Variation"),IF(AND(ISNUMBER($J198),$J198&gt;=0,$J198&lt;=1),$J198,""),""))))</x:f>
      </x:c>
      <x:c r="M198" s="7" t="str">
        <x:f t="shared" ref="M198:M204" si="10">IF(OR($K198="",$L198=""),"",$L198-$K198)</x:f>
      </x:c>
      <x:c r="N198" s="6" t="str">
        <x:f>IF(OR($B198="",$I198="",$L198=""),"",IF(AND($L198&lt;1,$I198&lt;TODAY()),"Late",IF(AND($H198&lt;&gt;"",$I198&gt;$H198),"Forecast Slip","On Plan")))</x:f>
      </x:c>
      <x:c r="O198" s="19"/>
      <x:c r="P198" s="6" t="str">
        <x:f t="shared" ref="P198:P204" si="11">IF($B198="","",IF($A198="","Enter item ID",IF(COUNTIF($A$5:$A$204,$A198)&gt;1,"Duplicate item ID",IF($C198="Initiative",IF($D198&lt;&gt;"","Parent must be blank",IF(COUNTIFS($B$5:$B$204,$B198,$C$5:$C$204,"Initiative")&lt;&gt;1,"One Initiative row required",IF(COUNTIFS($D$5:$D$204,$A198,$C$5:$C$204,"Milestone")=0,"Add milestone","OK"))),IF($C198="Milestone",IF(COUNTIFS($A$5:$A$204,$D198,$B$5:$B$204,$B198,$C$5:$C$204,"Initiative")&lt;&gt;1,"Parent must be Initiative",IF(COUNTIFS($D$5:$D$204,$A198,$C$5:$C$204,"Activity")+COUNTIFS($D$5:$D$204,$A198,$C$5:$C$204,"Variation")=0,"Add activity or variation","OK")),IF(OR($C198="Activity",$C198="Variation"),IF(COUNTIFS($A$5:$A$204,$D198,$B$5:$B$204,$B198,$C$5:$C$204,"Milestone")&lt;&gt;1,"Parent must be Milestone",IF(OR($G198="",$H198=""),"Enter baseline dates",IF($H198&lt;$G198,"Baseline finish before start",IF($I198="","Enter forecast finish",IF(COUNT($J198)=0,"Enter actual %",IF(OR(NOT(ISNUMBER($J198)),$J198&lt;0,$J198&gt;1),"Actual % must be 0–100%","OK")))))),"Select level"))))))</x:f>
      </x:c>
    </x:row>
    <x:row r="199">
      <x:c r="A199" s="66" t="str" cm="1">
        <x:f t="array" ref="A199">IF(OR(B199="",C199=""),"",IF(C199="Initiative",COUNTIF($C$5:C199,"Initiative"),IF(C199="Milestone",IF(D199="","",D199&amp;"."&amp;COUNTIFS($D$5:D199,D199,$C$5:C199,"Milestone")),IF(OR(C199="Activity",C199="Variation"),IF(D199="","",D199&amp;"."&amp;(COUNTIFS($D$5:D199,D199,$C$5:C199,"Activity")+COUNTIFS($D$5:D199,D199,$C$5:C199,"Variation"))),""))))</x:f>
      </x:c>
      <x:c r="B199" s="19"/>
      <x:c r="C199" s="19"/>
      <x:c r="D199" s="20"/>
      <x:c r="E199" s="21"/>
      <x:c r="F199" s="21"/>
      <x:c r="G199" s="102"/>
      <x:c r="H199" s="102"/>
      <x:c r="I199" s="102"/>
      <x:c r="J199" s="100"/>
      <x:c r="K199" s="7" t="str">
        <x:f>IF($B199="","",IF($C199="Initiative",IF(COUNTIFS($B$200:$B$204,$B199,$C$200:$C$204,"Activity")+COUNTIFS($B$200:$B$204,$B199,$C$200:$C$204,"Variation")=0,"",IF(COUNTIFS($B$200:$B$204,$B199,$C$200:$C$204,"Activity")+COUNTIFS($B$200:$B$204,$B199,$C$200:$C$204,"Variation")&lt;&gt;COUNTIFS($B$200:$B$204,$B199,$C$200:$C$204,"Activity",$G$200:$G$204,"&lt;&gt;",$H$200:$H$204,"&lt;&gt;")+COUNTIFS($B$200:$B$204,$B199,$C$200:$C$204,"Variation",$G$200:$G$204,"&lt;&gt;",$H$200:$H$204,"&lt;&gt;"),"",(SUMIFS($K$200:$K$204,$B$200:$B$204,$B199,$C$200:$C$204,"Activity")+SUMIFS($K$200:$K$204,$B$200:$B$204,$B199,$C$200:$C$204,"Variation"))/(COUNTIFS($B$200:$B$204,$B199,$C$200:$C$204,"Activity")+COUNTIFS($B$200:$B$204,$B199,$C$200:$C$204,"Variation")))),IF($C199="Milestone",IF(COUNTIFS($D$200:$D$204,$A199,$C$200:$C$204,"Activity")+COUNTIFS($D$200:$D$204,$A199,$C$200:$C$204,"Variation")=0,"",IF(COUNTIFS($D$200:$D$204,$A199,$C$200:$C$204,"Activity")+COUNTIFS($D$200:$D$204,$A199,$C$200:$C$204,"Variation")&lt;&gt;COUNTIFS($D$200:$D$204,$A199,$C$200:$C$204,"Activity",$G$200:$G$204,"&lt;&gt;",$H$200:$H$204,"&lt;&gt;")+COUNTIFS($D$200:$D$204,$A199,$C$200:$C$204,"Variation",$G$200:$G$204,"&lt;&gt;",$H$200:$H$204,"&lt;&gt;"),"",(SUMIFS($K$200:$K$204,$D$200:$D$204,$A199,$C$200:$C$204,"Activity")+SUMIFS($K$200:$K$204,$D$200:$D$204,$A199,$C$200:$C$204,"Variation"))/(COUNTIFS($D$200:$D$204,$A199,$C$200:$C$204,"Activity")+COUNTIFS($D$200:$D$204,$A199,$C$200:$C$204,"Variation")))),IF(OR($C199="Activity",$C199="Variation"),IF(OR($G199="",$H199=""),"",IF($H199&lt;$G199,"",IF($H199=$G199,--(TODAY()&gt;=$H199),MAX(0,MIN(1,(TODAY()-$G199)/($H199-$G199)))))),""))))</x:f>
      </x:c>
      <x:c r="L199" s="7" t="str">
        <x:f t="shared" si="9">IF($B199="","",IF($C199="Initiative",IF(COUNTIFS($B$5:$B$204,$B199,$C$5:$C$204,"Activity")+COUNTIFS($B$5:$B$204,$B199,$C$5:$C$204,"Variation")=0,"",IF(COUNTIFS($B$5:$B$204,$B199,$C$5:$C$204,"Activity")+COUNTIFS($B$5:$B$204,$B199,$C$5:$C$204,"Variation")&lt;&gt;COUNTIFS($B$5:$B$204,$B199,$C$5:$C$204,"Activity",$J$5:$J$204,"&lt;&gt;",$J$5:$J$204,"&gt;=0",$J$5:$J$204,"&lt;=1")+COUNTIFS($B$5:$B$204,$B199,$C$5:$C$204,"Variation",$J$5:$J$204,"&lt;&gt;",$J$5:$J$204,"&gt;=0",$J$5:$J$204,"&lt;=1"),"",(SUMIFS($J$5:$J$204,$B$5:$B$204,$B199,$C$5:$C$204,"Activity")+SUMIFS($J$5:$J$204,$B$5:$B$204,$B199,$C$5:$C$204,"Variation"))/(COUNTIFS($B$5:$B$204,$B199,$C$5:$C$204,"Activity")+COUNTIFS($B$5:$B$204,$B199,$C$5:$C$204,"Variation")))),IF($C199="Milestone",IF(COUNTIFS($D$5:$D$204,$A199,$C$5:$C$204,"Activity")+COUNTIFS($D$5:$D$204,$A199,$C$5:$C$204,"Variation")=0,"",IF(COUNTIFS($D$5:$D$204,$A199,$C$5:$C$204,"Activity")+COUNTIFS($D$5:$D$204,$A199,$C$5:$C$204,"Variation")&lt;&gt;COUNTIFS($D$5:$D$204,$A199,$C$5:$C$204,"Activity",$J$5:$J$204,"&lt;&gt;",$J$5:$J$204,"&gt;=0",$J$5:$J$204,"&lt;=1")+COUNTIFS($D$5:$D$204,$A199,$C$5:$C$204,"Variation",$J$5:$J$204,"&lt;&gt;",$J$5:$J$204,"&gt;=0",$J$5:$J$204,"&lt;=1"),"",(SUMIFS($J$5:$J$204,$D$5:$D$204,$A199,$C$5:$C$204,"Activity")+SUMIFS($J$5:$J$204,$D$5:$D$204,$A199,$C$5:$C$204,"Variation"))/(COUNTIFS($D$5:$D$204,$A199,$C$5:$C$204,"Activity")+COUNTIFS($D$5:$D$204,$A199,$C$5:$C$204,"Variation")))),IF(OR($C199="Activity",$C199="Variation"),IF(AND(ISNUMBER($J199),$J199&gt;=0,$J199&lt;=1),$J199,""),""))))</x:f>
      </x:c>
      <x:c r="M199" s="7" t="str">
        <x:f t="shared" si="10">IF(OR($K199="",$L199=""),"",$L199-$K199)</x:f>
      </x:c>
      <x:c r="N199" s="6" t="str">
        <x:f>IF(OR($B199="",$I199="",$L199=""),"",IF(AND($L199&lt;1,$I199&lt;TODAY()),"Late",IF(AND($H199&lt;&gt;"",$I199&gt;$H199),"Forecast Slip","On Plan")))</x:f>
      </x:c>
      <x:c r="O199" s="19"/>
      <x:c r="P199" s="6" t="str">
        <x:f t="shared" si="11">IF($B199="","",IF($A199="","Enter item ID",IF(COUNTIF($A$5:$A$204,$A199)&gt;1,"Duplicate item ID",IF($C199="Initiative",IF($D199&lt;&gt;"","Parent must be blank",IF(COUNTIFS($B$5:$B$204,$B199,$C$5:$C$204,"Initiative")&lt;&gt;1,"One Initiative row required",IF(COUNTIFS($D$5:$D$204,$A199,$C$5:$C$204,"Milestone")=0,"Add milestone","OK"))),IF($C199="Milestone",IF(COUNTIFS($A$5:$A$204,$D199,$B$5:$B$204,$B199,$C$5:$C$204,"Initiative")&lt;&gt;1,"Parent must be Initiative",IF(COUNTIFS($D$5:$D$204,$A199,$C$5:$C$204,"Activity")+COUNTIFS($D$5:$D$204,$A199,$C$5:$C$204,"Variation")=0,"Add activity or variation","OK")),IF(OR($C199="Activity",$C199="Variation"),IF(COUNTIFS($A$5:$A$204,$D199,$B$5:$B$204,$B199,$C$5:$C$204,"Milestone")&lt;&gt;1,"Parent must be Milestone",IF(OR($G199="",$H199=""),"Enter baseline dates",IF($H199&lt;$G199,"Baseline finish before start",IF($I199="","Enter forecast finish",IF(COUNT($J199)=0,"Enter actual %",IF(OR(NOT(ISNUMBER($J199)),$J199&lt;0,$J199&gt;1),"Actual % must be 0–100%","OK")))))),"Select level"))))))</x:f>
      </x:c>
    </x:row>
    <x:row r="200">
      <x:c r="A200" s="66" t="str" cm="1">
        <x:f t="array" ref="A200">IF(OR(B200="",C200=""),"",IF(C200="Initiative",COUNTIF($C$5:C200,"Initiative"),IF(C200="Milestone",IF(D200="","",D200&amp;"."&amp;COUNTIFS($D$5:D200,D200,$C$5:C200,"Milestone")),IF(OR(C200="Activity",C200="Variation"),IF(D200="","",D200&amp;"."&amp;(COUNTIFS($D$5:D200,D200,$C$5:C200,"Activity")+COUNTIFS($D$5:D200,D200,$C$5:C200,"Variation"))),""))))</x:f>
      </x:c>
      <x:c r="B200" s="19"/>
      <x:c r="C200" s="19"/>
      <x:c r="D200" s="20"/>
      <x:c r="E200" s="21"/>
      <x:c r="F200" s="21"/>
      <x:c r="G200" s="102"/>
      <x:c r="H200" s="102"/>
      <x:c r="I200" s="102"/>
      <x:c r="J200" s="100"/>
      <x:c r="K200" s="7" t="str">
        <x:f>IF($B200="","",IF($C200="Initiative",IF(COUNTIFS($B$201:$B$204,$B200,$C$201:$C$204,"Activity")+COUNTIFS($B$201:$B$204,$B200,$C$201:$C$204,"Variation")=0,"",IF(COUNTIFS($B$201:$B$204,$B200,$C$201:$C$204,"Activity")+COUNTIFS($B$201:$B$204,$B200,$C$201:$C$204,"Variation")&lt;&gt;COUNTIFS($B$201:$B$204,$B200,$C$201:$C$204,"Activity",$G$201:$G$204,"&lt;&gt;",$H$201:$H$204,"&lt;&gt;")+COUNTIFS($B$201:$B$204,$B200,$C$201:$C$204,"Variation",$G$201:$G$204,"&lt;&gt;",$H$201:$H$204,"&lt;&gt;"),"",(SUMIFS($K$201:$K$204,$B$201:$B$204,$B200,$C$201:$C$204,"Activity")+SUMIFS($K$201:$K$204,$B$201:$B$204,$B200,$C$201:$C$204,"Variation"))/(COUNTIFS($B$201:$B$204,$B200,$C$201:$C$204,"Activity")+COUNTIFS($B$201:$B$204,$B200,$C$201:$C$204,"Variation")))),IF($C200="Milestone",IF(COUNTIFS($D$201:$D$204,$A200,$C$201:$C$204,"Activity")+COUNTIFS($D$201:$D$204,$A200,$C$201:$C$204,"Variation")=0,"",IF(COUNTIFS($D$201:$D$204,$A200,$C$201:$C$204,"Activity")+COUNTIFS($D$201:$D$204,$A200,$C$201:$C$204,"Variation")&lt;&gt;COUNTIFS($D$201:$D$204,$A200,$C$201:$C$204,"Activity",$G$201:$G$204,"&lt;&gt;",$H$201:$H$204,"&lt;&gt;")+COUNTIFS($D$201:$D$204,$A200,$C$201:$C$204,"Variation",$G$201:$G$204,"&lt;&gt;",$H$201:$H$204,"&lt;&gt;"),"",(SUMIFS($K$201:$K$204,$D$201:$D$204,$A200,$C$201:$C$204,"Activity")+SUMIFS($K$201:$K$204,$D$201:$D$204,$A200,$C$201:$C$204,"Variation"))/(COUNTIFS($D$201:$D$204,$A200,$C$201:$C$204,"Activity")+COUNTIFS($D$201:$D$204,$A200,$C$201:$C$204,"Variation")))),IF(OR($C200="Activity",$C200="Variation"),IF(OR($G200="",$H200=""),"",IF($H200&lt;$G200,"",IF($H200=$G200,--(TODAY()&gt;=$H200),MAX(0,MIN(1,(TODAY()-$G200)/($H200-$G200)))))),""))))</x:f>
      </x:c>
      <x:c r="L200" s="7" t="str">
        <x:f t="shared" si="9">IF($B200="","",IF($C200="Initiative",IF(COUNTIFS($B$5:$B$204,$B200,$C$5:$C$204,"Activity")+COUNTIFS($B$5:$B$204,$B200,$C$5:$C$204,"Variation")=0,"",IF(COUNTIFS($B$5:$B$204,$B200,$C$5:$C$204,"Activity")+COUNTIFS($B$5:$B$204,$B200,$C$5:$C$204,"Variation")&lt;&gt;COUNTIFS($B$5:$B$204,$B200,$C$5:$C$204,"Activity",$J$5:$J$204,"&lt;&gt;",$J$5:$J$204,"&gt;=0",$J$5:$J$204,"&lt;=1")+COUNTIFS($B$5:$B$204,$B200,$C$5:$C$204,"Variation",$J$5:$J$204,"&lt;&gt;",$J$5:$J$204,"&gt;=0",$J$5:$J$204,"&lt;=1"),"",(SUMIFS($J$5:$J$204,$B$5:$B$204,$B200,$C$5:$C$204,"Activity")+SUMIFS($J$5:$J$204,$B$5:$B$204,$B200,$C$5:$C$204,"Variation"))/(COUNTIFS($B$5:$B$204,$B200,$C$5:$C$204,"Activity")+COUNTIFS($B$5:$B$204,$B200,$C$5:$C$204,"Variation")))),IF($C200="Milestone",IF(COUNTIFS($D$5:$D$204,$A200,$C$5:$C$204,"Activity")+COUNTIFS($D$5:$D$204,$A200,$C$5:$C$204,"Variation")=0,"",IF(COUNTIFS($D$5:$D$204,$A200,$C$5:$C$204,"Activity")+COUNTIFS($D$5:$D$204,$A200,$C$5:$C$204,"Variation")&lt;&gt;COUNTIFS($D$5:$D$204,$A200,$C$5:$C$204,"Activity",$J$5:$J$204,"&lt;&gt;",$J$5:$J$204,"&gt;=0",$J$5:$J$204,"&lt;=1")+COUNTIFS($D$5:$D$204,$A200,$C$5:$C$204,"Variation",$J$5:$J$204,"&lt;&gt;",$J$5:$J$204,"&gt;=0",$J$5:$J$204,"&lt;=1"),"",(SUMIFS($J$5:$J$204,$D$5:$D$204,$A200,$C$5:$C$204,"Activity")+SUMIFS($J$5:$J$204,$D$5:$D$204,$A200,$C$5:$C$204,"Variation"))/(COUNTIFS($D$5:$D$204,$A200,$C$5:$C$204,"Activity")+COUNTIFS($D$5:$D$204,$A200,$C$5:$C$204,"Variation")))),IF(OR($C200="Activity",$C200="Variation"),IF(AND(ISNUMBER($J200),$J200&gt;=0,$J200&lt;=1),$J200,""),""))))</x:f>
      </x:c>
      <x:c r="M200" s="7" t="str">
        <x:f t="shared" si="10">IF(OR($K200="",$L200=""),"",$L200-$K200)</x:f>
      </x:c>
      <x:c r="N200" s="6" t="str">
        <x:f>IF(OR($B200="",$I200="",$L200=""),"",IF(AND($L200&lt;1,$I200&lt;TODAY()),"Late",IF(AND($H200&lt;&gt;"",$I200&gt;$H200),"Forecast Slip","On Plan")))</x:f>
      </x:c>
      <x:c r="O200" s="19"/>
      <x:c r="P200" s="6" t="str">
        <x:f t="shared" si="11">IF($B200="","",IF($A200="","Enter item ID",IF(COUNTIF($A$5:$A$204,$A200)&gt;1,"Duplicate item ID",IF($C200="Initiative",IF($D200&lt;&gt;"","Parent must be blank",IF(COUNTIFS($B$5:$B$204,$B200,$C$5:$C$204,"Initiative")&lt;&gt;1,"One Initiative row required",IF(COUNTIFS($D$5:$D$204,$A200,$C$5:$C$204,"Milestone")=0,"Add milestone","OK"))),IF($C200="Milestone",IF(COUNTIFS($A$5:$A$204,$D200,$B$5:$B$204,$B200,$C$5:$C$204,"Initiative")&lt;&gt;1,"Parent must be Initiative",IF(COUNTIFS($D$5:$D$204,$A200,$C$5:$C$204,"Activity")+COUNTIFS($D$5:$D$204,$A200,$C$5:$C$204,"Variation")=0,"Add activity or variation","OK")),IF(OR($C200="Activity",$C200="Variation"),IF(COUNTIFS($A$5:$A$204,$D200,$B$5:$B$204,$B200,$C$5:$C$204,"Milestone")&lt;&gt;1,"Parent must be Milestone",IF(OR($G200="",$H200=""),"Enter baseline dates",IF($H200&lt;$G200,"Baseline finish before start",IF($I200="","Enter forecast finish",IF(COUNT($J200)=0,"Enter actual %",IF(OR(NOT(ISNUMBER($J200)),$J200&lt;0,$J200&gt;1),"Actual % must be 0–100%","OK")))))),"Select level"))))))</x:f>
      </x:c>
    </x:row>
    <x:row r="201">
      <x:c r="A201" s="66" t="str" cm="1">
        <x:f t="array" ref="A201">IF(OR(B201="",C201=""),"",IF(C201="Initiative",COUNTIF($C$5:C201,"Initiative"),IF(C201="Milestone",IF(D201="","",D201&amp;"."&amp;COUNTIFS($D$5:D201,D201,$C$5:C201,"Milestone")),IF(OR(C201="Activity",C201="Variation"),IF(D201="","",D201&amp;"."&amp;(COUNTIFS($D$5:D201,D201,$C$5:C201,"Activity")+COUNTIFS($D$5:D201,D201,$C$5:C201,"Variation"))),""))))</x:f>
      </x:c>
      <x:c r="B201" s="19"/>
      <x:c r="C201" s="19"/>
      <x:c r="D201" s="20"/>
      <x:c r="E201" s="21"/>
      <x:c r="F201" s="21"/>
      <x:c r="G201" s="102"/>
      <x:c r="H201" s="102"/>
      <x:c r="I201" s="102"/>
      <x:c r="J201" s="100"/>
      <x:c r="K201" s="7" t="str">
        <x:f>IF($B201="","",IF($C201="Initiative",IF(COUNTIFS($B$202:$B$204,$B201,$C$202:$C$204,"Activity")+COUNTIFS($B$202:$B$204,$B201,$C$202:$C$204,"Variation")=0,"",IF(COUNTIFS($B$202:$B$204,$B201,$C$202:$C$204,"Activity")+COUNTIFS($B$202:$B$204,$B201,$C$202:$C$204,"Variation")&lt;&gt;COUNTIFS($B$202:$B$204,$B201,$C$202:$C$204,"Activity",$G$202:$G$204,"&lt;&gt;",$H$202:$H$204,"&lt;&gt;")+COUNTIFS($B$202:$B$204,$B201,$C$202:$C$204,"Variation",$G$202:$G$204,"&lt;&gt;",$H$202:$H$204,"&lt;&gt;"),"",(SUMIFS($K$202:$K$204,$B$202:$B$204,$B201,$C$202:$C$204,"Activity")+SUMIFS($K$202:$K$204,$B$202:$B$204,$B201,$C$202:$C$204,"Variation"))/(COUNTIFS($B$202:$B$204,$B201,$C$202:$C$204,"Activity")+COUNTIFS($B$202:$B$204,$B201,$C$202:$C$204,"Variation")))),IF($C201="Milestone",IF(COUNTIFS($D$202:$D$204,$A201,$C$202:$C$204,"Activity")+COUNTIFS($D$202:$D$204,$A201,$C$202:$C$204,"Variation")=0,"",IF(COUNTIFS($D$202:$D$204,$A201,$C$202:$C$204,"Activity")+COUNTIFS($D$202:$D$204,$A201,$C$202:$C$204,"Variation")&lt;&gt;COUNTIFS($D$202:$D$204,$A201,$C$202:$C$204,"Activity",$G$202:$G$204,"&lt;&gt;",$H$202:$H$204,"&lt;&gt;")+COUNTIFS($D$202:$D$204,$A201,$C$202:$C$204,"Variation",$G$202:$G$204,"&lt;&gt;",$H$202:$H$204,"&lt;&gt;"),"",(SUMIFS($K$202:$K$204,$D$202:$D$204,$A201,$C$202:$C$204,"Activity")+SUMIFS($K$202:$K$204,$D$202:$D$204,$A201,$C$202:$C$204,"Variation"))/(COUNTIFS($D$202:$D$204,$A201,$C$202:$C$204,"Activity")+COUNTIFS($D$202:$D$204,$A201,$C$202:$C$204,"Variation")))),IF(OR($C201="Activity",$C201="Variation"),IF(OR($G201="",$H201=""),"",IF($H201&lt;$G201,"",IF($H201=$G201,--(TODAY()&gt;=$H201),MAX(0,MIN(1,(TODAY()-$G201)/($H201-$G201)))))),""))))</x:f>
      </x:c>
      <x:c r="L201" s="7" t="str">
        <x:f t="shared" si="9">IF($B201="","",IF($C201="Initiative",IF(COUNTIFS($B$5:$B$204,$B201,$C$5:$C$204,"Activity")+COUNTIFS($B$5:$B$204,$B201,$C$5:$C$204,"Variation")=0,"",IF(COUNTIFS($B$5:$B$204,$B201,$C$5:$C$204,"Activity")+COUNTIFS($B$5:$B$204,$B201,$C$5:$C$204,"Variation")&lt;&gt;COUNTIFS($B$5:$B$204,$B201,$C$5:$C$204,"Activity",$J$5:$J$204,"&lt;&gt;",$J$5:$J$204,"&gt;=0",$J$5:$J$204,"&lt;=1")+COUNTIFS($B$5:$B$204,$B201,$C$5:$C$204,"Variation",$J$5:$J$204,"&lt;&gt;",$J$5:$J$204,"&gt;=0",$J$5:$J$204,"&lt;=1"),"",(SUMIFS($J$5:$J$204,$B$5:$B$204,$B201,$C$5:$C$204,"Activity")+SUMIFS($J$5:$J$204,$B$5:$B$204,$B201,$C$5:$C$204,"Variation"))/(COUNTIFS($B$5:$B$204,$B201,$C$5:$C$204,"Activity")+COUNTIFS($B$5:$B$204,$B201,$C$5:$C$204,"Variation")))),IF($C201="Milestone",IF(COUNTIFS($D$5:$D$204,$A201,$C$5:$C$204,"Activity")+COUNTIFS($D$5:$D$204,$A201,$C$5:$C$204,"Variation")=0,"",IF(COUNTIFS($D$5:$D$204,$A201,$C$5:$C$204,"Activity")+COUNTIFS($D$5:$D$204,$A201,$C$5:$C$204,"Variation")&lt;&gt;COUNTIFS($D$5:$D$204,$A201,$C$5:$C$204,"Activity",$J$5:$J$204,"&lt;&gt;",$J$5:$J$204,"&gt;=0",$J$5:$J$204,"&lt;=1")+COUNTIFS($D$5:$D$204,$A201,$C$5:$C$204,"Variation",$J$5:$J$204,"&lt;&gt;",$J$5:$J$204,"&gt;=0",$J$5:$J$204,"&lt;=1"),"",(SUMIFS($J$5:$J$204,$D$5:$D$204,$A201,$C$5:$C$204,"Activity")+SUMIFS($J$5:$J$204,$D$5:$D$204,$A201,$C$5:$C$204,"Variation"))/(COUNTIFS($D$5:$D$204,$A201,$C$5:$C$204,"Activity")+COUNTIFS($D$5:$D$204,$A201,$C$5:$C$204,"Variation")))),IF(OR($C201="Activity",$C201="Variation"),IF(AND(ISNUMBER($J201),$J201&gt;=0,$J201&lt;=1),$J201,""),""))))</x:f>
      </x:c>
      <x:c r="M201" s="7" t="str">
        <x:f t="shared" si="10">IF(OR($K201="",$L201=""),"",$L201-$K201)</x:f>
      </x:c>
      <x:c r="N201" s="6" t="str">
        <x:f>IF(OR($B201="",$I201="",$L201=""),"",IF(AND($L201&lt;1,$I201&lt;TODAY()),"Late",IF(AND($H201&lt;&gt;"",$I201&gt;$H201),"Forecast Slip","On Plan")))</x:f>
      </x:c>
      <x:c r="O201" s="19"/>
      <x:c r="P201" s="6" t="str">
        <x:f t="shared" si="11">IF($B201="","",IF($A201="","Enter item ID",IF(COUNTIF($A$5:$A$204,$A201)&gt;1,"Duplicate item ID",IF($C201="Initiative",IF($D201&lt;&gt;"","Parent must be blank",IF(COUNTIFS($B$5:$B$204,$B201,$C$5:$C$204,"Initiative")&lt;&gt;1,"One Initiative row required",IF(COUNTIFS($D$5:$D$204,$A201,$C$5:$C$204,"Milestone")=0,"Add milestone","OK"))),IF($C201="Milestone",IF(COUNTIFS($A$5:$A$204,$D201,$B$5:$B$204,$B201,$C$5:$C$204,"Initiative")&lt;&gt;1,"Parent must be Initiative",IF(COUNTIFS($D$5:$D$204,$A201,$C$5:$C$204,"Activity")+COUNTIFS($D$5:$D$204,$A201,$C$5:$C$204,"Variation")=0,"Add activity or variation","OK")),IF(OR($C201="Activity",$C201="Variation"),IF(COUNTIFS($A$5:$A$204,$D201,$B$5:$B$204,$B201,$C$5:$C$204,"Milestone")&lt;&gt;1,"Parent must be Milestone",IF(OR($G201="",$H201=""),"Enter baseline dates",IF($H201&lt;$G201,"Baseline finish before start",IF($I201="","Enter forecast finish",IF(COUNT($J201)=0,"Enter actual %",IF(OR(NOT(ISNUMBER($J201)),$J201&lt;0,$J201&gt;1),"Actual % must be 0–100%","OK")))))),"Select level"))))))</x:f>
      </x:c>
    </x:row>
    <x:row r="202">
      <x:c r="A202" s="66" t="str" cm="1">
        <x:f t="array" ref="A202">IF(OR(B202="",C202=""),"",IF(C202="Initiative",COUNTIF($C$5:C202,"Initiative"),IF(C202="Milestone",IF(D202="","",D202&amp;"."&amp;COUNTIFS($D$5:D202,D202,$C$5:C202,"Milestone")),IF(OR(C202="Activity",C202="Variation"),IF(D202="","",D202&amp;"."&amp;(COUNTIFS($D$5:D202,D202,$C$5:C202,"Activity")+COUNTIFS($D$5:D202,D202,$C$5:C202,"Variation"))),""))))</x:f>
      </x:c>
      <x:c r="B202" s="19"/>
      <x:c r="C202" s="19"/>
      <x:c r="D202" s="20"/>
      <x:c r="E202" s="21"/>
      <x:c r="F202" s="21"/>
      <x:c r="G202" s="102"/>
      <x:c r="H202" s="102"/>
      <x:c r="I202" s="102"/>
      <x:c r="J202" s="100"/>
      <x:c r="K202" s="7" t="str">
        <x:f>IF($B202="","",IF($C202="Initiative",IF(COUNTIFS($B$203:$B$204,$B202,$C$203:$C$204,"Activity")+COUNTIFS($B$203:$B$204,$B202,$C$203:$C$204,"Variation")=0,"",IF(COUNTIFS($B$203:$B$204,$B202,$C$203:$C$204,"Activity")+COUNTIFS($B$203:$B$204,$B202,$C$203:$C$204,"Variation")&lt;&gt;COUNTIFS($B$203:$B$204,$B202,$C$203:$C$204,"Activity",$G$203:$G$204,"&lt;&gt;",$H$203:$H$204,"&lt;&gt;")+COUNTIFS($B$203:$B$204,$B202,$C$203:$C$204,"Variation",$G$203:$G$204,"&lt;&gt;",$H$203:$H$204,"&lt;&gt;"),"",(SUMIFS($K$203:$K$204,$B$203:$B$204,$B202,$C$203:$C$204,"Activity")+SUMIFS($K$203:$K$204,$B$203:$B$204,$B202,$C$203:$C$204,"Variation"))/(COUNTIFS($B$203:$B$204,$B202,$C$203:$C$204,"Activity")+COUNTIFS($B$203:$B$204,$B202,$C$203:$C$204,"Variation")))),IF($C202="Milestone",IF(COUNTIFS($D$203:$D$204,$A202,$C$203:$C$204,"Activity")+COUNTIFS($D$203:$D$204,$A202,$C$203:$C$204,"Variation")=0,"",IF(COUNTIFS($D$203:$D$204,$A202,$C$203:$C$204,"Activity")+COUNTIFS($D$203:$D$204,$A202,$C$203:$C$204,"Variation")&lt;&gt;COUNTIFS($D$203:$D$204,$A202,$C$203:$C$204,"Activity",$G$203:$G$204,"&lt;&gt;",$H$203:$H$204,"&lt;&gt;")+COUNTIFS($D$203:$D$204,$A202,$C$203:$C$204,"Variation",$G$203:$G$204,"&lt;&gt;",$H$203:$H$204,"&lt;&gt;"),"",(SUMIFS($K$203:$K$204,$D$203:$D$204,$A202,$C$203:$C$204,"Activity")+SUMIFS($K$203:$K$204,$D$203:$D$204,$A202,$C$203:$C$204,"Variation"))/(COUNTIFS($D$203:$D$204,$A202,$C$203:$C$204,"Activity")+COUNTIFS($D$203:$D$204,$A202,$C$203:$C$204,"Variation")))),IF(OR($C202="Activity",$C202="Variation"),IF(OR($G202="",$H202=""),"",IF($H202&lt;$G202,"",IF($H202=$G202,--(TODAY()&gt;=$H202),MAX(0,MIN(1,(TODAY()-$G202)/($H202-$G202)))))),""))))</x:f>
      </x:c>
      <x:c r="L202" s="7" t="str">
        <x:f t="shared" si="9">IF($B202="","",IF($C202="Initiative",IF(COUNTIFS($B$5:$B$204,$B202,$C$5:$C$204,"Activity")+COUNTIFS($B$5:$B$204,$B202,$C$5:$C$204,"Variation")=0,"",IF(COUNTIFS($B$5:$B$204,$B202,$C$5:$C$204,"Activity")+COUNTIFS($B$5:$B$204,$B202,$C$5:$C$204,"Variation")&lt;&gt;COUNTIFS($B$5:$B$204,$B202,$C$5:$C$204,"Activity",$J$5:$J$204,"&lt;&gt;",$J$5:$J$204,"&gt;=0",$J$5:$J$204,"&lt;=1")+COUNTIFS($B$5:$B$204,$B202,$C$5:$C$204,"Variation",$J$5:$J$204,"&lt;&gt;",$J$5:$J$204,"&gt;=0",$J$5:$J$204,"&lt;=1"),"",(SUMIFS($J$5:$J$204,$B$5:$B$204,$B202,$C$5:$C$204,"Activity")+SUMIFS($J$5:$J$204,$B$5:$B$204,$B202,$C$5:$C$204,"Variation"))/(COUNTIFS($B$5:$B$204,$B202,$C$5:$C$204,"Activity")+COUNTIFS($B$5:$B$204,$B202,$C$5:$C$204,"Variation")))),IF($C202="Milestone",IF(COUNTIFS($D$5:$D$204,$A202,$C$5:$C$204,"Activity")+COUNTIFS($D$5:$D$204,$A202,$C$5:$C$204,"Variation")=0,"",IF(COUNTIFS($D$5:$D$204,$A202,$C$5:$C$204,"Activity")+COUNTIFS($D$5:$D$204,$A202,$C$5:$C$204,"Variation")&lt;&gt;COUNTIFS($D$5:$D$204,$A202,$C$5:$C$204,"Activity",$J$5:$J$204,"&lt;&gt;",$J$5:$J$204,"&gt;=0",$J$5:$J$204,"&lt;=1")+COUNTIFS($D$5:$D$204,$A202,$C$5:$C$204,"Variation",$J$5:$J$204,"&lt;&gt;",$J$5:$J$204,"&gt;=0",$J$5:$J$204,"&lt;=1"),"",(SUMIFS($J$5:$J$204,$D$5:$D$204,$A202,$C$5:$C$204,"Activity")+SUMIFS($J$5:$J$204,$D$5:$D$204,$A202,$C$5:$C$204,"Variation"))/(COUNTIFS($D$5:$D$204,$A202,$C$5:$C$204,"Activity")+COUNTIFS($D$5:$D$204,$A202,$C$5:$C$204,"Variation")))),IF(OR($C202="Activity",$C202="Variation"),IF(AND(ISNUMBER($J202),$J202&gt;=0,$J202&lt;=1),$J202,""),""))))</x:f>
      </x:c>
      <x:c r="M202" s="7" t="str">
        <x:f t="shared" si="10">IF(OR($K202="",$L202=""),"",$L202-$K202)</x:f>
      </x:c>
      <x:c r="N202" s="6" t="str">
        <x:f>IF(OR($B202="",$I202="",$L202=""),"",IF(AND($L202&lt;1,$I202&lt;TODAY()),"Late",IF(AND($H202&lt;&gt;"",$I202&gt;$H202),"Forecast Slip","On Plan")))</x:f>
      </x:c>
      <x:c r="O202" s="19"/>
      <x:c r="P202" s="6" t="str">
        <x:f t="shared" si="11">IF($B202="","",IF($A202="","Enter item ID",IF(COUNTIF($A$5:$A$204,$A202)&gt;1,"Duplicate item ID",IF($C202="Initiative",IF($D202&lt;&gt;"","Parent must be blank",IF(COUNTIFS($B$5:$B$204,$B202,$C$5:$C$204,"Initiative")&lt;&gt;1,"One Initiative row required",IF(COUNTIFS($D$5:$D$204,$A202,$C$5:$C$204,"Milestone")=0,"Add milestone","OK"))),IF($C202="Milestone",IF(COUNTIFS($A$5:$A$204,$D202,$B$5:$B$204,$B202,$C$5:$C$204,"Initiative")&lt;&gt;1,"Parent must be Initiative",IF(COUNTIFS($D$5:$D$204,$A202,$C$5:$C$204,"Activity")+COUNTIFS($D$5:$D$204,$A202,$C$5:$C$204,"Variation")=0,"Add activity or variation","OK")),IF(OR($C202="Activity",$C202="Variation"),IF(COUNTIFS($A$5:$A$204,$D202,$B$5:$B$204,$B202,$C$5:$C$204,"Milestone")&lt;&gt;1,"Parent must be Milestone",IF(OR($G202="",$H202=""),"Enter baseline dates",IF($H202&lt;$G202,"Baseline finish before start",IF($I202="","Enter forecast finish",IF(COUNT($J202)=0,"Enter actual %",IF(OR(NOT(ISNUMBER($J202)),$J202&lt;0,$J202&gt;1),"Actual % must be 0–100%","OK")))))),"Select level"))))))</x:f>
      </x:c>
    </x:row>
    <x:row r="203">
      <x:c r="A203" s="66" t="str" cm="1">
        <x:f t="array" ref="A203">IF(OR(B203="",C203=""),"",IF(C203="Initiative",COUNTIF($C$5:C203,"Initiative"),IF(C203="Milestone",IF(D203="","",D203&amp;"."&amp;COUNTIFS($D$5:D203,D203,$C$5:C203,"Milestone")),IF(OR(C203="Activity",C203="Variation"),IF(D203="","",D203&amp;"."&amp;(COUNTIFS($D$5:D203,D203,$C$5:C203,"Activity")+COUNTIFS($D$5:D203,D203,$C$5:C203,"Variation"))),""))))</x:f>
      </x:c>
      <x:c r="B203" s="19"/>
      <x:c r="C203" s="19"/>
      <x:c r="D203" s="20"/>
      <x:c r="E203" s="21"/>
      <x:c r="F203" s="21"/>
      <x:c r="G203" s="102"/>
      <x:c r="H203" s="102"/>
      <x:c r="I203" s="102"/>
      <x:c r="J203" s="100"/>
      <x:c r="K203" s="7" t="str">
        <x:f>IF($B203="","",IF($C203="Initiative",IF(COUNTIFS($B$204:$B$204,$B203,$C$204:$C$204,"Activity")+COUNTIFS($B$204:$B$204,$B203,$C$204:$C$204,"Variation")=0,"",IF(COUNTIFS($B$204:$B$204,$B203,$C$204:$C$204,"Activity")+COUNTIFS($B$204:$B$204,$B203,$C$204:$C$204,"Variation")&lt;&gt;COUNTIFS($B$204:$B$204,$B203,$C$204:$C$204,"Activity",$G$204:$G$204,"&lt;&gt;",$H$204:$H$204,"&lt;&gt;")+COUNTIFS($B$204:$B$204,$B203,$C$204:$C$204,"Variation",$G$204:$G$204,"&lt;&gt;",$H$204:$H$204,"&lt;&gt;"),"",(SUMIFS($K$204:$K$204,$B$204:$B$204,$B203,$C$204:$C$204,"Activity")+SUMIFS($K$204:$K$204,$B$204:$B$204,$B203,$C$204:$C$204,"Variation"))/(COUNTIFS($B$204:$B$204,$B203,$C$204:$C$204,"Activity")+COUNTIFS($B$204:$B$204,$B203,$C$204:$C$204,"Variation")))),IF($C203="Milestone",IF(COUNTIFS($D$204:$D$204,$A203,$C$204:$C$204,"Activity")+COUNTIFS($D$204:$D$204,$A203,$C$204:$C$204,"Variation")=0,"",IF(COUNTIFS($D$204:$D$204,$A203,$C$204:$C$204,"Activity")+COUNTIFS($D$204:$D$204,$A203,$C$204:$C$204,"Variation")&lt;&gt;COUNTIFS($D$204:$D$204,$A203,$C$204:$C$204,"Activity",$G$204:$G$204,"&lt;&gt;",$H$204:$H$204,"&lt;&gt;")+COUNTIFS($D$204:$D$204,$A203,$C$204:$C$204,"Variation",$G$204:$G$204,"&lt;&gt;",$H$204:$H$204,"&lt;&gt;"),"",(SUMIFS($K$204:$K$204,$D$204:$D$204,$A203,$C$204:$C$204,"Activity")+SUMIFS($K$204:$K$204,$D$204:$D$204,$A203,$C$204:$C$204,"Variation"))/(COUNTIFS($D$204:$D$204,$A203,$C$204:$C$204,"Activity")+COUNTIFS($D$204:$D$204,$A203,$C$204:$C$204,"Variation")))),IF(OR($C203="Activity",$C203="Variation"),IF(OR($G203="",$H203=""),"",IF($H203&lt;$G203,"",IF($H203=$G203,--(TODAY()&gt;=$H203),MAX(0,MIN(1,(TODAY()-$G203)/($H203-$G203)))))),""))))</x:f>
      </x:c>
      <x:c r="L203" s="7" t="str">
        <x:f t="shared" si="9">IF($B203="","",IF($C203="Initiative",IF(COUNTIFS($B$5:$B$204,$B203,$C$5:$C$204,"Activity")+COUNTIFS($B$5:$B$204,$B203,$C$5:$C$204,"Variation")=0,"",IF(COUNTIFS($B$5:$B$204,$B203,$C$5:$C$204,"Activity")+COUNTIFS($B$5:$B$204,$B203,$C$5:$C$204,"Variation")&lt;&gt;COUNTIFS($B$5:$B$204,$B203,$C$5:$C$204,"Activity",$J$5:$J$204,"&lt;&gt;",$J$5:$J$204,"&gt;=0",$J$5:$J$204,"&lt;=1")+COUNTIFS($B$5:$B$204,$B203,$C$5:$C$204,"Variation",$J$5:$J$204,"&lt;&gt;",$J$5:$J$204,"&gt;=0",$J$5:$J$204,"&lt;=1"),"",(SUMIFS($J$5:$J$204,$B$5:$B$204,$B203,$C$5:$C$204,"Activity")+SUMIFS($J$5:$J$204,$B$5:$B$204,$B203,$C$5:$C$204,"Variation"))/(COUNTIFS($B$5:$B$204,$B203,$C$5:$C$204,"Activity")+COUNTIFS($B$5:$B$204,$B203,$C$5:$C$204,"Variation")))),IF($C203="Milestone",IF(COUNTIFS($D$5:$D$204,$A203,$C$5:$C$204,"Activity")+COUNTIFS($D$5:$D$204,$A203,$C$5:$C$204,"Variation")=0,"",IF(COUNTIFS($D$5:$D$204,$A203,$C$5:$C$204,"Activity")+COUNTIFS($D$5:$D$204,$A203,$C$5:$C$204,"Variation")&lt;&gt;COUNTIFS($D$5:$D$204,$A203,$C$5:$C$204,"Activity",$J$5:$J$204,"&lt;&gt;",$J$5:$J$204,"&gt;=0",$J$5:$J$204,"&lt;=1")+COUNTIFS($D$5:$D$204,$A203,$C$5:$C$204,"Variation",$J$5:$J$204,"&lt;&gt;",$J$5:$J$204,"&gt;=0",$J$5:$J$204,"&lt;=1"),"",(SUMIFS($J$5:$J$204,$D$5:$D$204,$A203,$C$5:$C$204,"Activity")+SUMIFS($J$5:$J$204,$D$5:$D$204,$A203,$C$5:$C$204,"Variation"))/(COUNTIFS($D$5:$D$204,$A203,$C$5:$C$204,"Activity")+COUNTIFS($D$5:$D$204,$A203,$C$5:$C$204,"Variation")))),IF(OR($C203="Activity",$C203="Variation"),IF(AND(ISNUMBER($J203),$J203&gt;=0,$J203&lt;=1),$J203,""),""))))</x:f>
      </x:c>
      <x:c r="M203" s="7" t="str">
        <x:f t="shared" si="10">IF(OR($K203="",$L203=""),"",$L203-$K203)</x:f>
      </x:c>
      <x:c r="N203" s="6" t="str">
        <x:f>IF(OR($B203="",$I203="",$L203=""),"",IF(AND($L203&lt;1,$I203&lt;TODAY()),"Late",IF(AND($H203&lt;&gt;"",$I203&gt;$H203),"Forecast Slip","On Plan")))</x:f>
      </x:c>
      <x:c r="O203" s="19"/>
      <x:c r="P203" s="6" t="str">
        <x:f t="shared" si="11">IF($B203="","",IF($A203="","Enter item ID",IF(COUNTIF($A$5:$A$204,$A203)&gt;1,"Duplicate item ID",IF($C203="Initiative",IF($D203&lt;&gt;"","Parent must be blank",IF(COUNTIFS($B$5:$B$204,$B203,$C$5:$C$204,"Initiative")&lt;&gt;1,"One Initiative row required",IF(COUNTIFS($D$5:$D$204,$A203,$C$5:$C$204,"Milestone")=0,"Add milestone","OK"))),IF($C203="Milestone",IF(COUNTIFS($A$5:$A$204,$D203,$B$5:$B$204,$B203,$C$5:$C$204,"Initiative")&lt;&gt;1,"Parent must be Initiative",IF(COUNTIFS($D$5:$D$204,$A203,$C$5:$C$204,"Activity")+COUNTIFS($D$5:$D$204,$A203,$C$5:$C$204,"Variation")=0,"Add activity or variation","OK")),IF(OR($C203="Activity",$C203="Variation"),IF(COUNTIFS($A$5:$A$204,$D203,$B$5:$B$204,$B203,$C$5:$C$204,"Milestone")&lt;&gt;1,"Parent must be Milestone",IF(OR($G203="",$H203=""),"Enter baseline dates",IF($H203&lt;$G203,"Baseline finish before start",IF($I203="","Enter forecast finish",IF(COUNT($J203)=0,"Enter actual %",IF(OR(NOT(ISNUMBER($J203)),$J203&lt;0,$J203&gt;1),"Actual % must be 0–100%","OK")))))),"Select level"))))))</x:f>
      </x:c>
    </x:row>
    <x:row r="204">
      <x:c r="A204" s="66" t="str" cm="1">
        <x:f t="array" ref="A204">IF(OR(B204="",C204=""),"",IF(C204="Initiative",COUNTIF($C$5:C204,"Initiative"),IF(C204="Milestone",IF(D204="","",D204&amp;"."&amp;COUNTIFS($D$5:D204,D204,$C$5:C204,"Milestone")),IF(OR(C204="Activity",C204="Variation"),IF(D204="","",D204&amp;"."&amp;(COUNTIFS($D$5:D204,D204,$C$5:C204,"Activity")+COUNTIFS($D$5:D204,D204,$C$5:C204,"Variation"))),""))))</x:f>
      </x:c>
      <x:c r="B204" s="19"/>
      <x:c r="C204" s="19"/>
      <x:c r="D204" s="20"/>
      <x:c r="E204" s="21"/>
      <x:c r="F204" s="21"/>
      <x:c r="G204" s="102"/>
      <x:c r="H204" s="102"/>
      <x:c r="I204" s="102"/>
      <x:c r="J204" s="100"/>
      <x:c r="K204" s="7" t="str">
        <x:f>IF($B204="","",IF($C204="Initiative","",IF($C204="Milestone","",IF(OR($C204="Activity",$C204="Variation"),IF(OR($G204="",$H204=""),"",IF($H204&lt;$G204,"",IF($H204=$G204,--(TODAY()&gt;=$H204),MAX(0,MIN(1,(TODAY()-$G204)/($H204-$G204)))))),""))))</x:f>
      </x:c>
      <x:c r="L204" s="7" t="str">
        <x:f t="shared" si="9">IF($B204="","",IF($C204="Initiative",IF(COUNTIFS($B$5:$B$204,$B204,$C$5:$C$204,"Activity")+COUNTIFS($B$5:$B$204,$B204,$C$5:$C$204,"Variation")=0,"",IF(COUNTIFS($B$5:$B$204,$B204,$C$5:$C$204,"Activity")+COUNTIFS($B$5:$B$204,$B204,$C$5:$C$204,"Variation")&lt;&gt;COUNTIFS($B$5:$B$204,$B204,$C$5:$C$204,"Activity",$J$5:$J$204,"&lt;&gt;",$J$5:$J$204,"&gt;=0",$J$5:$J$204,"&lt;=1")+COUNTIFS($B$5:$B$204,$B204,$C$5:$C$204,"Variation",$J$5:$J$204,"&lt;&gt;",$J$5:$J$204,"&gt;=0",$J$5:$J$204,"&lt;=1"),"",(SUMIFS($J$5:$J$204,$B$5:$B$204,$B204,$C$5:$C$204,"Activity")+SUMIFS($J$5:$J$204,$B$5:$B$204,$B204,$C$5:$C$204,"Variation"))/(COUNTIFS($B$5:$B$204,$B204,$C$5:$C$204,"Activity")+COUNTIFS($B$5:$B$204,$B204,$C$5:$C$204,"Variation")))),IF($C204="Milestone",IF(COUNTIFS($D$5:$D$204,$A204,$C$5:$C$204,"Activity")+COUNTIFS($D$5:$D$204,$A204,$C$5:$C$204,"Variation")=0,"",IF(COUNTIFS($D$5:$D$204,$A204,$C$5:$C$204,"Activity")+COUNTIFS($D$5:$D$204,$A204,$C$5:$C$204,"Variation")&lt;&gt;COUNTIFS($D$5:$D$204,$A204,$C$5:$C$204,"Activity",$J$5:$J$204,"&lt;&gt;",$J$5:$J$204,"&gt;=0",$J$5:$J$204,"&lt;=1")+COUNTIFS($D$5:$D$204,$A204,$C$5:$C$204,"Variation",$J$5:$J$204,"&lt;&gt;",$J$5:$J$204,"&gt;=0",$J$5:$J$204,"&lt;=1"),"",(SUMIFS($J$5:$J$204,$D$5:$D$204,$A204,$C$5:$C$204,"Activity")+SUMIFS($J$5:$J$204,$D$5:$D$204,$A204,$C$5:$C$204,"Variation"))/(COUNTIFS($D$5:$D$204,$A204,$C$5:$C$204,"Activity")+COUNTIFS($D$5:$D$204,$A204,$C$5:$C$204,"Variation")))),IF(OR($C204="Activity",$C204="Variation"),IF(AND(ISNUMBER($J204),$J204&gt;=0,$J204&lt;=1),$J204,""),""))))</x:f>
      </x:c>
      <x:c r="M204" s="7" t="str">
        <x:f t="shared" si="10">IF(OR($K204="",$L204=""),"",$L204-$K204)</x:f>
      </x:c>
      <x:c r="N204" s="6" t="str">
        <x:f>IF(OR($B204="",$I204="",$L204=""),"",IF(AND($L204&lt;1,$I204&lt;TODAY()),"Late",IF(AND($H204&lt;&gt;"",$I204&gt;$H204),"Forecast Slip","On Plan")))</x:f>
      </x:c>
      <x:c r="O204" s="19"/>
      <x:c r="P204" s="6" t="str">
        <x:f t="shared" si="11">IF($B204="","",IF($A204="","Enter item ID",IF(COUNTIF($A$5:$A$204,$A204)&gt;1,"Duplicate item ID",IF($C204="Initiative",IF($D204&lt;&gt;"","Parent must be blank",IF(COUNTIFS($B$5:$B$204,$B204,$C$5:$C$204,"Initiative")&lt;&gt;1,"One Initiative row required",IF(COUNTIFS($D$5:$D$204,$A204,$C$5:$C$204,"Milestone")=0,"Add milestone","OK"))),IF($C204="Milestone",IF(COUNTIFS($A$5:$A$204,$D204,$B$5:$B$204,$B204,$C$5:$C$204,"Initiative")&lt;&gt;1,"Parent must be Initiative",IF(COUNTIFS($D$5:$D$204,$A204,$C$5:$C$204,"Activity")+COUNTIFS($D$5:$D$204,$A204,$C$5:$C$204,"Variation")=0,"Add activity or variation","OK")),IF(OR($C204="Activity",$C204="Variation"),IF(COUNTIFS($A$5:$A$204,$D204,$B$5:$B$204,$B204,$C$5:$C$204,"Milestone")&lt;&gt;1,"Parent must be Milestone",IF(OR($G204="",$H204=""),"Enter baseline dates",IF($H204&lt;$G204,"Baseline finish before start",IF($I204="","Enter forecast finish",IF(COUNT($J204)=0,"Enter actual %",IF(OR(NOT(ISNUMBER($J204)),$J204&lt;0,$J204&gt;1),"Actual % must be 0–100%","OK")))))),"Select level"))))))</x:f>
      </x:c>
    </x:row>
  </x:sheetData>
  <x:mergeCells>
    <x:mergeCell ref="A2:Q2"/>
  </x:mergeCells>
  <x:conditionalFormatting sqref="A5:P204">
    <x:cfRule type="expression" dxfId="42" priority="4">
      <x:formula>$C5="Initiative"</x:formula>
    </x:cfRule>
    <x:cfRule type="expression" dxfId="41" priority="5">
      <x:formula>$C5="Milestone"</x:formula>
    </x:cfRule>
    <x:cfRule type="expression" dxfId="40" priority="6">
      <x:formula>$C5="Variation"</x:formula>
    </x:cfRule>
  </x:conditionalFormatting>
  <x:conditionalFormatting sqref="M5:M204">
    <x:cfRule type="expression" dxfId="39" priority="7">
      <x:formula>AND($M5&lt;&gt;"",$M5&lt;-0.05)</x:formula>
    </x:cfRule>
  </x:conditionalFormatting>
  <x:conditionalFormatting sqref="N5:N204">
    <x:cfRule type="containsText" dxfId="38" priority="8" operator="containsText" text="Late"/>
    <x:cfRule type="containsText" dxfId="37" priority="9" operator="containsText" text="Forecast Slip"/>
  </x:conditionalFormatting>
  <x:conditionalFormatting sqref="P5:P204">
    <x:cfRule type="expression" dxfId="36" priority="10">
      <x:formula>AND($P5&lt;&gt;"",$P5&lt;&gt;"OK")</x:formula>
    </x:cfRule>
  </x:conditionalFormatting>
  <x:dataValidations count="6">
    <x:dataValidation type="decimal" sqref="G5:H204 J5:J204">
      <x:formula1>0</x:formula1>
      <x:formula2>1</x:formula2>
    </x:dataValidation>
    <x:dataValidation type="list" allowBlank="1" showInputMessage="1" showErrorMessage="1" errorTitle="Invalid parent" error="Select a valid parent ID for this row's Level." promptTitle="Select parent ID" prompt="Enter Item IDs in column A first. Milestones select an Initiative; Activities and Variations select a Milestone." sqref="D5:D204">
      <x:formula1>INDIRECT(IF($C5="Milestone","PEP_Initiative_Parents",IF(OR($C5="Activity",$C5="Variation"),"PEP_Milestone_Parents","PEP_No_Parents")))</x:formula1>
    </x:dataValidation>
    <x:dataValidation type="list" allowBlank="1" showDropDown="0" showInputMessage="1" showErrorMessage="1" sqref="B5:B204">
      <x:formula1>List_Initiative_ID</x:formula1>
    </x:dataValidation>
    <x:dataValidation type="list" allowBlank="1" showDropDown="0" showInputMessage="1" showErrorMessage="1" sqref="C5:C204">
      <x:formula1>"Initiative,Milestone,Activity,Variation"</x:formula1>
    </x:dataValidation>
    <x:dataValidation type="list" allowBlank="1" showInputMessage="1" showErrorMessage="1" sqref="O5:O204">
      <x:formula1>List_Yes_No</x:formula1>
    </x:dataValidation>
    <x:dataValidation type="decimal" errorStyle="stop" operator="between" showErrorMessage="1" errorTitle="Invalid progress" error="Enter progress between 0% and 100% on activity or variation rows only." sqref="J5:J204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bf2d9d5aa18e4d7b"/>
  <x:tableParts count="1">
    <x:tablePart xmlns:r="http://schemas.openxmlformats.org/officeDocument/2006/relationships" r:id="Rf8d943349e7f47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1" width="14.140625" customWidth="1"/>
    <x:col min="2" max="2" width="25" customWidth="1"/>
    <x:col min="3" max="4" width="18.35546875" customWidth="1"/>
    <x:col min="5" max="5" width="15.0703125" customWidth="1"/>
    <x:col min="6" max="6" width="14.2109375" customWidth="1"/>
    <x:col min="7" max="7" width="10.85546875" customWidth="1"/>
    <x:col min="8" max="19" width="11" customWidth="1"/>
    <x:col min="20" max="20" width="10.42578125" customWidth="1"/>
  </x:cols>
  <x:sheetData>
    <x:row r="1" ht="34" customHeight="1">
      <x:c r="A1" s="57" t="s">
        <x:v>141</x:v>
      </x:c>
      <x:c r="B1" s="57"/>
      <x:c r="C1" s="57"/>
      <x:c r="D1" s="57"/>
      <x:c r="E1" s="57"/>
      <x:c r="F1" s="57"/>
      <x:c r="G1" s="24"/>
    </x:row>
    <x:row r="2" ht="8.050000190734863" customHeight="1">
      <x:c r="A2" s="58"/>
      <x:c r="B2" s="58"/>
      <x:c r="C2" s="58"/>
      <x:c r="D2" s="58"/>
      <x:c r="E2" s="58"/>
      <x:c r="F2" s="58"/>
      <x:c r="G2" s="25"/>
    </x:row>
    <x:row r="3" ht="8.050000190734863" customHeight="1">
      <x:c r="A3" s="25"/>
      <x:c r="B3" s="25"/>
      <x:c r="C3" s="25"/>
      <x:c r="D3" s="25"/>
      <x:c r="E3" s="25"/>
      <x:c r="F3" s="25"/>
      <x:c r="G3" s="25"/>
    </x:row>
    <x:row r="4" ht="38.04999923706055" customHeight="1">
      <x:c r="A4" s="3" t="s">
        <x:v>6</x:v>
      </x:c>
      <x:c r="B4" s="4" t="s">
        <x:v>7</x:v>
      </x:c>
      <x:c r="C4" s="4" t="s">
        <x:v>142</x:v>
      </x:c>
      <x:c r="D4" s="4" t="s">
        <x:v>143</x:v>
      </x:c>
      <x:c r="E4" s="4" t="s">
        <x:v>144</x:v>
      </x:c>
      <x:c r="F4" s="4" t="s">
        <x:v>145</x:v>
      </x:c>
      <x:c r="G4" s="4" t="s">
        <x:v>146</x:v>
      </x:c>
      <x:c r="H4" s="4" t="s">
        <x:v>147</x:v>
      </x:c>
      <x:c r="I4" s="4" t="s">
        <x:v>148</x:v>
      </x:c>
      <x:c r="J4" s="4" t="s">
        <x:v>149</x:v>
      </x:c>
      <x:c r="K4" s="4" t="s">
        <x:v>150</x:v>
      </x:c>
      <x:c r="L4" s="4" t="s">
        <x:v>151</x:v>
      </x:c>
      <x:c r="M4" s="4" t="s">
        <x:v>152</x:v>
      </x:c>
      <x:c r="N4" s="4" t="s">
        <x:v>153</x:v>
      </x:c>
      <x:c r="O4" s="4" t="s">
        <x:v>154</x:v>
      </x:c>
      <x:c r="P4" s="4" t="s">
        <x:v>155</x:v>
      </x:c>
      <x:c r="Q4" s="4" t="s">
        <x:v>156</x:v>
      </x:c>
      <x:c r="R4" s="4" t="s">
        <x:v>157</x:v>
      </x:c>
      <x:c r="S4" s="4" t="s">
        <x:v>158</x:v>
      </x:c>
      <x:c r="T4" s="5" t="s">
        <x:v>159</x:v>
      </x:c>
    </x:row>
    <x:row r="5" ht="20.049999237060547" customHeight="1">
      <x:c r="A5" s="14" t="s">
        <x:v>33</x:v>
      </x:c>
      <x:c r="B5" s="12" t="str">
        <x:f>IF($A5="","",IFERROR(INDEX(INITIATIVES!$B$5:$B$54,MATCH($A5,INITIATIVES!$A$5:$A$54,0)),""))</x:f>
        <x:v>Customer Portal Redesign</x:v>
      </x:c>
      <x:c r="C5" s="14" t="s">
        <x:v>160</x:v>
      </x:c>
      <x:c r="D5" s="14" t="s">
        <x:v>161</x:v>
      </x:c>
      <x:c r="E5" s="38">
        <x:v>420000</x:v>
      </x:c>
      <x:c r="F5" s="38">
        <x:v>20000</x:v>
      </x:c>
      <x:c r="G5" s="39">
        <x:v>2026</x:v>
      </x:c>
      <x:c r="H5" s="38">
        <x:v>19600</x:v>
      </x:c>
      <x:c r="I5" s="38">
        <x:v>22050</x:v>
      </x:c>
      <x:c r="J5" s="38">
        <x:v>24500</x:v>
      </x:c>
      <x:c r="K5" s="38">
        <x:v>26950</x:v>
      </x:c>
      <x:c r="L5" s="38">
        <x:v>29400</x:v>
      </x:c>
      <x:c r="M5" s="38">
        <x:v>29400</x:v>
      </x:c>
      <x:c r="N5" s="38">
        <x:v>31850</x:v>
      </x:c>
      <x:c r="O5" s="38">
        <x:v>29400</x:v>
      </x:c>
      <x:c r="P5" s="38">
        <x:v>31850</x:v>
      </x:c>
      <x:c r="Q5" s="38">
        <x:v>0</x:v>
      </x:c>
      <x:c r="R5" s="38">
        <x:v>0</x:v>
      </x:c>
      <x:c r="S5" s="38">
        <x:v>0</x:v>
      </x:c>
      <x:c r="T5" s="36" t="n">
        <x:f t="shared" ref="T5:T36" si="0">IF($A5="","",SUM($H5:$S5))</x:f>
        <x:v>245000</x:v>
      </x:c>
    </x:row>
    <x:row r="6" ht="20.049999237060547" customHeight="1">
      <x:c r="A6" s="19" t="s">
        <x:v>33</x:v>
      </x:c>
      <x:c r="B6" s="6" t="str">
        <x:f>IF($A6="","",IFERROR(INDEX(INITIATIVES!$B$5:$B$54,MATCH($A6,INITIATIVES!$A$5:$A$54,0)),""))</x:f>
        <x:v>Customer Portal Redesign</x:v>
      </x:c>
      <x:c r="C6" s="19" t="s">
        <x:v>162</x:v>
      </x:c>
      <x:c r="D6" s="19" t="s">
        <x:v>163</x:v>
      </x:c>
      <x:c r="E6" s="40">
        <x:v>160000</x:v>
      </x:c>
      <x:c r="F6" s="40">
        <x:v>0</x:v>
      </x:c>
      <x:c r="G6" s="41">
        <x:v>2026</x:v>
      </x:c>
      <x:c r="H6" s="40">
        <x:v>7040</x:v>
      </x:c>
      <x:c r="I6" s="40">
        <x:v>7920</x:v>
      </x:c>
      <x:c r="J6" s="40">
        <x:v>8800</x:v>
      </x:c>
      <x:c r="K6" s="40">
        <x:v>9680</x:v>
      </x:c>
      <x:c r="L6" s="40">
        <x:v>10560</x:v>
      </x:c>
      <x:c r="M6" s="40">
        <x:v>10560</x:v>
      </x:c>
      <x:c r="N6" s="40">
        <x:v>11440</x:v>
      </x:c>
      <x:c r="O6" s="40">
        <x:v>10560</x:v>
      </x:c>
      <x:c r="P6" s="40">
        <x:v>11440</x:v>
      </x:c>
      <x:c r="Q6" s="40">
        <x:v>0</x:v>
      </x:c>
      <x:c r="R6" s="40">
        <x:v>0</x:v>
      </x:c>
      <x:c r="S6" s="40">
        <x:v>0</x:v>
      </x:c>
      <x:c r="T6" s="37" t="n">
        <x:f t="shared" si="0">IF($A6="","",SUM($H6:$S6))</x:f>
        <x:v>88000</x:v>
      </x:c>
    </x:row>
    <x:row r="7" ht="20.049999237060547" customHeight="1">
      <x:c r="A7" s="19" t="s">
        <x:v>40</x:v>
      </x:c>
      <x:c r="B7" s="6" t="str">
        <x:f>IF($A7="","",IFERROR(INDEX(INITIATIVES!$B$5:$B$54,MATCH($A7,INITIATIVES!$A$5:$A$54,0)),""))</x:f>
        <x:v>ERP Finance Migration</x:v>
      </x:c>
      <x:c r="C7" s="19" t="s">
        <x:v>160</x:v>
      </x:c>
      <x:c r="D7" s="19" t="s">
        <x:v>161</x:v>
      </x:c>
      <x:c r="E7" s="40">
        <x:v>680000</x:v>
      </x:c>
      <x:c r="F7" s="40">
        <x:v>75000</x:v>
      </x:c>
      <x:c r="G7" s="41">
        <x:v>2026</x:v>
      </x:c>
      <x:c r="H7" s="40">
        <x:v>37760</x:v>
      </x:c>
      <x:c r="I7" s="40">
        <x:v>42480</x:v>
      </x:c>
      <x:c r="J7" s="40">
        <x:v>47200</x:v>
      </x:c>
      <x:c r="K7" s="40">
        <x:v>51920</x:v>
      </x:c>
      <x:c r="L7" s="40">
        <x:v>56640</x:v>
      </x:c>
      <x:c r="M7" s="40">
        <x:v>56640</x:v>
      </x:c>
      <x:c r="N7" s="40">
        <x:v>61360</x:v>
      </x:c>
      <x:c r="O7" s="40">
        <x:v>56640</x:v>
      </x:c>
      <x:c r="P7" s="40">
        <x:v>61360</x:v>
      </x:c>
      <x:c r="Q7" s="40">
        <x:v>0</x:v>
      </x:c>
      <x:c r="R7" s="40">
        <x:v>0</x:v>
      </x:c>
      <x:c r="S7" s="40">
        <x:v>0</x:v>
      </x:c>
      <x:c r="T7" s="37" t="n">
        <x:f t="shared" si="0">IF($A7="","",SUM($H7:$S7))</x:f>
        <x:v>472000</x:v>
      </x:c>
    </x:row>
    <x:row r="8" ht="20.049999237060547" customHeight="1">
      <x:c r="A8" s="19" t="s">
        <x:v>40</x:v>
      </x:c>
      <x:c r="B8" s="6" t="str">
        <x:f>IF($A8="","",IFERROR(INDEX(INITIATIVES!$B$5:$B$54,MATCH($A8,INITIATIVES!$A$5:$A$54,0)),""))</x:f>
        <x:v>ERP Finance Migration</x:v>
      </x:c>
      <x:c r="C8" s="19" t="s">
        <x:v>162</x:v>
      </x:c>
      <x:c r="D8" s="19" t="s">
        <x:v>163</x:v>
      </x:c>
      <x:c r="E8" s="40">
        <x:v>240000</x:v>
      </x:c>
      <x:c r="F8" s="40">
        <x:v>25000</x:v>
      </x:c>
      <x:c r="G8" s="41">
        <x:v>2026</x:v>
      </x:c>
      <x:c r="H8" s="40">
        <x:v>14080</x:v>
      </x:c>
      <x:c r="I8" s="40">
        <x:v>15840</x:v>
      </x:c>
      <x:c r="J8" s="40">
        <x:v>17600</x:v>
      </x:c>
      <x:c r="K8" s="40">
        <x:v>19360</x:v>
      </x:c>
      <x:c r="L8" s="40">
        <x:v>21120</x:v>
      </x:c>
      <x:c r="M8" s="40">
        <x:v>21120</x:v>
      </x:c>
      <x:c r="N8" s="40">
        <x:v>22880</x:v>
      </x:c>
      <x:c r="O8" s="40">
        <x:v>21120</x:v>
      </x:c>
      <x:c r="P8" s="40">
        <x:v>22880</x:v>
      </x:c>
      <x:c r="Q8" s="40">
        <x:v>0</x:v>
      </x:c>
      <x:c r="R8" s="40">
        <x:v>0</x:v>
      </x:c>
      <x:c r="S8" s="40">
        <x:v>0</x:v>
      </x:c>
      <x:c r="T8" s="37" t="n">
        <x:f t="shared" si="0">IF($A8="","",SUM($H8:$S8))</x:f>
        <x:v>176000</x:v>
      </x:c>
    </x:row>
    <x:row r="9" ht="20.049999237060547" customHeight="1">
      <x:c r="A9" s="19" t="s">
        <x:v>47</x:v>
      </x:c>
      <x:c r="B9" s="6" t="str">
        <x:f>IF($A9="","",IFERROR(INDEX(INITIATIVES!$B$5:$B$54,MATCH($A9,INITIATIVES!$A$5:$A$54,0)),""))</x:f>
        <x:v>Cyber Security Uplift</x:v>
      </x:c>
      <x:c r="C9" s="19" t="s">
        <x:v>160</x:v>
      </x:c>
      <x:c r="D9" s="19" t="s">
        <x:v>161</x:v>
      </x:c>
      <x:c r="E9" s="40">
        <x:v>310000</x:v>
      </x:c>
      <x:c r="F9" s="40">
        <x:v>0</x:v>
      </x:c>
      <x:c r="G9" s="41">
        <x:v>2026</x:v>
      </x:c>
      <x:c r="H9" s="40">
        <x:v>17440</x:v>
      </x:c>
      <x:c r="I9" s="40">
        <x:v>19620</x:v>
      </x:c>
      <x:c r="J9" s="40">
        <x:v>21800</x:v>
      </x:c>
      <x:c r="K9" s="40">
        <x:v>23980</x:v>
      </x:c>
      <x:c r="L9" s="40">
        <x:v>26160</x:v>
      </x:c>
      <x:c r="M9" s="40">
        <x:v>26160</x:v>
      </x:c>
      <x:c r="N9" s="40">
        <x:v>28340</x:v>
      </x:c>
      <x:c r="O9" s="40">
        <x:v>26160</x:v>
      </x:c>
      <x:c r="P9" s="40">
        <x:v>28340</x:v>
      </x:c>
      <x:c r="Q9" s="40">
        <x:v>0</x:v>
      </x:c>
      <x:c r="R9" s="40">
        <x:v>0</x:v>
      </x:c>
      <x:c r="S9" s="40">
        <x:v>0</x:v>
      </x:c>
      <x:c r="T9" s="37" t="n">
        <x:f t="shared" si="0">IF($A9="","",SUM($H9:$S9))</x:f>
        <x:v>218000</x:v>
      </x:c>
    </x:row>
    <x:row r="10" ht="20.049999237060547" customHeight="1">
      <x:c r="A10" s="19" t="s">
        <x:v>47</x:v>
      </x:c>
      <x:c r="B10" s="6" t="str">
        <x:f>IF($A10="","",IFERROR(INDEX(INITIATIVES!$B$5:$B$54,MATCH($A10,INITIATIVES!$A$5:$A$54,0)),""))</x:f>
        <x:v>Cyber Security Uplift</x:v>
      </x:c>
      <x:c r="C10" s="19" t="s">
        <x:v>162</x:v>
      </x:c>
      <x:c r="D10" s="19" t="s">
        <x:v>163</x:v>
      </x:c>
      <x:c r="E10" s="40">
        <x:v>190000</x:v>
      </x:c>
      <x:c r="F10" s="40">
        <x:v>0</x:v>
      </x:c>
      <x:c r="G10" s="41">
        <x:v>2026</x:v>
      </x:c>
      <x:c r="H10" s="40">
        <x:v>9680</x:v>
      </x:c>
      <x:c r="I10" s="40">
        <x:v>10890</x:v>
      </x:c>
      <x:c r="J10" s="40">
        <x:v>12100</x:v>
      </x:c>
      <x:c r="K10" s="40">
        <x:v>13310</x:v>
      </x:c>
      <x:c r="L10" s="40">
        <x:v>14520</x:v>
      </x:c>
      <x:c r="M10" s="40">
        <x:v>14520</x:v>
      </x:c>
      <x:c r="N10" s="40">
        <x:v>15730</x:v>
      </x:c>
      <x:c r="O10" s="40">
        <x:v>14520</x:v>
      </x:c>
      <x:c r="P10" s="40">
        <x:v>15730</x:v>
      </x:c>
      <x:c r="Q10" s="40">
        <x:v>0</x:v>
      </x:c>
      <x:c r="R10" s="40">
        <x:v>0</x:v>
      </x:c>
      <x:c r="S10" s="40">
        <x:v>0</x:v>
      </x:c>
      <x:c r="T10" s="37" t="n">
        <x:f t="shared" si="0">IF($A10="","",SUM($H10:$S10))</x:f>
        <x:v>121000</x:v>
      </x:c>
    </x:row>
    <x:row r="11" ht="20.049999237060547" customHeight="1">
      <x:c r="A11" s="19" t="s">
        <x:v>51</x:v>
      </x:c>
      <x:c r="B11" s="6" t="str">
        <x:f>IF($A11="","",IFERROR(INDEX(INITIATIVES!$B$5:$B$54,MATCH($A11,INITIATIVES!$A$5:$A$54,0)),""))</x:f>
        <x:v>Data Platform Modernisation</x:v>
      </x:c>
      <x:c r="C11" s="19" t="s">
        <x:v>160</x:v>
      </x:c>
      <x:c r="D11" s="19" t="s">
        <x:v>161</x:v>
      </x:c>
      <x:c r="E11" s="40">
        <x:v>760000</x:v>
      </x:c>
      <x:c r="F11" s="40">
        <x:v>120000</x:v>
      </x:c>
      <x:c r="G11" s="41">
        <x:v>2026</x:v>
      </x:c>
      <x:c r="H11" s="40">
        <x:v>25200</x:v>
      </x:c>
      <x:c r="I11" s="40">
        <x:v>28350</x:v>
      </x:c>
      <x:c r="J11" s="40">
        <x:v>31500</x:v>
      </x:c>
      <x:c r="K11" s="40">
        <x:v>34650</x:v>
      </x:c>
      <x:c r="L11" s="40">
        <x:v>37800</x:v>
      </x:c>
      <x:c r="M11" s="40">
        <x:v>37800</x:v>
      </x:c>
      <x:c r="N11" s="40">
        <x:v>40950</x:v>
      </x:c>
      <x:c r="O11" s="40">
        <x:v>37800</x:v>
      </x:c>
      <x:c r="P11" s="40">
        <x:v>40950</x:v>
      </x:c>
      <x:c r="Q11" s="40">
        <x:v>0</x:v>
      </x:c>
      <x:c r="R11" s="40">
        <x:v>0</x:v>
      </x:c>
      <x:c r="S11" s="40">
        <x:v>0</x:v>
      </x:c>
      <x:c r="T11" s="37" t="n">
        <x:f t="shared" si="0">IF($A11="","",SUM($H11:$S11))</x:f>
        <x:v>315000</x:v>
      </x:c>
    </x:row>
    <x:row r="12" ht="20.049999237060547" customHeight="1">
      <x:c r="A12" s="19" t="s">
        <x:v>51</x:v>
      </x:c>
      <x:c r="B12" s="6" t="str">
        <x:f>IF($A12="","",IFERROR(INDEX(INITIATIVES!$B$5:$B$54,MATCH($A12,INITIATIVES!$A$5:$A$54,0)),""))</x:f>
        <x:v>Data Platform Modernisation</x:v>
      </x:c>
      <x:c r="C12" s="19" t="s">
        <x:v>162</x:v>
      </x:c>
      <x:c r="D12" s="19" t="s">
        <x:v>163</x:v>
      </x:c>
      <x:c r="E12" s="40">
        <x:v>420000</x:v>
      </x:c>
      <x:c r="F12" s="40">
        <x:v>80000</x:v>
      </x:c>
      <x:c r="G12" s="41">
        <x:v>2026</x:v>
      </x:c>
      <x:c r="H12" s="40">
        <x:v>15680</x:v>
      </x:c>
      <x:c r="I12" s="40">
        <x:v>17640</x:v>
      </x:c>
      <x:c r="J12" s="40">
        <x:v>19600</x:v>
      </x:c>
      <x:c r="K12" s="40">
        <x:v>21560</x:v>
      </x:c>
      <x:c r="L12" s="40">
        <x:v>23520</x:v>
      </x:c>
      <x:c r="M12" s="40">
        <x:v>23520</x:v>
      </x:c>
      <x:c r="N12" s="40">
        <x:v>25480</x:v>
      </x:c>
      <x:c r="O12" s="40">
        <x:v>23520</x:v>
      </x:c>
      <x:c r="P12" s="40">
        <x:v>25480</x:v>
      </x:c>
      <x:c r="Q12" s="40">
        <x:v>0</x:v>
      </x:c>
      <x:c r="R12" s="40">
        <x:v>0</x:v>
      </x:c>
      <x:c r="S12" s="40">
        <x:v>0</x:v>
      </x:c>
      <x:c r="T12" s="37" t="n">
        <x:f t="shared" si="0">IF($A12="","",SUM($H12:$S12))</x:f>
        <x:v>196000</x:v>
      </x:c>
    </x:row>
    <x:row r="13" ht="20.049999237060547" customHeight="1">
      <x:c r="A13" s="19" t="s">
        <x:v>57</x:v>
      </x:c>
      <x:c r="B13" s="6" t="str">
        <x:f>IF($A13="","",IFERROR(INDEX(INITIATIVES!$B$5:$B$54,MATCH($A13,INITIATIVES!$A$5:$A$54,0)),""))</x:f>
        <x:v>Mobile Workforce App</x:v>
      </x:c>
      <x:c r="C13" s="19" t="s">
        <x:v>160</x:v>
      </x:c>
      <x:c r="D13" s="19" t="s">
        <x:v>161</x:v>
      </x:c>
      <x:c r="E13" s="40">
        <x:v>360000</x:v>
      </x:c>
      <x:c r="F13" s="40">
        <x:v>0</x:v>
      </x:c>
      <x:c r="G13" s="41">
        <x:v>2026</x:v>
      </x:c>
      <x:c r="H13" s="40">
        <x:v>28160</x:v>
      </x:c>
      <x:c r="I13" s="40">
        <x:v>31680</x:v>
      </x:c>
      <x:c r="J13" s="40">
        <x:v>35200</x:v>
      </x:c>
      <x:c r="K13" s="40">
        <x:v>38720</x:v>
      </x:c>
      <x:c r="L13" s="40">
        <x:v>42240</x:v>
      </x:c>
      <x:c r="M13" s="40">
        <x:v>42240</x:v>
      </x:c>
      <x:c r="N13" s="40">
        <x:v>45760</x:v>
      </x:c>
      <x:c r="O13" s="40">
        <x:v>42240</x:v>
      </x:c>
      <x:c r="P13" s="40">
        <x:v>45760</x:v>
      </x:c>
      <x:c r="Q13" s="40">
        <x:v>0</x:v>
      </x:c>
      <x:c r="R13" s="40">
        <x:v>0</x:v>
      </x:c>
      <x:c r="S13" s="40">
        <x:v>0</x:v>
      </x:c>
      <x:c r="T13" s="37" t="n">
        <x:f t="shared" si="0">IF($A13="","",SUM($H13:$S13))</x:f>
        <x:v>352000</x:v>
      </x:c>
    </x:row>
    <x:row r="14" ht="20.049999237060547" customHeight="1">
      <x:c r="A14" s="19" t="s">
        <x:v>57</x:v>
      </x:c>
      <x:c r="B14" s="6" t="str">
        <x:f>IF($A14="","",IFERROR(INDEX(INITIATIVES!$B$5:$B$54,MATCH($A14,INITIATIVES!$A$5:$A$54,0)),""))</x:f>
        <x:v>Mobile Workforce App</x:v>
      </x:c>
      <x:c r="C14" s="19" t="s">
        <x:v>162</x:v>
      </x:c>
      <x:c r="D14" s="19" t="s">
        <x:v>163</x:v>
      </x:c>
      <x:c r="E14" s="40">
        <x:v>140000</x:v>
      </x:c>
      <x:c r="F14" s="40">
        <x:v>0</x:v>
      </x:c>
      <x:c r="G14" s="41">
        <x:v>2026</x:v>
      </x:c>
      <x:c r="H14" s="40">
        <x:v>10960</x:v>
      </x:c>
      <x:c r="I14" s="40">
        <x:v>12330</x:v>
      </x:c>
      <x:c r="J14" s="40">
        <x:v>13700</x:v>
      </x:c>
      <x:c r="K14" s="40">
        <x:v>15070</x:v>
      </x:c>
      <x:c r="L14" s="40">
        <x:v>16440</x:v>
      </x:c>
      <x:c r="M14" s="40">
        <x:v>16440</x:v>
      </x:c>
      <x:c r="N14" s="40">
        <x:v>17810</x:v>
      </x:c>
      <x:c r="O14" s="40">
        <x:v>16440</x:v>
      </x:c>
      <x:c r="P14" s="40">
        <x:v>17810</x:v>
      </x:c>
      <x:c r="Q14" s="40">
        <x:v>0</x:v>
      </x:c>
      <x:c r="R14" s="40">
        <x:v>0</x:v>
      </x:c>
      <x:c r="S14" s="40">
        <x:v>0</x:v>
      </x:c>
      <x:c r="T14" s="37" t="n">
        <x:f t="shared" si="0">IF($A14="","",SUM($H14:$S14))</x:f>
        <x:v>137000</x:v>
      </x:c>
    </x:row>
    <x:row r="15" ht="20.049999237060547" customHeight="1">
      <x:c r="A15" s="19" t="s">
        <x:v>62</x:v>
      </x:c>
      <x:c r="B15" s="6" t="str">
        <x:f>IF($A15="","",IFERROR(INDEX(INITIATIVES!$B$5:$B$54,MATCH($A15,INITIATIVES!$A$5:$A$54,0)),""))</x:f>
        <x:v>CRM Consolidation</x:v>
      </x:c>
      <x:c r="C15" s="19" t="s">
        <x:v>160</x:v>
      </x:c>
      <x:c r="D15" s="19" t="s">
        <x:v>161</x:v>
      </x:c>
      <x:c r="E15" s="40">
        <x:v>590000</x:v>
      </x:c>
      <x:c r="F15" s="40">
        <x:v>40000</x:v>
      </x:c>
      <x:c r="G15" s="41">
        <x:v>2026</x:v>
      </x:c>
      <x:c r="H15" s="40">
        <x:v>22880</x:v>
      </x:c>
      <x:c r="I15" s="40">
        <x:v>25740</x:v>
      </x:c>
      <x:c r="J15" s="40">
        <x:v>28600</x:v>
      </x:c>
      <x:c r="K15" s="40">
        <x:v>31460</x:v>
      </x:c>
      <x:c r="L15" s="40">
        <x:v>34320</x:v>
      </x:c>
      <x:c r="M15" s="40">
        <x:v>34320</x:v>
      </x:c>
      <x:c r="N15" s="40">
        <x:v>37180</x:v>
      </x:c>
      <x:c r="O15" s="40">
        <x:v>34320</x:v>
      </x:c>
      <x:c r="P15" s="40">
        <x:v>37180</x:v>
      </x:c>
      <x:c r="Q15" s="40">
        <x:v>0</x:v>
      </x:c>
      <x:c r="R15" s="40">
        <x:v>0</x:v>
      </x:c>
      <x:c r="S15" s="40">
        <x:v>0</x:v>
      </x:c>
      <x:c r="T15" s="37" t="n">
        <x:f t="shared" si="0">IF($A15="","",SUM($H15:$S15))</x:f>
        <x:v>286000</x:v>
      </x:c>
    </x:row>
    <x:row r="16" ht="20.049999237060547" customHeight="1">
      <x:c r="A16" s="19" t="s">
        <x:v>62</x:v>
      </x:c>
      <x:c r="B16" s="6" t="str">
        <x:f>IF($A16="","",IFERROR(INDEX(INITIATIVES!$B$5:$B$54,MATCH($A16,INITIATIVES!$A$5:$A$54,0)),""))</x:f>
        <x:v>CRM Consolidation</x:v>
      </x:c>
      <x:c r="C16" s="19" t="s">
        <x:v>162</x:v>
      </x:c>
      <x:c r="D16" s="19" t="s">
        <x:v>163</x:v>
      </x:c>
      <x:c r="E16" s="40">
        <x:v>260000</x:v>
      </x:c>
      <x:c r="F16" s="40">
        <x:v>35000</x:v>
      </x:c>
      <x:c r="G16" s="41">
        <x:v>2026</x:v>
      </x:c>
      <x:c r="H16" s="40">
        <x:v>11360</x:v>
      </x:c>
      <x:c r="I16" s="40">
        <x:v>12780</x:v>
      </x:c>
      <x:c r="J16" s="40">
        <x:v>14200</x:v>
      </x:c>
      <x:c r="K16" s="40">
        <x:v>15620</x:v>
      </x:c>
      <x:c r="L16" s="40">
        <x:v>17040</x:v>
      </x:c>
      <x:c r="M16" s="40">
        <x:v>17040</x:v>
      </x:c>
      <x:c r="N16" s="40">
        <x:v>18460</x:v>
      </x:c>
      <x:c r="O16" s="40">
        <x:v>17040</x:v>
      </x:c>
      <x:c r="P16" s="40">
        <x:v>18460</x:v>
      </x:c>
      <x:c r="Q16" s="40">
        <x:v>0</x:v>
      </x:c>
      <x:c r="R16" s="40">
        <x:v>0</x:v>
      </x:c>
      <x:c r="S16" s="40">
        <x:v>0</x:v>
      </x:c>
      <x:c r="T16" s="37" t="n">
        <x:f t="shared" si="0">IF($A16="","",SUM($H16:$S16))</x:f>
        <x:v>142000</x:v>
      </x:c>
    </x:row>
    <x:row r="17" ht="20.049999237060547" customHeight="1">
      <x:c r="A17" s="19" t="s">
        <x:v>66</x:v>
      </x:c>
      <x:c r="B17" s="6" t="str">
        <x:f>IF($A17="","",IFERROR(INDEX(INITIATIVES!$B$5:$B$54,MATCH($A17,INITIATIVES!$A$5:$A$54,0)),""))</x:f>
        <x:v>Cloud Landing Zone</x:v>
      </x:c>
      <x:c r="C17" s="19" t="s">
        <x:v>160</x:v>
      </x:c>
      <x:c r="D17" s="19" t="s">
        <x:v>161</x:v>
      </x:c>
      <x:c r="E17" s="40">
        <x:v>280000</x:v>
      </x:c>
      <x:c r="F17" s="40">
        <x:v>0</x:v>
      </x:c>
      <x:c r="G17" s="41">
        <x:v>2026</x:v>
      </x:c>
      <x:c r="H17" s="40">
        <x:v>22080</x:v>
      </x:c>
      <x:c r="I17" s="40">
        <x:v>24840</x:v>
      </x:c>
      <x:c r="J17" s="40">
        <x:v>27600</x:v>
      </x:c>
      <x:c r="K17" s="40">
        <x:v>30360</x:v>
      </x:c>
      <x:c r="L17" s="40">
        <x:v>33120</x:v>
      </x:c>
      <x:c r="M17" s="40">
        <x:v>33120</x:v>
      </x:c>
      <x:c r="N17" s="40">
        <x:v>35880</x:v>
      </x:c>
      <x:c r="O17" s="40">
        <x:v>33120</x:v>
      </x:c>
      <x:c r="P17" s="40">
        <x:v>35880</x:v>
      </x:c>
      <x:c r="Q17" s="40">
        <x:v>0</x:v>
      </x:c>
      <x:c r="R17" s="40">
        <x:v>0</x:v>
      </x:c>
      <x:c r="S17" s="40">
        <x:v>0</x:v>
      </x:c>
      <x:c r="T17" s="37" t="n">
        <x:f t="shared" si="0">IF($A17="","",SUM($H17:$S17))</x:f>
        <x:v>276000</x:v>
      </x:c>
    </x:row>
    <x:row r="18" ht="20.049999237060547" customHeight="1">
      <x:c r="A18" s="19" t="s">
        <x:v>66</x:v>
      </x:c>
      <x:c r="B18" s="6" t="str">
        <x:f>IF($A18="","",IFERROR(INDEX(INITIATIVES!$B$5:$B$54,MATCH($A18,INITIATIVES!$A$5:$A$54,0)),""))</x:f>
        <x:v>Cloud Landing Zone</x:v>
      </x:c>
      <x:c r="C18" s="19" t="s">
        <x:v>162</x:v>
      </x:c>
      <x:c r="D18" s="19" t="s">
        <x:v>163</x:v>
      </x:c>
      <x:c r="E18" s="40">
        <x:v>170000</x:v>
      </x:c>
      <x:c r="F18" s="40">
        <x:v>0</x:v>
      </x:c>
      <x:c r="G18" s="41">
        <x:v>2026</x:v>
      </x:c>
      <x:c r="H18" s="40">
        <x:v>13440</x:v>
      </x:c>
      <x:c r="I18" s="40">
        <x:v>15120</x:v>
      </x:c>
      <x:c r="J18" s="40">
        <x:v>16800</x:v>
      </x:c>
      <x:c r="K18" s="40">
        <x:v>18480</x:v>
      </x:c>
      <x:c r="L18" s="40">
        <x:v>20160</x:v>
      </x:c>
      <x:c r="M18" s="40">
        <x:v>20160</x:v>
      </x:c>
      <x:c r="N18" s="40">
        <x:v>21840</x:v>
      </x:c>
      <x:c r="O18" s="40">
        <x:v>20160</x:v>
      </x:c>
      <x:c r="P18" s="40">
        <x:v>21840</x:v>
      </x:c>
      <x:c r="Q18" s="40">
        <x:v>0</x:v>
      </x:c>
      <x:c r="R18" s="40">
        <x:v>0</x:v>
      </x:c>
      <x:c r="S18" s="40">
        <x:v>0</x:v>
      </x:c>
      <x:c r="T18" s="37" t="n">
        <x:f t="shared" si="0">IF($A18="","",SUM($H18:$S18))</x:f>
        <x:v>168000</x:v>
      </x:c>
    </x:row>
    <x:row r="19" ht="20.049999237060547" customHeight="1">
      <x:c r="A19" s="19" t="s">
        <x:v>68</x:v>
      </x:c>
      <x:c r="B19" s="6" t="str">
        <x:f>IF($A19="","",IFERROR(INDEX(INITIATIVES!$B$5:$B$54,MATCH($A19,INITIATIVES!$A$5:$A$54,0)),""))</x:f>
        <x:v>Digital Records Programme</x:v>
      </x:c>
      <x:c r="C19" s="19" t="s">
        <x:v>160</x:v>
      </x:c>
      <x:c r="D19" s="19" t="s">
        <x:v>161</x:v>
      </x:c>
      <x:c r="E19" s="40">
        <x:v>450000</x:v>
      </x:c>
      <x:c r="F19" s="40">
        <x:v>0</x:v>
      </x:c>
      <x:c r="G19" s="41">
        <x:v>2026</x:v>
      </x:c>
      <x:c r="H19" s="40">
        <x:v>5520</x:v>
      </x:c>
      <x:c r="I19" s="40">
        <x:v>6210</x:v>
      </x:c>
      <x:c r="J19" s="40">
        <x:v>6900</x:v>
      </x:c>
      <x:c r="K19" s="40">
        <x:v>7590</x:v>
      </x:c>
      <x:c r="L19" s="40">
        <x:v>8280</x:v>
      </x:c>
      <x:c r="M19" s="40">
        <x:v>8280</x:v>
      </x:c>
      <x:c r="N19" s="40">
        <x:v>8970</x:v>
      </x:c>
      <x:c r="O19" s="40">
        <x:v>8280</x:v>
      </x:c>
      <x:c r="P19" s="40">
        <x:v>8970</x:v>
      </x:c>
      <x:c r="Q19" s="40">
        <x:v>0</x:v>
      </x:c>
      <x:c r="R19" s="40">
        <x:v>0</x:v>
      </x:c>
      <x:c r="S19" s="40">
        <x:v>0</x:v>
      </x:c>
      <x:c r="T19" s="37" t="n">
        <x:f t="shared" si="0">IF($A19="","",SUM($H19:$S19))</x:f>
        <x:v>69000</x:v>
      </x:c>
    </x:row>
    <x:row r="20" ht="20.049999237060547" customHeight="1">
      <x:c r="A20" s="19" t="s">
        <x:v>68</x:v>
      </x:c>
      <x:c r="B20" s="6" t="str">
        <x:f>IF($A20="","",IFERROR(INDEX(INITIATIVES!$B$5:$B$54,MATCH($A20,INITIATIVES!$A$5:$A$54,0)),""))</x:f>
        <x:v>Digital Records Programme</x:v>
      </x:c>
      <x:c r="C20" s="19" t="s">
        <x:v>162</x:v>
      </x:c>
      <x:c r="D20" s="19" t="s">
        <x:v>163</x:v>
      </x:c>
      <x:c r="E20" s="40">
        <x:v>230000</x:v>
      </x:c>
      <x:c r="F20" s="40">
        <x:v>0</x:v>
      </x:c>
      <x:c r="G20" s="41">
        <x:v>2026</x:v>
      </x:c>
      <x:c r="H20" s="40">
        <x:v>2480</x:v>
      </x:c>
      <x:c r="I20" s="40">
        <x:v>2790</x:v>
      </x:c>
      <x:c r="J20" s="40">
        <x:v>3100</x:v>
      </x:c>
      <x:c r="K20" s="40">
        <x:v>3410</x:v>
      </x:c>
      <x:c r="L20" s="40">
        <x:v>3720</x:v>
      </x:c>
      <x:c r="M20" s="40">
        <x:v>3720</x:v>
      </x:c>
      <x:c r="N20" s="40">
        <x:v>4030</x:v>
      </x:c>
      <x:c r="O20" s="40">
        <x:v>3720</x:v>
      </x:c>
      <x:c r="P20" s="40">
        <x:v>4030</x:v>
      </x:c>
      <x:c r="Q20" s="40">
        <x:v>0</x:v>
      </x:c>
      <x:c r="R20" s="40">
        <x:v>0</x:v>
      </x:c>
      <x:c r="S20" s="40">
        <x:v>0</x:v>
      </x:c>
      <x:c r="T20" s="37" t="n">
        <x:f t="shared" si="0">IF($A20="","",SUM($H20:$S20))</x:f>
        <x:v>31000</x:v>
      </x:c>
    </x:row>
    <x:row r="21" ht="20.049999237060547" customHeight="1">
      <x:c r="A21" s="19" t="s">
        <x:v>71</x:v>
      </x:c>
      <x:c r="B21" s="6" t="str">
        <x:f>IF($A21="","",IFERROR(INDEX(INITIATIVES!$B$5:$B$54,MATCH($A21,INITIATIVES!$A$5:$A$54,0)),""))</x:f>
        <x:v>Service Desk Automation</x:v>
      </x:c>
      <x:c r="C21" s="19" t="s">
        <x:v>160</x:v>
      </x:c>
      <x:c r="D21" s="19" t="s">
        <x:v>161</x:v>
      </x:c>
      <x:c r="E21" s="40">
        <x:v>335000</x:v>
      </x:c>
      <x:c r="F21" s="40">
        <x:v>15000</x:v>
      </x:c>
      <x:c r="G21" s="41">
        <x:v>2026</x:v>
      </x:c>
      <x:c r="H21" s="40">
        <x:v>17920</x:v>
      </x:c>
      <x:c r="I21" s="40">
        <x:v>20160</x:v>
      </x:c>
      <x:c r="J21" s="40">
        <x:v>22400</x:v>
      </x:c>
      <x:c r="K21" s="40">
        <x:v>24640</x:v>
      </x:c>
      <x:c r="L21" s="40">
        <x:v>26880</x:v>
      </x:c>
      <x:c r="M21" s="40">
        <x:v>26880</x:v>
      </x:c>
      <x:c r="N21" s="40">
        <x:v>29120</x:v>
      </x:c>
      <x:c r="O21" s="40">
        <x:v>26880</x:v>
      </x:c>
      <x:c r="P21" s="40">
        <x:v>29120</x:v>
      </x:c>
      <x:c r="Q21" s="40">
        <x:v>0</x:v>
      </x:c>
      <x:c r="R21" s="40">
        <x:v>0</x:v>
      </x:c>
      <x:c r="S21" s="40">
        <x:v>0</x:v>
      </x:c>
      <x:c r="T21" s="37" t="n">
        <x:f t="shared" si="0">IF($A21="","",SUM($H21:$S21))</x:f>
        <x:v>224000</x:v>
      </x:c>
    </x:row>
    <x:row r="22" ht="20.049999237060547" customHeight="1">
      <x:c r="A22" s="19" t="s">
        <x:v>71</x:v>
      </x:c>
      <x:c r="B22" s="6" t="str">
        <x:f>IF($A22="","",IFERROR(INDEX(INITIATIVES!$B$5:$B$54,MATCH($A22,INITIATIVES!$A$5:$A$54,0)),""))</x:f>
        <x:v>Service Desk Automation</x:v>
      </x:c>
      <x:c r="C22" s="19" t="s">
        <x:v>162</x:v>
      </x:c>
      <x:c r="D22" s="19" t="s">
        <x:v>163</x:v>
      </x:c>
      <x:c r="E22" s="40">
        <x:v>125000</x:v>
      </x:c>
      <x:c r="F22" s="40">
        <x:v>0</x:v>
      </x:c>
      <x:c r="G22" s="41">
        <x:v>2026</x:v>
      </x:c>
      <x:c r="H22" s="40">
        <x:v>6320</x:v>
      </x:c>
      <x:c r="I22" s="40">
        <x:v>7110</x:v>
      </x:c>
      <x:c r="J22" s="40">
        <x:v>7900</x:v>
      </x:c>
      <x:c r="K22" s="40">
        <x:v>8690</x:v>
      </x:c>
      <x:c r="L22" s="40">
        <x:v>9480</x:v>
      </x:c>
      <x:c r="M22" s="40">
        <x:v>9480</x:v>
      </x:c>
      <x:c r="N22" s="40">
        <x:v>10270</x:v>
      </x:c>
      <x:c r="O22" s="40">
        <x:v>9480</x:v>
      </x:c>
      <x:c r="P22" s="40">
        <x:v>10270</x:v>
      </x:c>
      <x:c r="Q22" s="40">
        <x:v>0</x:v>
      </x:c>
      <x:c r="R22" s="40">
        <x:v>0</x:v>
      </x:c>
      <x:c r="S22" s="40">
        <x:v>0</x:v>
      </x:c>
      <x:c r="T22" s="37" t="n">
        <x:f t="shared" si="0">IF($A22="","",SUM($H22:$S22))</x:f>
        <x:v>79000</x:v>
      </x:c>
    </x:row>
    <x:row r="23" ht="20.049999237060547" customHeight="1">
      <x:c r="A23" s="19" t="s">
        <x:v>73</x:v>
      </x:c>
      <x:c r="B23" s="6" t="str">
        <x:f>IF($A23="","",IFERROR(INDEX(INITIATIVES!$B$5:$B$54,MATCH($A23,INITIATIVES!$A$5:$A$54,0)),""))</x:f>
        <x:v>Procurement Analytics</x:v>
      </x:c>
      <x:c r="C23" s="19" t="s">
        <x:v>160</x:v>
      </x:c>
      <x:c r="D23" s="19" t="s">
        <x:v>161</x:v>
      </x:c>
      <x:c r="E23" s="40">
        <x:v>295000</x:v>
      </x:c>
      <x:c r="F23" s="40">
        <x:v>0</x:v>
      </x:c>
      <x:c r="G23" s="41">
        <x:v>2026</x:v>
      </x:c>
      <x:c r="H23" s="40">
        <x:v>8960</x:v>
      </x:c>
      <x:c r="I23" s="40">
        <x:v>10080</x:v>
      </x:c>
      <x:c r="J23" s="40">
        <x:v>11200</x:v>
      </x:c>
      <x:c r="K23" s="40">
        <x:v>12320</x:v>
      </x:c>
      <x:c r="L23" s="40">
        <x:v>13440</x:v>
      </x:c>
      <x:c r="M23" s="40">
        <x:v>13440</x:v>
      </x:c>
      <x:c r="N23" s="40">
        <x:v>14560</x:v>
      </x:c>
      <x:c r="O23" s="40">
        <x:v>13440</x:v>
      </x:c>
      <x:c r="P23" s="40">
        <x:v>14560</x:v>
      </x:c>
      <x:c r="Q23" s="40">
        <x:v>0</x:v>
      </x:c>
      <x:c r="R23" s="40">
        <x:v>0</x:v>
      </x:c>
      <x:c r="S23" s="40">
        <x:v>0</x:v>
      </x:c>
      <x:c r="T23" s="37" t="n">
        <x:f t="shared" si="0">IF($A23="","",SUM($H23:$S23))</x:f>
        <x:v>112000</x:v>
      </x:c>
    </x:row>
    <x:row r="24" ht="20.049999237060547" customHeight="1">
      <x:c r="A24" s="19" t="s">
        <x:v>73</x:v>
      </x:c>
      <x:c r="B24" s="6" t="str">
        <x:f>IF($A24="","",IFERROR(INDEX(INITIATIVES!$B$5:$B$54,MATCH($A24,INITIATIVES!$A$5:$A$54,0)),""))</x:f>
        <x:v>Procurement Analytics</x:v>
      </x:c>
      <x:c r="C24" s="19" t="s">
        <x:v>162</x:v>
      </x:c>
      <x:c r="D24" s="19" t="s">
        <x:v>163</x:v>
      </x:c>
      <x:c r="E24" s="40">
        <x:v>180000</x:v>
      </x:c>
      <x:c r="F24" s="40">
        <x:v>30000</x:v>
      </x:c>
      <x:c r="G24" s="41">
        <x:v>2026</x:v>
      </x:c>
      <x:c r="H24" s="40">
        <x:v>6880</x:v>
      </x:c>
      <x:c r="I24" s="40">
        <x:v>7740</x:v>
      </x:c>
      <x:c r="J24" s="40">
        <x:v>8600</x:v>
      </x:c>
      <x:c r="K24" s="40">
        <x:v>9460</x:v>
      </x:c>
      <x:c r="L24" s="40">
        <x:v>10320</x:v>
      </x:c>
      <x:c r="M24" s="40">
        <x:v>10320</x:v>
      </x:c>
      <x:c r="N24" s="40">
        <x:v>11180</x:v>
      </x:c>
      <x:c r="O24" s="40">
        <x:v>10320</x:v>
      </x:c>
      <x:c r="P24" s="40">
        <x:v>11180</x:v>
      </x:c>
      <x:c r="Q24" s="40">
        <x:v>0</x:v>
      </x:c>
      <x:c r="R24" s="40">
        <x:v>0</x:v>
      </x:c>
      <x:c r="S24" s="40">
        <x:v>0</x:v>
      </x:c>
      <x:c r="T24" s="37" t="n">
        <x:f t="shared" si="0">IF($A24="","",SUM($H24:$S24))</x:f>
        <x:v>86000</x:v>
      </x:c>
    </x:row>
    <x:row r="25" ht="20.049999237060547" customHeight="1">
      <x:c r="A25" s="19" t="s">
        <x:v>77</x:v>
      </x:c>
      <x:c r="B25" s="6" t="str">
        <x:f>IF($A25="","",IFERROR(INDEX(INITIATIVES!$B$5:$B$54,MATCH($A25,INITIATIVES!$A$5:$A$54,0)),""))</x:f>
        <x:v>Identity Access Management</x:v>
      </x:c>
      <x:c r="C25" s="19" t="s">
        <x:v>160</x:v>
      </x:c>
      <x:c r="D25" s="19" t="s">
        <x:v>161</x:v>
      </x:c>
      <x:c r="E25" s="40">
        <x:v>510000</x:v>
      </x:c>
      <x:c r="F25" s="40">
        <x:v>0</x:v>
      </x:c>
      <x:c r="G25" s="41">
        <x:v>2026</x:v>
      </x:c>
      <x:c r="H25" s="40">
        <x:v>16320</x:v>
      </x:c>
      <x:c r="I25" s="40">
        <x:v>18360</x:v>
      </x:c>
      <x:c r="J25" s="40">
        <x:v>20400</x:v>
      </x:c>
      <x:c r="K25" s="40">
        <x:v>22440</x:v>
      </x:c>
      <x:c r="L25" s="40">
        <x:v>24480</x:v>
      </x:c>
      <x:c r="M25" s="40">
        <x:v>24480</x:v>
      </x:c>
      <x:c r="N25" s="40">
        <x:v>26520</x:v>
      </x:c>
      <x:c r="O25" s="40">
        <x:v>24480</x:v>
      </x:c>
      <x:c r="P25" s="40">
        <x:v>26520</x:v>
      </x:c>
      <x:c r="Q25" s="40">
        <x:v>0</x:v>
      </x:c>
      <x:c r="R25" s="40">
        <x:v>0</x:v>
      </x:c>
      <x:c r="S25" s="40">
        <x:v>0</x:v>
      </x:c>
      <x:c r="T25" s="37" t="n">
        <x:f t="shared" si="0">IF($A25="","",SUM($H25:$S25))</x:f>
        <x:v>204000</x:v>
      </x:c>
    </x:row>
    <x:row r="26" ht="20.049999237060547" customHeight="1">
      <x:c r="A26" s="19" t="s">
        <x:v>77</x:v>
      </x:c>
      <x:c r="B26" s="6" t="str">
        <x:f>IF($A26="","",IFERROR(INDEX(INITIATIVES!$B$5:$B$54,MATCH($A26,INITIATIVES!$A$5:$A$54,0)),""))</x:f>
        <x:v>Identity Access Management</x:v>
      </x:c>
      <x:c r="C26" s="19" t="s">
        <x:v>162</x:v>
      </x:c>
      <x:c r="D26" s="19" t="s">
        <x:v>163</x:v>
      </x:c>
      <x:c r="E26" s="40">
        <x:v>215000</x:v>
      </x:c>
      <x:c r="F26" s="40">
        <x:v>0</x:v>
      </x:c>
      <x:c r="G26" s="41">
        <x:v>2026</x:v>
      </x:c>
      <x:c r="H26" s="40">
        <x:v>6480</x:v>
      </x:c>
      <x:c r="I26" s="40">
        <x:v>7290</x:v>
      </x:c>
      <x:c r="J26" s="40">
        <x:v>8100</x:v>
      </x:c>
      <x:c r="K26" s="40">
        <x:v>8910</x:v>
      </x:c>
      <x:c r="L26" s="40">
        <x:v>9720</x:v>
      </x:c>
      <x:c r="M26" s="40">
        <x:v>9720</x:v>
      </x:c>
      <x:c r="N26" s="40">
        <x:v>10530</x:v>
      </x:c>
      <x:c r="O26" s="40">
        <x:v>9720</x:v>
      </x:c>
      <x:c r="P26" s="40">
        <x:v>10530</x:v>
      </x:c>
      <x:c r="Q26" s="40">
        <x:v>0</x:v>
      </x:c>
      <x:c r="R26" s="40">
        <x:v>0</x:v>
      </x:c>
      <x:c r="S26" s="40">
        <x:v>0</x:v>
      </x:c>
      <x:c r="T26" s="37" t="n">
        <x:f t="shared" si="0">IF($A26="","",SUM($H26:$S26))</x:f>
        <x:v>81000</x:v>
      </x:c>
    </x:row>
    <x:row r="27" ht="20.049999237060547" customHeight="1">
      <x:c r="A27" s="19" t="s">
        <x:v>79</x:v>
      </x:c>
      <x:c r="B27" s="6" t="str">
        <x:f>IF($A27="","",IFERROR(INDEX(INITIATIVES!$B$5:$B$54,MATCH($A27,INITIATIVES!$A$5:$A$54,0)),""))</x:f>
        <x:v>Legacy Application Decommission</x:v>
      </x:c>
      <x:c r="C27" s="19" t="s">
        <x:v>160</x:v>
      </x:c>
      <x:c r="D27" s="19" t="s">
        <x:v>161</x:v>
      </x:c>
      <x:c r="E27" s="40">
        <x:v>390000</x:v>
      </x:c>
      <x:c r="F27" s="40">
        <x:v>0</x:v>
      </x:c>
      <x:c r="G27" s="41">
        <x:v>2026</x:v>
      </x:c>
      <x:c r="H27" s="40">
        <x:v>7760</x:v>
      </x:c>
      <x:c r="I27" s="40">
        <x:v>8730</x:v>
      </x:c>
      <x:c r="J27" s="40">
        <x:v>9700</x:v>
      </x:c>
      <x:c r="K27" s="40">
        <x:v>10670</x:v>
      </x:c>
      <x:c r="L27" s="40">
        <x:v>11640</x:v>
      </x:c>
      <x:c r="M27" s="40">
        <x:v>11640</x:v>
      </x:c>
      <x:c r="N27" s="40">
        <x:v>12610</x:v>
      </x:c>
      <x:c r="O27" s="40">
        <x:v>11640</x:v>
      </x:c>
      <x:c r="P27" s="40">
        <x:v>12610</x:v>
      </x:c>
      <x:c r="Q27" s="40">
        <x:v>0</x:v>
      </x:c>
      <x:c r="R27" s="40">
        <x:v>0</x:v>
      </x:c>
      <x:c r="S27" s="40">
        <x:v>0</x:v>
      </x:c>
      <x:c r="T27" s="37" t="n">
        <x:f t="shared" si="0">IF($A27="","",SUM($H27:$S27))</x:f>
        <x:v>97000</x:v>
      </x:c>
    </x:row>
    <x:row r="28" ht="20.049999237060547" customHeight="1">
      <x:c r="A28" s="19" t="s">
        <x:v>79</x:v>
      </x:c>
      <x:c r="B28" s="6" t="str">
        <x:f>IF($A28="","",IFERROR(INDEX(INITIATIVES!$B$5:$B$54,MATCH($A28,INITIATIVES!$A$5:$A$54,0)),""))</x:f>
        <x:v>Legacy Application Decommission</x:v>
      </x:c>
      <x:c r="C28" s="19" t="s">
        <x:v>162</x:v>
      </x:c>
      <x:c r="D28" s="19" t="s">
        <x:v>163</x:v>
      </x:c>
      <x:c r="E28" s="40">
        <x:v>155000</x:v>
      </x:c>
      <x:c r="F28" s="40">
        <x:v>0</x:v>
      </x:c>
      <x:c r="G28" s="41">
        <x:v>2026</x:v>
      </x:c>
      <x:c r="H28" s="40">
        <x:v>3280</x:v>
      </x:c>
      <x:c r="I28" s="40">
        <x:v>3690</x:v>
      </x:c>
      <x:c r="J28" s="40">
        <x:v>4100</x:v>
      </x:c>
      <x:c r="K28" s="40">
        <x:v>4510</x:v>
      </x:c>
      <x:c r="L28" s="40">
        <x:v>4920</x:v>
      </x:c>
      <x:c r="M28" s="40">
        <x:v>4920</x:v>
      </x:c>
      <x:c r="N28" s="40">
        <x:v>5330</x:v>
      </x:c>
      <x:c r="O28" s="40">
        <x:v>4920</x:v>
      </x:c>
      <x:c r="P28" s="40">
        <x:v>5330</x:v>
      </x:c>
      <x:c r="Q28" s="40">
        <x:v>0</x:v>
      </x:c>
      <x:c r="R28" s="40">
        <x:v>0</x:v>
      </x:c>
      <x:c r="S28" s="40">
        <x:v>0</x:v>
      </x:c>
      <x:c r="T28" s="37" t="n">
        <x:f t="shared" si="0">IF($A28="","",SUM($H28:$S28))</x:f>
        <x:v>41000</x:v>
      </x:c>
    </x:row>
    <x:row r="29" ht="20.049999237060547" customHeight="1">
      <x:c r="A29" s="19"/>
      <x:c r="B29" s="6" t="str">
        <x:f>IF($A29="","",IFERROR(INDEX(INITIATIVES!$B$5:$B$54,MATCH($A29,INITIATIVES!$A$5:$A$54,0)),""))</x:f>
      </x:c>
      <x:c r="C29" s="19"/>
      <x:c r="D29" s="19"/>
      <x:c r="E29" s="40"/>
      <x:c r="F29" s="40"/>
      <x:c r="G29" s="41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37" t="str">
        <x:f t="shared" si="0">IF($A29="","",SUM($H29:$S29))</x:f>
      </x:c>
    </x:row>
    <x:row r="30" ht="20.049999237060547" customHeight="1">
      <x:c r="A30" s="19"/>
      <x:c r="B30" s="6" t="str">
        <x:f>IF($A30="","",IFERROR(INDEX(INITIATIVES!$B$5:$B$54,MATCH($A30,INITIATIVES!$A$5:$A$54,0)),""))</x:f>
      </x:c>
      <x:c r="C30" s="19"/>
      <x:c r="D30" s="19"/>
      <x:c r="E30" s="40"/>
      <x:c r="F30" s="40"/>
      <x:c r="G30" s="41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37" t="str">
        <x:f t="shared" si="0">IF($A30="","",SUM($H30:$S30))</x:f>
      </x:c>
    </x:row>
    <x:row r="31" ht="20.049999237060547" customHeight="1">
      <x:c r="A31" s="19"/>
      <x:c r="B31" s="6" t="str">
        <x:f>IF($A31="","",IFERROR(INDEX(INITIATIVES!$B$5:$B$54,MATCH($A31,INITIATIVES!$A$5:$A$54,0)),""))</x:f>
      </x:c>
      <x:c r="C31" s="19"/>
      <x:c r="D31" s="19"/>
      <x:c r="E31" s="40"/>
      <x:c r="F31" s="40"/>
      <x:c r="G31" s="41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37" t="str">
        <x:f t="shared" si="0">IF($A31="","",SUM($H31:$S31))</x:f>
      </x:c>
    </x:row>
    <x:row r="32" ht="20.049999237060547" customHeight="1">
      <x:c r="A32" s="19"/>
      <x:c r="B32" s="6" t="str">
        <x:f>IF($A32="","",IFERROR(INDEX(INITIATIVES!$B$5:$B$54,MATCH($A32,INITIATIVES!$A$5:$A$54,0)),""))</x:f>
      </x:c>
      <x:c r="C32" s="19"/>
      <x:c r="D32" s="19"/>
      <x:c r="E32" s="40"/>
      <x:c r="F32" s="40"/>
      <x:c r="G32" s="41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37" t="str">
        <x:f t="shared" si="0">IF($A32="","",SUM($H32:$S32))</x:f>
      </x:c>
    </x:row>
    <x:row r="33" ht="20.049999237060547" customHeight="1">
      <x:c r="A33" s="19"/>
      <x:c r="B33" s="6" t="str">
        <x:f>IF($A33="","",IFERROR(INDEX(INITIATIVES!$B$5:$B$54,MATCH($A33,INITIATIVES!$A$5:$A$54,0)),""))</x:f>
      </x:c>
      <x:c r="C33" s="19"/>
      <x:c r="D33" s="19"/>
      <x:c r="E33" s="40"/>
      <x:c r="F33" s="40"/>
      <x:c r="G33" s="41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37" t="str">
        <x:f t="shared" si="0">IF($A33="","",SUM($H33:$S33))</x:f>
      </x:c>
    </x:row>
    <x:row r="34" ht="20.049999237060547" customHeight="1">
      <x:c r="A34" s="19"/>
      <x:c r="B34" s="6" t="str">
        <x:f>IF($A34="","",IFERROR(INDEX(INITIATIVES!$B$5:$B$54,MATCH($A34,INITIATIVES!$A$5:$A$54,0)),""))</x:f>
      </x:c>
      <x:c r="C34" s="19"/>
      <x:c r="D34" s="19"/>
      <x:c r="E34" s="40"/>
      <x:c r="F34" s="40"/>
      <x:c r="G34" s="41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37" t="str">
        <x:f t="shared" si="0">IF($A34="","",SUM($H34:$S34))</x:f>
      </x:c>
    </x:row>
    <x:row r="35" ht="20.049999237060547" customHeight="1">
      <x:c r="A35" s="19"/>
      <x:c r="B35" s="6" t="str">
        <x:f>IF($A35="","",IFERROR(INDEX(INITIATIVES!$B$5:$B$54,MATCH($A35,INITIATIVES!$A$5:$A$54,0)),""))</x:f>
      </x:c>
      <x:c r="C35" s="19"/>
      <x:c r="D35" s="19"/>
      <x:c r="E35" s="40"/>
      <x:c r="F35" s="40"/>
      <x:c r="G35" s="41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37" t="str">
        <x:f t="shared" si="0">IF($A35="","",SUM($H35:$S35))</x:f>
      </x:c>
    </x:row>
    <x:row r="36" ht="20.049999237060547" customHeight="1">
      <x:c r="A36" s="19"/>
      <x:c r="B36" s="6" t="str">
        <x:f>IF($A36="","",IFERROR(INDEX(INITIATIVES!$B$5:$B$54,MATCH($A36,INITIATIVES!$A$5:$A$54,0)),""))</x:f>
      </x:c>
      <x:c r="C36" s="19"/>
      <x:c r="D36" s="19"/>
      <x:c r="E36" s="40"/>
      <x:c r="F36" s="40"/>
      <x:c r="G36" s="41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37" t="str">
        <x:f t="shared" si="0">IF($A36="","",SUM($H36:$S36))</x:f>
      </x:c>
    </x:row>
    <x:row r="37" ht="20.049999237060547" customHeight="1">
      <x:c r="A37" s="19"/>
      <x:c r="B37" s="6" t="str">
        <x:f>IF($A37="","",IFERROR(INDEX(INITIATIVES!$B$5:$B$54,MATCH($A37,INITIATIVES!$A$5:$A$54,0)),""))</x:f>
      </x:c>
      <x:c r="C37" s="19"/>
      <x:c r="D37" s="19"/>
      <x:c r="E37" s="40"/>
      <x:c r="F37" s="40"/>
      <x:c r="G37" s="41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37" t="str">
        <x:f t="shared" ref="T37:T68" si="1">IF($A37="","",SUM($H37:$S37))</x:f>
      </x:c>
    </x:row>
    <x:row r="38" ht="20.049999237060547" customHeight="1">
      <x:c r="A38" s="19"/>
      <x:c r="B38" s="6" t="str">
        <x:f>IF($A38="","",IFERROR(INDEX(INITIATIVES!$B$5:$B$54,MATCH($A38,INITIATIVES!$A$5:$A$54,0)),""))</x:f>
      </x:c>
      <x:c r="C38" s="19"/>
      <x:c r="D38" s="19"/>
      <x:c r="E38" s="40"/>
      <x:c r="F38" s="40"/>
      <x:c r="G38" s="41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37" t="str">
        <x:f t="shared" si="1">IF($A38="","",SUM($H38:$S38))</x:f>
      </x:c>
    </x:row>
    <x:row r="39" ht="20.049999237060547" customHeight="1">
      <x:c r="A39" s="19"/>
      <x:c r="B39" s="6" t="str">
        <x:f>IF($A39="","",IFERROR(INDEX(INITIATIVES!$B$5:$B$54,MATCH($A39,INITIATIVES!$A$5:$A$54,0)),""))</x:f>
      </x:c>
      <x:c r="C39" s="19"/>
      <x:c r="D39" s="19"/>
      <x:c r="E39" s="40"/>
      <x:c r="F39" s="40"/>
      <x:c r="G39" s="41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37" t="str">
        <x:f t="shared" si="1">IF($A39="","",SUM($H39:$S39))</x:f>
      </x:c>
    </x:row>
    <x:row r="40" ht="20.049999237060547" customHeight="1">
      <x:c r="A40" s="19"/>
      <x:c r="B40" s="6" t="str">
        <x:f>IF($A40="","",IFERROR(INDEX(INITIATIVES!$B$5:$B$54,MATCH($A40,INITIATIVES!$A$5:$A$54,0)),""))</x:f>
      </x:c>
      <x:c r="C40" s="19"/>
      <x:c r="D40" s="19"/>
      <x:c r="E40" s="40"/>
      <x:c r="F40" s="40"/>
      <x:c r="G40" s="41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37" t="str">
        <x:f t="shared" si="1">IF($A40="","",SUM($H40:$S40))</x:f>
      </x:c>
    </x:row>
    <x:row r="41" ht="20.049999237060547" customHeight="1">
      <x:c r="A41" s="19"/>
      <x:c r="B41" s="6" t="str">
        <x:f>IF($A41="","",IFERROR(INDEX(INITIATIVES!$B$5:$B$54,MATCH($A41,INITIATIVES!$A$5:$A$54,0)),""))</x:f>
      </x:c>
      <x:c r="C41" s="19"/>
      <x:c r="D41" s="19"/>
      <x:c r="E41" s="40"/>
      <x:c r="F41" s="40"/>
      <x:c r="G41" s="41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37" t="str">
        <x:f t="shared" si="1">IF($A41="","",SUM($H41:$S41))</x:f>
      </x:c>
    </x:row>
    <x:row r="42" ht="20.049999237060547" customHeight="1">
      <x:c r="A42" s="19"/>
      <x:c r="B42" s="6" t="str">
        <x:f>IF($A42="","",IFERROR(INDEX(INITIATIVES!$B$5:$B$54,MATCH($A42,INITIATIVES!$A$5:$A$54,0)),""))</x:f>
      </x:c>
      <x:c r="C42" s="19"/>
      <x:c r="D42" s="19"/>
      <x:c r="E42" s="40"/>
      <x:c r="F42" s="40"/>
      <x:c r="G42" s="41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37" t="str">
        <x:f t="shared" si="1">IF($A42="","",SUM($H42:$S42))</x:f>
      </x:c>
    </x:row>
    <x:row r="43" ht="20.049999237060547" customHeight="1">
      <x:c r="A43" s="19"/>
      <x:c r="B43" s="6" t="str">
        <x:f>IF($A43="","",IFERROR(INDEX(INITIATIVES!$B$5:$B$54,MATCH($A43,INITIATIVES!$A$5:$A$54,0)),""))</x:f>
      </x:c>
      <x:c r="C43" s="19"/>
      <x:c r="D43" s="19"/>
      <x:c r="E43" s="40"/>
      <x:c r="F43" s="40"/>
      <x:c r="G43" s="41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37" t="str">
        <x:f t="shared" si="1">IF($A43="","",SUM($H43:$S43))</x:f>
      </x:c>
    </x:row>
    <x:row r="44" ht="20.049999237060547" customHeight="1">
      <x:c r="A44" s="19"/>
      <x:c r="B44" s="6" t="str">
        <x:f>IF($A44="","",IFERROR(INDEX(INITIATIVES!$B$5:$B$54,MATCH($A44,INITIATIVES!$A$5:$A$54,0)),""))</x:f>
      </x:c>
      <x:c r="C44" s="19"/>
      <x:c r="D44" s="19"/>
      <x:c r="E44" s="40"/>
      <x:c r="F44" s="40"/>
      <x:c r="G44" s="41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37" t="str">
        <x:f t="shared" si="1">IF($A44="","",SUM($H44:$S44))</x:f>
      </x:c>
    </x:row>
    <x:row r="45" ht="20.049999237060547" customHeight="1">
      <x:c r="A45" s="19"/>
      <x:c r="B45" s="6" t="str">
        <x:f>IF($A45="","",IFERROR(INDEX(INITIATIVES!$B$5:$B$54,MATCH($A45,INITIATIVES!$A$5:$A$54,0)),""))</x:f>
      </x:c>
      <x:c r="C45" s="19"/>
      <x:c r="D45" s="19"/>
      <x:c r="E45" s="40"/>
      <x:c r="F45" s="40"/>
      <x:c r="G45" s="41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37" t="str">
        <x:f t="shared" si="1">IF($A45="","",SUM($H45:$S45))</x:f>
      </x:c>
    </x:row>
    <x:row r="46" ht="20.049999237060547" customHeight="1">
      <x:c r="A46" s="19"/>
      <x:c r="B46" s="6" t="str">
        <x:f>IF($A46="","",IFERROR(INDEX(INITIATIVES!$B$5:$B$54,MATCH($A46,INITIATIVES!$A$5:$A$54,0)),""))</x:f>
      </x:c>
      <x:c r="C46" s="19"/>
      <x:c r="D46" s="19"/>
      <x:c r="E46" s="40"/>
      <x:c r="F46" s="40"/>
      <x:c r="G46" s="41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37" t="str">
        <x:f t="shared" si="1">IF($A46="","",SUM($H46:$S46))</x:f>
      </x:c>
    </x:row>
    <x:row r="47" ht="20.049999237060547" customHeight="1">
      <x:c r="A47" s="19"/>
      <x:c r="B47" s="6" t="str">
        <x:f>IF($A47="","",IFERROR(INDEX(INITIATIVES!$B$5:$B$54,MATCH($A47,INITIATIVES!$A$5:$A$54,0)),""))</x:f>
      </x:c>
      <x:c r="C47" s="19"/>
      <x:c r="D47" s="19"/>
      <x:c r="E47" s="40"/>
      <x:c r="F47" s="40"/>
      <x:c r="G47" s="41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37" t="str">
        <x:f t="shared" si="1">IF($A47="","",SUM($H47:$S47))</x:f>
      </x:c>
    </x:row>
    <x:row r="48" ht="20.049999237060547" customHeight="1">
      <x:c r="A48" s="19"/>
      <x:c r="B48" s="6" t="str">
        <x:f>IF($A48="","",IFERROR(INDEX(INITIATIVES!$B$5:$B$54,MATCH($A48,INITIATIVES!$A$5:$A$54,0)),""))</x:f>
      </x:c>
      <x:c r="C48" s="19"/>
      <x:c r="D48" s="19"/>
      <x:c r="E48" s="40"/>
      <x:c r="F48" s="40"/>
      <x:c r="G48" s="41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37" t="str">
        <x:f t="shared" si="1">IF($A48="","",SUM($H48:$S48))</x:f>
      </x:c>
    </x:row>
    <x:row r="49" ht="20.049999237060547" customHeight="1">
      <x:c r="A49" s="19"/>
      <x:c r="B49" s="6" t="str">
        <x:f>IF($A49="","",IFERROR(INDEX(INITIATIVES!$B$5:$B$54,MATCH($A49,INITIATIVES!$A$5:$A$54,0)),""))</x:f>
      </x:c>
      <x:c r="C49" s="19"/>
      <x:c r="D49" s="19"/>
      <x:c r="E49" s="40"/>
      <x:c r="F49" s="40"/>
      <x:c r="G49" s="41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37" t="str">
        <x:f t="shared" si="1">IF($A49="","",SUM($H49:$S49))</x:f>
      </x:c>
    </x:row>
    <x:row r="50" ht="20.049999237060547" customHeight="1">
      <x:c r="A50" s="19"/>
      <x:c r="B50" s="6" t="str">
        <x:f>IF($A50="","",IFERROR(INDEX(INITIATIVES!$B$5:$B$54,MATCH($A50,INITIATIVES!$A$5:$A$54,0)),""))</x:f>
      </x:c>
      <x:c r="C50" s="19"/>
      <x:c r="D50" s="19"/>
      <x:c r="E50" s="40"/>
      <x:c r="F50" s="40"/>
      <x:c r="G50" s="41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37" t="str">
        <x:f t="shared" si="1">IF($A50="","",SUM($H50:$S50))</x:f>
      </x:c>
    </x:row>
    <x:row r="51" ht="20.049999237060547" customHeight="1">
      <x:c r="A51" s="19"/>
      <x:c r="B51" s="6" t="str">
        <x:f>IF($A51="","",IFERROR(INDEX(INITIATIVES!$B$5:$B$54,MATCH($A51,INITIATIVES!$A$5:$A$54,0)),""))</x:f>
      </x:c>
      <x:c r="C51" s="19"/>
      <x:c r="D51" s="19"/>
      <x:c r="E51" s="40"/>
      <x:c r="F51" s="40"/>
      <x:c r="G51" s="41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37" t="str">
        <x:f t="shared" si="1">IF($A51="","",SUM($H51:$S51))</x:f>
      </x:c>
    </x:row>
    <x:row r="52" ht="20.049999237060547" customHeight="1">
      <x:c r="A52" s="19"/>
      <x:c r="B52" s="6" t="str">
        <x:f>IF($A52="","",IFERROR(INDEX(INITIATIVES!$B$5:$B$54,MATCH($A52,INITIATIVES!$A$5:$A$54,0)),""))</x:f>
      </x:c>
      <x:c r="C52" s="19"/>
      <x:c r="D52" s="19"/>
      <x:c r="E52" s="40"/>
      <x:c r="F52" s="40"/>
      <x:c r="G52" s="41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37" t="str">
        <x:f t="shared" si="1">IF($A52="","",SUM($H52:$S52))</x:f>
      </x:c>
    </x:row>
    <x:row r="53" ht="20.049999237060547" customHeight="1">
      <x:c r="A53" s="19"/>
      <x:c r="B53" s="6" t="str">
        <x:f>IF($A53="","",IFERROR(INDEX(INITIATIVES!$B$5:$B$54,MATCH($A53,INITIATIVES!$A$5:$A$54,0)),""))</x:f>
      </x:c>
      <x:c r="C53" s="19"/>
      <x:c r="D53" s="19"/>
      <x:c r="E53" s="40"/>
      <x:c r="F53" s="40"/>
      <x:c r="G53" s="41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37" t="str">
        <x:f t="shared" si="1">IF($A53="","",SUM($H53:$S53))</x:f>
      </x:c>
    </x:row>
    <x:row r="54" ht="20.049999237060547" customHeight="1">
      <x:c r="A54" s="19"/>
      <x:c r="B54" s="6" t="str">
        <x:f>IF($A54="","",IFERROR(INDEX(INITIATIVES!$B$5:$B$54,MATCH($A54,INITIATIVES!$A$5:$A$54,0)),""))</x:f>
      </x:c>
      <x:c r="C54" s="19"/>
      <x:c r="D54" s="19"/>
      <x:c r="E54" s="40"/>
      <x:c r="F54" s="40"/>
      <x:c r="G54" s="41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37" t="str">
        <x:f t="shared" si="1">IF($A54="","",SUM($H54:$S54))</x:f>
      </x:c>
    </x:row>
    <x:row r="55" ht="20.049999237060547" customHeight="1">
      <x:c r="A55" s="19"/>
      <x:c r="B55" s="6" t="str">
        <x:f>IF($A55="","",IFERROR(INDEX(INITIATIVES!$B$5:$B$54,MATCH($A55,INITIATIVES!$A$5:$A$54,0)),""))</x:f>
      </x:c>
      <x:c r="C55" s="19"/>
      <x:c r="D55" s="19"/>
      <x:c r="E55" s="40"/>
      <x:c r="F55" s="40"/>
      <x:c r="G55" s="41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37" t="str">
        <x:f t="shared" si="1">IF($A55="","",SUM($H55:$S55))</x:f>
      </x:c>
    </x:row>
    <x:row r="56" ht="20.049999237060547" customHeight="1">
      <x:c r="A56" s="19"/>
      <x:c r="B56" s="6" t="str">
        <x:f>IF($A56="","",IFERROR(INDEX(INITIATIVES!$B$5:$B$54,MATCH($A56,INITIATIVES!$A$5:$A$54,0)),""))</x:f>
      </x:c>
      <x:c r="C56" s="19"/>
      <x:c r="D56" s="19"/>
      <x:c r="E56" s="40"/>
      <x:c r="F56" s="40"/>
      <x:c r="G56" s="41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37" t="str">
        <x:f t="shared" si="1">IF($A56="","",SUM($H56:$S56))</x:f>
      </x:c>
    </x:row>
    <x:row r="57" ht="20.049999237060547" customHeight="1">
      <x:c r="A57" s="19"/>
      <x:c r="B57" s="6" t="str">
        <x:f>IF($A57="","",IFERROR(INDEX(INITIATIVES!$B$5:$B$54,MATCH($A57,INITIATIVES!$A$5:$A$54,0)),""))</x:f>
      </x:c>
      <x:c r="C57" s="19"/>
      <x:c r="D57" s="19"/>
      <x:c r="E57" s="40"/>
      <x:c r="F57" s="40"/>
      <x:c r="G57" s="41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37" t="str">
        <x:f t="shared" si="1">IF($A57="","",SUM($H57:$S57))</x:f>
      </x:c>
    </x:row>
    <x:row r="58" ht="20.049999237060547" customHeight="1">
      <x:c r="A58" s="19"/>
      <x:c r="B58" s="6" t="str">
        <x:f>IF($A58="","",IFERROR(INDEX(INITIATIVES!$B$5:$B$54,MATCH($A58,INITIATIVES!$A$5:$A$54,0)),""))</x:f>
      </x:c>
      <x:c r="C58" s="19"/>
      <x:c r="D58" s="19"/>
      <x:c r="E58" s="40"/>
      <x:c r="F58" s="40"/>
      <x:c r="G58" s="41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37" t="str">
        <x:f t="shared" si="1">IF($A58="","",SUM($H58:$S58))</x:f>
      </x:c>
    </x:row>
    <x:row r="59" ht="20.049999237060547" customHeight="1">
      <x:c r="A59" s="19"/>
      <x:c r="B59" s="6" t="str">
        <x:f>IF($A59="","",IFERROR(INDEX(INITIATIVES!$B$5:$B$54,MATCH($A59,INITIATIVES!$A$5:$A$54,0)),""))</x:f>
      </x:c>
      <x:c r="C59" s="19"/>
      <x:c r="D59" s="19"/>
      <x:c r="E59" s="40"/>
      <x:c r="F59" s="40"/>
      <x:c r="G59" s="41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37" t="str">
        <x:f t="shared" si="1">IF($A59="","",SUM($H59:$S59))</x:f>
      </x:c>
    </x:row>
    <x:row r="60" ht="20.049999237060547" customHeight="1">
      <x:c r="A60" s="19"/>
      <x:c r="B60" s="6" t="str">
        <x:f>IF($A60="","",IFERROR(INDEX(INITIATIVES!$B$5:$B$54,MATCH($A60,INITIATIVES!$A$5:$A$54,0)),""))</x:f>
      </x:c>
      <x:c r="C60" s="19"/>
      <x:c r="D60" s="19"/>
      <x:c r="E60" s="40"/>
      <x:c r="F60" s="40"/>
      <x:c r="G60" s="41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37" t="str">
        <x:f t="shared" si="1">IF($A60="","",SUM($H60:$S60))</x:f>
      </x:c>
    </x:row>
    <x:row r="61" ht="20.049999237060547" customHeight="1">
      <x:c r="A61" s="19"/>
      <x:c r="B61" s="6" t="str">
        <x:f>IF($A61="","",IFERROR(INDEX(INITIATIVES!$B$5:$B$54,MATCH($A61,INITIATIVES!$A$5:$A$54,0)),""))</x:f>
      </x:c>
      <x:c r="C61" s="19"/>
      <x:c r="D61" s="19"/>
      <x:c r="E61" s="40"/>
      <x:c r="F61" s="40"/>
      <x:c r="G61" s="41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37" t="str">
        <x:f t="shared" si="1">IF($A61="","",SUM($H61:$S61))</x:f>
      </x:c>
    </x:row>
    <x:row r="62" ht="20.049999237060547" customHeight="1">
      <x:c r="A62" s="19"/>
      <x:c r="B62" s="6" t="str">
        <x:f>IF($A62="","",IFERROR(INDEX(INITIATIVES!$B$5:$B$54,MATCH($A62,INITIATIVES!$A$5:$A$54,0)),""))</x:f>
      </x:c>
      <x:c r="C62" s="19"/>
      <x:c r="D62" s="19"/>
      <x:c r="E62" s="40"/>
      <x:c r="F62" s="40"/>
      <x:c r="G62" s="41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37" t="str">
        <x:f t="shared" si="1">IF($A62="","",SUM($H62:$S62))</x:f>
      </x:c>
    </x:row>
    <x:row r="63" ht="20.049999237060547" customHeight="1">
      <x:c r="A63" s="19"/>
      <x:c r="B63" s="6" t="str">
        <x:f>IF($A63="","",IFERROR(INDEX(INITIATIVES!$B$5:$B$54,MATCH($A63,INITIATIVES!$A$5:$A$54,0)),""))</x:f>
      </x:c>
      <x:c r="C63" s="19"/>
      <x:c r="D63" s="19"/>
      <x:c r="E63" s="40"/>
      <x:c r="F63" s="40"/>
      <x:c r="G63" s="41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37" t="str">
        <x:f t="shared" si="1">IF($A63="","",SUM($H63:$S63))</x:f>
      </x:c>
    </x:row>
    <x:row r="64" ht="20.049999237060547" customHeight="1">
      <x:c r="A64" s="19"/>
      <x:c r="B64" s="6" t="str">
        <x:f>IF($A64="","",IFERROR(INDEX(INITIATIVES!$B$5:$B$54,MATCH($A64,INITIATIVES!$A$5:$A$54,0)),""))</x:f>
      </x:c>
      <x:c r="C64" s="19"/>
      <x:c r="D64" s="19"/>
      <x:c r="E64" s="40"/>
      <x:c r="F64" s="40"/>
      <x:c r="G64" s="41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37" t="str">
        <x:f t="shared" si="1">IF($A64="","",SUM($H64:$S64))</x:f>
      </x:c>
    </x:row>
    <x:row r="65" ht="20.049999237060547" customHeight="1">
      <x:c r="A65" s="19"/>
      <x:c r="B65" s="6" t="str">
        <x:f>IF($A65="","",IFERROR(INDEX(INITIATIVES!$B$5:$B$54,MATCH($A65,INITIATIVES!$A$5:$A$54,0)),""))</x:f>
      </x:c>
      <x:c r="C65" s="19"/>
      <x:c r="D65" s="19"/>
      <x:c r="E65" s="40"/>
      <x:c r="F65" s="40"/>
      <x:c r="G65" s="41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37" t="str">
        <x:f t="shared" si="1">IF($A65="","",SUM($H65:$S65))</x:f>
      </x:c>
    </x:row>
    <x:row r="66" ht="20.049999237060547" customHeight="1">
      <x:c r="A66" s="19"/>
      <x:c r="B66" s="6" t="str">
        <x:f>IF($A66="","",IFERROR(INDEX(INITIATIVES!$B$5:$B$54,MATCH($A66,INITIATIVES!$A$5:$A$54,0)),""))</x:f>
      </x:c>
      <x:c r="C66" s="19"/>
      <x:c r="D66" s="19"/>
      <x:c r="E66" s="40"/>
      <x:c r="F66" s="40"/>
      <x:c r="G66" s="41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37" t="str">
        <x:f t="shared" si="1">IF($A66="","",SUM($H66:$S66))</x:f>
      </x:c>
    </x:row>
    <x:row r="67" ht="20.049999237060547" customHeight="1">
      <x:c r="A67" s="19"/>
      <x:c r="B67" s="6" t="str">
        <x:f>IF($A67="","",IFERROR(INDEX(INITIATIVES!$B$5:$B$54,MATCH($A67,INITIATIVES!$A$5:$A$54,0)),""))</x:f>
      </x:c>
      <x:c r="C67" s="19"/>
      <x:c r="D67" s="19"/>
      <x:c r="E67" s="40"/>
      <x:c r="F67" s="40"/>
      <x:c r="G67" s="41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37" t="str">
        <x:f t="shared" si="1">IF($A67="","",SUM($H67:$S67))</x:f>
      </x:c>
    </x:row>
    <x:row r="68" ht="20.049999237060547" customHeight="1">
      <x:c r="A68" s="19"/>
      <x:c r="B68" s="6" t="str">
        <x:f>IF($A68="","",IFERROR(INDEX(INITIATIVES!$B$5:$B$54,MATCH($A68,INITIATIVES!$A$5:$A$54,0)),""))</x:f>
      </x:c>
      <x:c r="C68" s="19"/>
      <x:c r="D68" s="19"/>
      <x:c r="E68" s="40"/>
      <x:c r="F68" s="40"/>
      <x:c r="G68" s="41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37" t="str">
        <x:f t="shared" si="1">IF($A68="","",SUM($H68:$S68))</x:f>
      </x:c>
    </x:row>
    <x:row r="69" ht="20.049999237060547" customHeight="1">
      <x:c r="A69" s="19"/>
      <x:c r="B69" s="6" t="str">
        <x:f>IF($A69="","",IFERROR(INDEX(INITIATIVES!$B$5:$B$54,MATCH($A69,INITIATIVES!$A$5:$A$54,0)),""))</x:f>
      </x:c>
      <x:c r="C69" s="19"/>
      <x:c r="D69" s="19"/>
      <x:c r="E69" s="40"/>
      <x:c r="F69" s="40"/>
      <x:c r="G69" s="41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37" t="str">
        <x:f t="shared" ref="T69:T104" si="2">IF($A69="","",SUM($H69:$S69))</x:f>
      </x:c>
    </x:row>
    <x:row r="70" ht="20.049999237060547" customHeight="1">
      <x:c r="A70" s="19"/>
      <x:c r="B70" s="6" t="str">
        <x:f>IF($A70="","",IFERROR(INDEX(INITIATIVES!$B$5:$B$54,MATCH($A70,INITIATIVES!$A$5:$A$54,0)),""))</x:f>
      </x:c>
      <x:c r="C70" s="19"/>
      <x:c r="D70" s="19"/>
      <x:c r="E70" s="40"/>
      <x:c r="F70" s="40"/>
      <x:c r="G70" s="41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37" t="str">
        <x:f t="shared" si="2">IF($A70="","",SUM($H70:$S70))</x:f>
      </x:c>
    </x:row>
    <x:row r="71" ht="20.049999237060547" customHeight="1">
      <x:c r="A71" s="19"/>
      <x:c r="B71" s="6" t="str">
        <x:f>IF($A71="","",IFERROR(INDEX(INITIATIVES!$B$5:$B$54,MATCH($A71,INITIATIVES!$A$5:$A$54,0)),""))</x:f>
      </x:c>
      <x:c r="C71" s="19"/>
      <x:c r="D71" s="19"/>
      <x:c r="E71" s="40"/>
      <x:c r="F71" s="40"/>
      <x:c r="G71" s="41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37" t="str">
        <x:f t="shared" si="2">IF($A71="","",SUM($H71:$S71))</x:f>
      </x:c>
    </x:row>
    <x:row r="72" ht="20.049999237060547" customHeight="1">
      <x:c r="A72" s="19"/>
      <x:c r="B72" s="6" t="str">
        <x:f>IF($A72="","",IFERROR(INDEX(INITIATIVES!$B$5:$B$54,MATCH($A72,INITIATIVES!$A$5:$A$54,0)),""))</x:f>
      </x:c>
      <x:c r="C72" s="19"/>
      <x:c r="D72" s="19"/>
      <x:c r="E72" s="40"/>
      <x:c r="F72" s="40"/>
      <x:c r="G72" s="41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37" t="str">
        <x:f t="shared" si="2">IF($A72="","",SUM($H72:$S72))</x:f>
      </x:c>
    </x:row>
    <x:row r="73" ht="20.049999237060547" customHeight="1">
      <x:c r="A73" s="19"/>
      <x:c r="B73" s="6" t="str">
        <x:f>IF($A73="","",IFERROR(INDEX(INITIATIVES!$B$5:$B$54,MATCH($A73,INITIATIVES!$A$5:$A$54,0)),""))</x:f>
      </x:c>
      <x:c r="C73" s="19"/>
      <x:c r="D73" s="19"/>
      <x:c r="E73" s="40"/>
      <x:c r="F73" s="40"/>
      <x:c r="G73" s="41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37" t="str">
        <x:f t="shared" si="2">IF($A73="","",SUM($H73:$S73))</x:f>
      </x:c>
    </x:row>
    <x:row r="74" ht="20.049999237060547" customHeight="1">
      <x:c r="A74" s="19"/>
      <x:c r="B74" s="6" t="str">
        <x:f>IF($A74="","",IFERROR(INDEX(INITIATIVES!$B$5:$B$54,MATCH($A74,INITIATIVES!$A$5:$A$54,0)),""))</x:f>
      </x:c>
      <x:c r="C74" s="19"/>
      <x:c r="D74" s="19"/>
      <x:c r="E74" s="40"/>
      <x:c r="F74" s="40"/>
      <x:c r="G74" s="41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37" t="str">
        <x:f t="shared" si="2">IF($A74="","",SUM($H74:$S74))</x:f>
      </x:c>
    </x:row>
    <x:row r="75" ht="20.049999237060547" customHeight="1">
      <x:c r="A75" s="19"/>
      <x:c r="B75" s="6" t="str">
        <x:f>IF($A75="","",IFERROR(INDEX(INITIATIVES!$B$5:$B$54,MATCH($A75,INITIATIVES!$A$5:$A$54,0)),""))</x:f>
      </x:c>
      <x:c r="C75" s="19"/>
      <x:c r="D75" s="19"/>
      <x:c r="E75" s="40"/>
      <x:c r="F75" s="40"/>
      <x:c r="G75" s="41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37" t="str">
        <x:f t="shared" si="2">IF($A75="","",SUM($H75:$S75))</x:f>
      </x:c>
    </x:row>
    <x:row r="76" ht="20.049999237060547" customHeight="1">
      <x:c r="A76" s="19"/>
      <x:c r="B76" s="6" t="str">
        <x:f>IF($A76="","",IFERROR(INDEX(INITIATIVES!$B$5:$B$54,MATCH($A76,INITIATIVES!$A$5:$A$54,0)),""))</x:f>
      </x:c>
      <x:c r="C76" s="19"/>
      <x:c r="D76" s="19"/>
      <x:c r="E76" s="40"/>
      <x:c r="F76" s="40"/>
      <x:c r="G76" s="41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37" t="str">
        <x:f t="shared" si="2">IF($A76="","",SUM($H76:$S76))</x:f>
      </x:c>
    </x:row>
    <x:row r="77" ht="20.049999237060547" customHeight="1">
      <x:c r="A77" s="19"/>
      <x:c r="B77" s="6" t="str">
        <x:f>IF($A77="","",IFERROR(INDEX(INITIATIVES!$B$5:$B$54,MATCH($A77,INITIATIVES!$A$5:$A$54,0)),""))</x:f>
      </x:c>
      <x:c r="C77" s="19"/>
      <x:c r="D77" s="19"/>
      <x:c r="E77" s="40"/>
      <x:c r="F77" s="40"/>
      <x:c r="G77" s="41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37" t="str">
        <x:f t="shared" si="2">IF($A77="","",SUM($H77:$S77))</x:f>
      </x:c>
    </x:row>
    <x:row r="78" ht="20.049999237060547" customHeight="1">
      <x:c r="A78" s="19"/>
      <x:c r="B78" s="6" t="str">
        <x:f>IF($A78="","",IFERROR(INDEX(INITIATIVES!$B$5:$B$54,MATCH($A78,INITIATIVES!$A$5:$A$54,0)),""))</x:f>
      </x:c>
      <x:c r="C78" s="19"/>
      <x:c r="D78" s="19"/>
      <x:c r="E78" s="40"/>
      <x:c r="F78" s="40"/>
      <x:c r="G78" s="41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37" t="str">
        <x:f t="shared" si="2">IF($A78="","",SUM($H78:$S78))</x:f>
      </x:c>
    </x:row>
    <x:row r="79" ht="20.049999237060547" customHeight="1">
      <x:c r="A79" s="19"/>
      <x:c r="B79" s="6" t="str">
        <x:f>IF($A79="","",IFERROR(INDEX(INITIATIVES!$B$5:$B$54,MATCH($A79,INITIATIVES!$A$5:$A$54,0)),""))</x:f>
      </x:c>
      <x:c r="C79" s="19"/>
      <x:c r="D79" s="19"/>
      <x:c r="E79" s="40"/>
      <x:c r="F79" s="40"/>
      <x:c r="G79" s="41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37" t="str">
        <x:f t="shared" si="2">IF($A79="","",SUM($H79:$S79))</x:f>
      </x:c>
    </x:row>
    <x:row r="80" ht="20.049999237060547" customHeight="1">
      <x:c r="A80" s="19"/>
      <x:c r="B80" s="6" t="str">
        <x:f>IF($A80="","",IFERROR(INDEX(INITIATIVES!$B$5:$B$54,MATCH($A80,INITIATIVES!$A$5:$A$54,0)),""))</x:f>
      </x:c>
      <x:c r="C80" s="19"/>
      <x:c r="D80" s="19"/>
      <x:c r="E80" s="40"/>
      <x:c r="F80" s="40"/>
      <x:c r="G80" s="41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37" t="str">
        <x:f t="shared" si="2">IF($A80="","",SUM($H80:$S80))</x:f>
      </x:c>
    </x:row>
    <x:row r="81" ht="20.049999237060547" customHeight="1">
      <x:c r="A81" s="19"/>
      <x:c r="B81" s="6" t="str">
        <x:f>IF($A81="","",IFERROR(INDEX(INITIATIVES!$B$5:$B$54,MATCH($A81,INITIATIVES!$A$5:$A$54,0)),""))</x:f>
      </x:c>
      <x:c r="C81" s="19"/>
      <x:c r="D81" s="19"/>
      <x:c r="E81" s="40"/>
      <x:c r="F81" s="40"/>
      <x:c r="G81" s="41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37" t="str">
        <x:f t="shared" si="2">IF($A81="","",SUM($H81:$S81))</x:f>
      </x:c>
    </x:row>
    <x:row r="82" ht="20.049999237060547" customHeight="1">
      <x:c r="A82" s="19"/>
      <x:c r="B82" s="6" t="str">
        <x:f>IF($A82="","",IFERROR(INDEX(INITIATIVES!$B$5:$B$54,MATCH($A82,INITIATIVES!$A$5:$A$54,0)),""))</x:f>
      </x:c>
      <x:c r="C82" s="19"/>
      <x:c r="D82" s="19"/>
      <x:c r="E82" s="40"/>
      <x:c r="F82" s="40"/>
      <x:c r="G82" s="41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37" t="str">
        <x:f t="shared" si="2">IF($A82="","",SUM($H82:$S82))</x:f>
      </x:c>
    </x:row>
    <x:row r="83" ht="20.049999237060547" customHeight="1">
      <x:c r="A83" s="19"/>
      <x:c r="B83" s="6" t="str">
        <x:f>IF($A83="","",IFERROR(INDEX(INITIATIVES!$B$5:$B$54,MATCH($A83,INITIATIVES!$A$5:$A$54,0)),""))</x:f>
      </x:c>
      <x:c r="C83" s="19"/>
      <x:c r="D83" s="19"/>
      <x:c r="E83" s="40"/>
      <x:c r="F83" s="40"/>
      <x:c r="G83" s="41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37" t="str">
        <x:f t="shared" si="2">IF($A83="","",SUM($H83:$S83))</x:f>
      </x:c>
    </x:row>
    <x:row r="84" ht="20.049999237060547" customHeight="1">
      <x:c r="A84" s="19"/>
      <x:c r="B84" s="6" t="str">
        <x:f>IF($A84="","",IFERROR(INDEX(INITIATIVES!$B$5:$B$54,MATCH($A84,INITIATIVES!$A$5:$A$54,0)),""))</x:f>
      </x:c>
      <x:c r="C84" s="19"/>
      <x:c r="D84" s="19"/>
      <x:c r="E84" s="40"/>
      <x:c r="F84" s="40"/>
      <x:c r="G84" s="41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37" t="str">
        <x:f t="shared" si="2">IF($A84="","",SUM($H84:$S84))</x:f>
      </x:c>
    </x:row>
    <x:row r="85" ht="20.049999237060547" customHeight="1">
      <x:c r="A85" s="19"/>
      <x:c r="B85" s="6" t="str">
        <x:f>IF($A85="","",IFERROR(INDEX(INITIATIVES!$B$5:$B$54,MATCH($A85,INITIATIVES!$A$5:$A$54,0)),""))</x:f>
      </x:c>
      <x:c r="C85" s="19"/>
      <x:c r="D85" s="19"/>
      <x:c r="E85" s="40"/>
      <x:c r="F85" s="40"/>
      <x:c r="G85" s="41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37" t="str">
        <x:f t="shared" si="2">IF($A85="","",SUM($H85:$S85))</x:f>
      </x:c>
    </x:row>
    <x:row r="86" ht="20.049999237060547" customHeight="1">
      <x:c r="A86" s="19"/>
      <x:c r="B86" s="6" t="str">
        <x:f>IF($A86="","",IFERROR(INDEX(INITIATIVES!$B$5:$B$54,MATCH($A86,INITIATIVES!$A$5:$A$54,0)),""))</x:f>
      </x:c>
      <x:c r="C86" s="19"/>
      <x:c r="D86" s="19"/>
      <x:c r="E86" s="40"/>
      <x:c r="F86" s="40"/>
      <x:c r="G86" s="41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37" t="str">
        <x:f t="shared" si="2">IF($A86="","",SUM($H86:$S86))</x:f>
      </x:c>
    </x:row>
    <x:row r="87" ht="20.049999237060547" customHeight="1">
      <x:c r="A87" s="19"/>
      <x:c r="B87" s="6" t="str">
        <x:f>IF($A87="","",IFERROR(INDEX(INITIATIVES!$B$5:$B$54,MATCH($A87,INITIATIVES!$A$5:$A$54,0)),""))</x:f>
      </x:c>
      <x:c r="C87" s="19"/>
      <x:c r="D87" s="19"/>
      <x:c r="E87" s="40"/>
      <x:c r="F87" s="40"/>
      <x:c r="G87" s="41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37" t="str">
        <x:f t="shared" si="2">IF($A87="","",SUM($H87:$S87))</x:f>
      </x:c>
    </x:row>
    <x:row r="88" ht="20.049999237060547" customHeight="1">
      <x:c r="A88" s="19"/>
      <x:c r="B88" s="6" t="str">
        <x:f>IF($A88="","",IFERROR(INDEX(INITIATIVES!$B$5:$B$54,MATCH($A88,INITIATIVES!$A$5:$A$54,0)),""))</x:f>
      </x:c>
      <x:c r="C88" s="19"/>
      <x:c r="D88" s="19"/>
      <x:c r="E88" s="40"/>
      <x:c r="F88" s="40"/>
      <x:c r="G88" s="41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37" t="str">
        <x:f t="shared" si="2">IF($A88="","",SUM($H88:$S88))</x:f>
      </x:c>
    </x:row>
    <x:row r="89" ht="20.049999237060547" customHeight="1">
      <x:c r="A89" s="19"/>
      <x:c r="B89" s="6" t="str">
        <x:f>IF($A89="","",IFERROR(INDEX(INITIATIVES!$B$5:$B$54,MATCH($A89,INITIATIVES!$A$5:$A$54,0)),""))</x:f>
      </x:c>
      <x:c r="C89" s="19"/>
      <x:c r="D89" s="19"/>
      <x:c r="E89" s="40"/>
      <x:c r="F89" s="40"/>
      <x:c r="G89" s="41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37" t="str">
        <x:f t="shared" si="2">IF($A89="","",SUM($H89:$S89))</x:f>
      </x:c>
    </x:row>
    <x:row r="90" ht="20.049999237060547" customHeight="1">
      <x:c r="A90" s="19"/>
      <x:c r="B90" s="6" t="str">
        <x:f>IF($A90="","",IFERROR(INDEX(INITIATIVES!$B$5:$B$54,MATCH($A90,INITIATIVES!$A$5:$A$54,0)),""))</x:f>
      </x:c>
      <x:c r="C90" s="19"/>
      <x:c r="D90" s="19"/>
      <x:c r="E90" s="40"/>
      <x:c r="F90" s="40"/>
      <x:c r="G90" s="41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37" t="str">
        <x:f t="shared" si="2">IF($A90="","",SUM($H90:$S90))</x:f>
      </x:c>
    </x:row>
    <x:row r="91" ht="20.049999237060547" customHeight="1">
      <x:c r="A91" s="19"/>
      <x:c r="B91" s="6" t="str">
        <x:f>IF($A91="","",IFERROR(INDEX(INITIATIVES!$B$5:$B$54,MATCH($A91,INITIATIVES!$A$5:$A$54,0)),""))</x:f>
      </x:c>
      <x:c r="C91" s="19"/>
      <x:c r="D91" s="19"/>
      <x:c r="E91" s="40"/>
      <x:c r="F91" s="40"/>
      <x:c r="G91" s="41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37" t="str">
        <x:f t="shared" si="2">IF($A91="","",SUM($H91:$S91))</x:f>
      </x:c>
    </x:row>
    <x:row r="92" ht="20.049999237060547" customHeight="1">
      <x:c r="A92" s="19"/>
      <x:c r="B92" s="6" t="str">
        <x:f>IF($A92="","",IFERROR(INDEX(INITIATIVES!$B$5:$B$54,MATCH($A92,INITIATIVES!$A$5:$A$54,0)),""))</x:f>
      </x:c>
      <x:c r="C92" s="19"/>
      <x:c r="D92" s="19"/>
      <x:c r="E92" s="40"/>
      <x:c r="F92" s="40"/>
      <x:c r="G92" s="41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37" t="str">
        <x:f t="shared" si="2">IF($A92="","",SUM($H92:$S92))</x:f>
      </x:c>
    </x:row>
    <x:row r="93" ht="20.049999237060547" customHeight="1">
      <x:c r="A93" s="19"/>
      <x:c r="B93" s="6" t="str">
        <x:f>IF($A93="","",IFERROR(INDEX(INITIATIVES!$B$5:$B$54,MATCH($A93,INITIATIVES!$A$5:$A$54,0)),""))</x:f>
      </x:c>
      <x:c r="C93" s="19"/>
      <x:c r="D93" s="19"/>
      <x:c r="E93" s="40"/>
      <x:c r="F93" s="40"/>
      <x:c r="G93" s="41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37" t="str">
        <x:f t="shared" si="2">IF($A93="","",SUM($H93:$S93))</x:f>
      </x:c>
    </x:row>
    <x:row r="94" ht="20.049999237060547" customHeight="1">
      <x:c r="A94" s="19"/>
      <x:c r="B94" s="6" t="str">
        <x:f>IF($A94="","",IFERROR(INDEX(INITIATIVES!$B$5:$B$54,MATCH($A94,INITIATIVES!$A$5:$A$54,0)),""))</x:f>
      </x:c>
      <x:c r="C94" s="19"/>
      <x:c r="D94" s="19"/>
      <x:c r="E94" s="40"/>
      <x:c r="F94" s="40"/>
      <x:c r="G94" s="41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37" t="str">
        <x:f t="shared" si="2">IF($A94="","",SUM($H94:$S94))</x:f>
      </x:c>
    </x:row>
    <x:row r="95" ht="20.049999237060547" customHeight="1">
      <x:c r="A95" s="19"/>
      <x:c r="B95" s="6" t="str">
        <x:f>IF($A95="","",IFERROR(INDEX(INITIATIVES!$B$5:$B$54,MATCH($A95,INITIATIVES!$A$5:$A$54,0)),""))</x:f>
      </x:c>
      <x:c r="C95" s="19"/>
      <x:c r="D95" s="19"/>
      <x:c r="E95" s="40"/>
      <x:c r="F95" s="40"/>
      <x:c r="G95" s="41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37" t="str">
        <x:f t="shared" si="2">IF($A95="","",SUM($H95:$S95))</x:f>
      </x:c>
    </x:row>
    <x:row r="96" ht="20.049999237060547" customHeight="1">
      <x:c r="A96" s="19"/>
      <x:c r="B96" s="6" t="str">
        <x:f>IF($A96="","",IFERROR(INDEX(INITIATIVES!$B$5:$B$54,MATCH($A96,INITIATIVES!$A$5:$A$54,0)),""))</x:f>
      </x:c>
      <x:c r="C96" s="19"/>
      <x:c r="D96" s="19"/>
      <x:c r="E96" s="40"/>
      <x:c r="F96" s="40"/>
      <x:c r="G96" s="41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37" t="str">
        <x:f t="shared" si="2">IF($A96="","",SUM($H96:$S96))</x:f>
      </x:c>
    </x:row>
    <x:row r="97" ht="20.049999237060547" customHeight="1">
      <x:c r="A97" s="19"/>
      <x:c r="B97" s="6" t="str">
        <x:f>IF($A97="","",IFERROR(INDEX(INITIATIVES!$B$5:$B$54,MATCH($A97,INITIATIVES!$A$5:$A$54,0)),""))</x:f>
      </x:c>
      <x:c r="C97" s="19"/>
      <x:c r="D97" s="19"/>
      <x:c r="E97" s="40"/>
      <x:c r="F97" s="40"/>
      <x:c r="G97" s="41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37" t="str">
        <x:f t="shared" si="2">IF($A97="","",SUM($H97:$S97))</x:f>
      </x:c>
    </x:row>
    <x:row r="98" ht="20.049999237060547" customHeight="1">
      <x:c r="A98" s="19"/>
      <x:c r="B98" s="6" t="str">
        <x:f>IF($A98="","",IFERROR(INDEX(INITIATIVES!$B$5:$B$54,MATCH($A98,INITIATIVES!$A$5:$A$54,0)),""))</x:f>
      </x:c>
      <x:c r="C98" s="19"/>
      <x:c r="D98" s="19"/>
      <x:c r="E98" s="40"/>
      <x:c r="F98" s="40"/>
      <x:c r="G98" s="41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37" t="str">
        <x:f t="shared" si="2">IF($A98="","",SUM($H98:$S98))</x:f>
      </x:c>
    </x:row>
    <x:row r="99" ht="20.049999237060547" customHeight="1">
      <x:c r="A99" s="19"/>
      <x:c r="B99" s="6" t="str">
        <x:f>IF($A99="","",IFERROR(INDEX(INITIATIVES!$B$5:$B$54,MATCH($A99,INITIATIVES!$A$5:$A$54,0)),""))</x:f>
      </x:c>
      <x:c r="C99" s="19"/>
      <x:c r="D99" s="19"/>
      <x:c r="E99" s="40"/>
      <x:c r="F99" s="40"/>
      <x:c r="G99" s="41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37" t="str">
        <x:f t="shared" si="2">IF($A99="","",SUM($H99:$S99))</x:f>
      </x:c>
    </x:row>
    <x:row r="100" ht="20.049999237060547" customHeight="1">
      <x:c r="A100" s="19"/>
      <x:c r="B100" s="6" t="str">
        <x:f>IF($A100="","",IFERROR(INDEX(INITIATIVES!$B$5:$B$54,MATCH($A100,INITIATIVES!$A$5:$A$54,0)),""))</x:f>
      </x:c>
      <x:c r="C100" s="19"/>
      <x:c r="D100" s="19"/>
      <x:c r="E100" s="40"/>
      <x:c r="F100" s="40"/>
      <x:c r="G100" s="41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37" t="str">
        <x:f t="shared" si="2">IF($A100="","",SUM($H100:$S100))</x:f>
      </x:c>
    </x:row>
    <x:row r="101" ht="20.049999237060547" customHeight="1">
      <x:c r="A101" s="19"/>
      <x:c r="B101" s="6" t="str">
        <x:f>IF($A101="","",IFERROR(INDEX(INITIATIVES!$B$5:$B$54,MATCH($A101,INITIATIVES!$A$5:$A$54,0)),""))</x:f>
      </x:c>
      <x:c r="C101" s="19"/>
      <x:c r="D101" s="19"/>
      <x:c r="E101" s="40"/>
      <x:c r="F101" s="40"/>
      <x:c r="G101" s="41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37" t="str">
        <x:f t="shared" si="2">IF($A101="","",SUM($H101:$S101))</x:f>
      </x:c>
    </x:row>
    <x:row r="102" ht="20.049999237060547" customHeight="1">
      <x:c r="A102" s="19"/>
      <x:c r="B102" s="6" t="str">
        <x:f>IF($A102="","",IFERROR(INDEX(INITIATIVES!$B$5:$B$54,MATCH($A102,INITIATIVES!$A$5:$A$54,0)),""))</x:f>
      </x:c>
      <x:c r="C102" s="19"/>
      <x:c r="D102" s="19"/>
      <x:c r="E102" s="40"/>
      <x:c r="F102" s="40"/>
      <x:c r="G102" s="41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37" t="str">
        <x:f t="shared" si="2">IF($A102="","",SUM($H102:$S102))</x:f>
      </x:c>
    </x:row>
    <x:row r="103" ht="20.049999237060547" customHeight="1">
      <x:c r="A103" s="19"/>
      <x:c r="B103" s="6" t="str">
        <x:f>IF($A103="","",IFERROR(INDEX(INITIATIVES!$B$5:$B$54,MATCH($A103,INITIATIVES!$A$5:$A$54,0)),""))</x:f>
      </x:c>
      <x:c r="C103" s="19"/>
      <x:c r="D103" s="19"/>
      <x:c r="E103" s="40"/>
      <x:c r="F103" s="40"/>
      <x:c r="G103" s="41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37" t="str">
        <x:f t="shared" si="2">IF($A103="","",SUM($H103:$S103))</x:f>
      </x:c>
    </x:row>
    <x:row r="104" ht="20.049999237060547" customHeight="1">
      <x:c r="A104" s="19"/>
      <x:c r="B104" s="6" t="str">
        <x:f>IF($A104="","",IFERROR(INDEX(INITIATIVES!$B$5:$B$54,MATCH($A104,INITIATIVES!$A$5:$A$54,0)),""))</x:f>
      </x:c>
      <x:c r="C104" s="19"/>
      <x:c r="D104" s="19"/>
      <x:c r="E104" s="40"/>
      <x:c r="F104" s="40"/>
      <x:c r="G104" s="41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37" t="str">
        <x:f t="shared" si="2">IF($A104="","",SUM($H104:$S104))</x:f>
      </x:c>
    </x:row>
  </x:sheetData>
  <x:mergeCells>
    <x:mergeCell ref="A1:F1"/>
    <x:mergeCell ref="A2:F2"/>
  </x:mergeCells>
  <x:dataValidations count="4">
    <x:dataValidation type="whole" sqref="G5:G104">
      <x:formula1>2020</x:formula1>
      <x:formula2>2100</x:formula2>
    </x:dataValidation>
    <x:dataValidation type="list" allowBlank="1" showDropDown="0" showInputMessage="1" showErrorMessage="1" sqref="A5:A104">
      <x:formula1>List_Initiative_ID</x:formula1>
    </x:dataValidation>
    <x:dataValidation type="list" allowBlank="1" showDropDown="0" showInputMessage="1" showErrorMessage="1" sqref="C5:C104">
      <x:formula1>"Digital Programme Management,Digital CTRs,Other"</x:formula1>
    </x:dataValidation>
    <x:dataValidation type="list" allowBlank="1" showDropDown="0" showInputMessage="1" showErrorMessage="1" sqref="D5:D104">
      <x:formula1>"Labour,Fees"</x:formula1>
    </x:dataValidation>
  </x:dataValidations>
  <x:pageMargins left="0.7" right="0.7" top="0.75" bottom="0.75" header="0.3" footer="0.3"/>
  <x:drawing xmlns:r="http://schemas.openxmlformats.org/officeDocument/2006/relationships" r:id="Raab927120ea243d4"/>
  <x:tableParts count="1">
    <x:tablePart xmlns:r="http://schemas.openxmlformats.org/officeDocument/2006/relationships" r:id="R2206df2551464f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1" width="8.92578125" style="1" customWidth="1"/>
    <x:col min="2" max="2" width="14.140625" customWidth="1"/>
    <x:col min="3" max="3" width="16.640625" customWidth="1"/>
    <x:col min="4" max="4" width="31.640625" customWidth="1"/>
    <x:col min="5" max="5" width="18.35546875" customWidth="1"/>
    <x:col min="6" max="7" width="15" customWidth="1"/>
    <x:col min="8" max="8" width="18.35546875" customWidth="1"/>
  </x:cols>
  <x:sheetData>
    <x:row r="1" ht="34" customHeight="1">
      <x:c r="A1" s="57" t="s">
        <x:v>164</x:v>
      </x:c>
      <x:c r="B1" s="57"/>
      <x:c r="C1" s="57"/>
      <x:c r="D1" s="57"/>
      <x:c r="E1" s="57"/>
      <x:c r="F1" s="57"/>
      <x:c r="G1" s="57"/>
      <x:c r="H1" s="57"/>
    </x:row>
    <x:row r="2" ht="8.050000190734863" customHeight="1">
      <x:c r="A2" s="58"/>
      <x:c r="B2" s="59"/>
      <x:c r="C2" s="59"/>
      <x:c r="D2" s="59"/>
      <x:c r="E2" s="59"/>
      <x:c r="F2" s="59"/>
      <x:c r="G2" s="59"/>
      <x:c r="H2" s="59"/>
    </x:row>
    <x:row r="3" ht="8.050000190734863" customHeight="1">
      <x:c r="A3" s="42"/>
      <x:c r="B3" s="25"/>
      <x:c r="C3" s="25"/>
      <x:c r="D3" s="25"/>
      <x:c r="E3" s="25"/>
      <x:c r="F3" s="25"/>
      <x:c r="G3" s="25"/>
      <x:c r="H3" s="25"/>
    </x:row>
    <x:row r="4">
      <x:c r="A4" s="26" t="s">
        <x:v>165</x:v>
      </x:c>
      <x:c r="B4" s="26" t="s">
        <x:v>6</x:v>
      </x:c>
      <x:c r="C4" s="26" t="s">
        <x:v>166</x:v>
      </x:c>
      <x:c r="D4" s="26" t="s">
        <x:v>167</x:v>
      </x:c>
      <x:c r="E4" s="26" t="s">
        <x:v>90</x:v>
      </x:c>
      <x:c r="F4" s="26" t="s">
        <x:v>168</x:v>
      </x:c>
      <x:c r="G4" s="26" t="s">
        <x:v>169</x:v>
      </x:c>
      <x:c r="H4" s="26" t="s">
        <x:v>170</x:v>
      </x:c>
    </x:row>
    <x:row r="5" ht="20.049999237060547" customHeight="1">
      <x:c r="A5" s="43" t="n">
        <x:f>IF(COUNTA(B5:H5)=0,"",COUNTIF($B$5:B5,"&lt;&gt;"))</x:f>
        <x:v>1</x:v>
      </x:c>
      <x:c r="B5" s="28" t="s">
        <x:v>40</x:v>
      </x:c>
      <x:c r="C5" s="28" t="s">
        <x:v>171</x:v>
      </x:c>
      <x:c r="D5" s="27" t="s">
        <x:v>172</x:v>
      </x:c>
      <x:c r="E5" s="27" t="s">
        <x:v>43</x:v>
      </x:c>
      <x:c r="F5" s="29">
        <x:v>46223</x:v>
      </x:c>
      <x:c r="G5" s="29">
        <x:v>46295</x:v>
      </x:c>
      <x:c r="H5" s="28" t="s">
        <x:v>173</x:v>
      </x:c>
    </x:row>
    <x:row r="6" ht="20.049999237060547" customHeight="1">
      <x:c r="A6" s="44" t="n">
        <x:f>IF(COUNTA(B6:H6)=0,"",COUNTIF($B$5:B6,"&lt;&gt;"))</x:f>
        <x:v>2</x:v>
      </x:c>
      <x:c r="B6" s="31" t="s">
        <x:v>40</x:v>
      </x:c>
      <x:c r="C6" s="28" t="s">
        <x:v>174</x:v>
      </x:c>
      <x:c r="D6" s="30" t="s">
        <x:v>175</x:v>
      </x:c>
      <x:c r="E6" s="30" t="s">
        <x:v>176</x:v>
      </x:c>
      <x:c r="F6" s="32">
        <x:v>46244</x:v>
      </x:c>
      <x:c r="G6" s="32">
        <x:v>46290</x:v>
      </x:c>
      <x:c r="H6" s="31" t="s">
        <x:v>177</x:v>
      </x:c>
    </x:row>
    <x:row r="7" ht="20.049999237060547" customHeight="1">
      <x:c r="A7" s="43" t="n">
        <x:f>IF(COUNTA(B7:H7)=0,"",COUNTIF($B$5:B7,"&lt;&gt;"))</x:f>
        <x:v>3</x:v>
      </x:c>
      <x:c r="B7" s="31" t="s">
        <x:v>47</x:v>
      </x:c>
      <x:c r="C7" s="28" t="s">
        <x:v>178</x:v>
      </x:c>
      <x:c r="D7" s="30" t="s">
        <x:v>179</x:v>
      </x:c>
      <x:c r="E7" s="30" t="s">
        <x:v>50</x:v>
      </x:c>
      <x:c r="F7" s="32">
        <x:v>46266</x:v>
      </x:c>
      <x:c r="G7" s="32">
        <x:v>46304</x:v>
      </x:c>
      <x:c r="H7" s="31" t="s">
        <x:v>180</x:v>
      </x:c>
    </x:row>
    <x:row r="8" ht="20.049999237060547" customHeight="1">
      <x:c r="A8" s="44" t="n">
        <x:f>IF(COUNTA(B8:H8)=0,"",COUNTIF($B$5:B8,"&lt;&gt;"))</x:f>
        <x:v>4</x:v>
      </x:c>
      <x:c r="B8" s="31" t="s">
        <x:v>51</x:v>
      </x:c>
      <x:c r="C8" s="28" t="s">
        <x:v>171</x:v>
      </x:c>
      <x:c r="D8" s="30" t="s">
        <x:v>181</x:v>
      </x:c>
      <x:c r="E8" s="30" t="s">
        <x:v>54</x:v>
      </x:c>
      <x:c r="F8" s="32">
        <x:v>46248</x:v>
      </x:c>
      <x:c r="G8" s="32">
        <x:v>46293</x:v>
      </x:c>
      <x:c r="H8" s="31" t="s">
        <x:v>173</x:v>
      </x:c>
    </x:row>
    <x:row r="9" ht="20.049999237060547" customHeight="1">
      <x:c r="A9" s="43" t="n">
        <x:f>IF(COUNTA(B9:H9)=0,"",COUNTIF($B$5:B9,"&lt;&gt;"))</x:f>
        <x:v>5</x:v>
      </x:c>
      <x:c r="B9" s="31" t="s">
        <x:v>51</x:v>
      </x:c>
      <x:c r="C9" s="28" t="s">
        <x:v>182</x:v>
      </x:c>
      <x:c r="D9" s="30" t="s">
        <x:v>183</x:v>
      </x:c>
      <x:c r="E9" s="30" t="s">
        <x:v>53</x:v>
      </x:c>
      <x:c r="F9" s="32">
        <x:v>46267</x:v>
      </x:c>
      <x:c r="G9" s="32">
        <x:v>46288</x:v>
      </x:c>
      <x:c r="H9" s="31" t="s">
        <x:v>177</x:v>
      </x:c>
    </x:row>
    <x:row r="10" ht="20.049999237060547" customHeight="1">
      <x:c r="A10" s="44" t="n">
        <x:f>IF(COUNTA(B10:H10)=0,"",COUNTIF($B$5:B10,"&lt;&gt;"))</x:f>
        <x:v>6</x:v>
      </x:c>
      <x:c r="B10" s="31" t="s">
        <x:v>62</x:v>
      </x:c>
      <x:c r="C10" s="28" t="s">
        <x:v>184</x:v>
      </x:c>
      <x:c r="D10" s="30" t="s">
        <x:v>185</x:v>
      </x:c>
      <x:c r="E10" s="30" t="s">
        <x:v>43</x:v>
      </x:c>
      <x:c r="F10" s="32">
        <x:v>46214</x:v>
      </x:c>
      <x:c r="G10" s="32">
        <x:v>46297</x:v>
      </x:c>
      <x:c r="H10" s="31" t="s">
        <x:v>173</x:v>
      </x:c>
    </x:row>
    <x:row r="11" ht="20.049999237060547" customHeight="1">
      <x:c r="A11" s="43" t="n">
        <x:f>IF(COUNTA(B11:H11)=0,"",COUNTIF($B$5:B11,"&lt;&gt;"))</x:f>
        <x:v>7</x:v>
      </x:c>
      <x:c r="B11" s="31" t="s">
        <x:v>62</x:v>
      </x:c>
      <x:c r="C11" s="28" t="s">
        <x:v>174</x:v>
      </x:c>
      <x:c r="D11" s="30" t="s">
        <x:v>186</x:v>
      </x:c>
      <x:c r="E11" s="30" t="s">
        <x:v>187</x:v>
      </x:c>
      <x:c r="F11" s="32">
        <x:v>46260</x:v>
      </x:c>
      <x:c r="G11" s="32">
        <x:v>46283</x:v>
      </x:c>
      <x:c r="H11" s="31" t="s">
        <x:v>177</x:v>
      </x:c>
    </x:row>
    <x:row r="12" ht="20.049999237060547" customHeight="1">
      <x:c r="A12" s="44" t="n">
        <x:f>IF(COUNTA(B12:H12)=0,"",COUNTIF($B$5:B12,"&lt;&gt;"))</x:f>
        <x:v>8</x:v>
      </x:c>
      <x:c r="B12" s="31" t="s">
        <x:v>68</x:v>
      </x:c>
      <x:c r="C12" s="28" t="s">
        <x:v>188</x:v>
      </x:c>
      <x:c r="D12" s="30" t="s">
        <x:v>189</x:v>
      </x:c>
      <x:c r="E12" s="30" t="s">
        <x:v>54</x:v>
      </x:c>
      <x:c r="F12" s="32">
        <x:v>46239</x:v>
      </x:c>
      <x:c r="G12" s="32">
        <x:v>46311</x:v>
      </x:c>
      <x:c r="H12" s="31" t="s">
        <x:v>180</x:v>
      </x:c>
    </x:row>
    <x:row r="13" ht="20.049999237060547" customHeight="1">
      <x:c r="A13" s="43" t="n">
        <x:f>IF(COUNTA(B13:H13)=0,"",COUNTIF($B$5:B13,"&lt;&gt;"))</x:f>
        <x:v>9</x:v>
      </x:c>
      <x:c r="B13" s="31" t="s">
        <x:v>71</x:v>
      </x:c>
      <x:c r="C13" s="28" t="s">
        <x:v>174</x:v>
      </x:c>
      <x:c r="D13" s="30" t="s">
        <x:v>190</x:v>
      </x:c>
      <x:c r="E13" s="30" t="s">
        <x:v>191</x:v>
      </x:c>
      <x:c r="F13" s="32">
        <x:v>46268</x:v>
      </x:c>
      <x:c r="G13" s="32">
        <x:v>46290</x:v>
      </x:c>
      <x:c r="H13" s="31" t="s">
        <x:v>177</x:v>
      </x:c>
    </x:row>
    <x:row r="14" ht="20.049999237060547" customHeight="1">
      <x:c r="A14" s="44" t="n">
        <x:f>IF(COUNTA(B14:H14)=0,"",COUNTIF($B$5:B14,"&lt;&gt;"))</x:f>
        <x:v>10</x:v>
      </x:c>
      <x:c r="B14" s="31" t="s">
        <x:v>73</x:v>
      </x:c>
      <x:c r="C14" s="28" t="s">
        <x:v>192</x:v>
      </x:c>
      <x:c r="D14" s="30" t="s">
        <x:v>193</x:v>
      </x:c>
      <x:c r="E14" s="30" t="s">
        <x:v>43</x:v>
      </x:c>
      <x:c r="F14" s="32">
        <x:v>46252</x:v>
      </x:c>
      <x:c r="G14" s="32">
        <x:v>46281</x:v>
      </x:c>
      <x:c r="H14" s="31" t="s">
        <x:v>173</x:v>
      </x:c>
    </x:row>
    <x:row r="15" ht="20.049999237060547" customHeight="1">
      <x:c r="A15" s="43" t="n">
        <x:f>IF(COUNTA(B15:H15)=0,"",COUNTIF($B$5:B15,"&lt;&gt;"))</x:f>
        <x:v>11</x:v>
      </x:c>
      <x:c r="B15" s="31" t="s">
        <x:v>73</x:v>
      </x:c>
      <x:c r="C15" s="28" t="s">
        <x:v>182</x:v>
      </x:c>
      <x:c r="D15" s="30" t="s">
        <x:v>194</x:v>
      </x:c>
      <x:c r="E15" s="30" t="s">
        <x:v>53</x:v>
      </x:c>
      <x:c r="F15" s="32">
        <x:v>46272</x:v>
      </x:c>
      <x:c r="G15" s="32">
        <x:v>46282</x:v>
      </x:c>
      <x:c r="H15" s="31" t="s">
        <x:v>177</x:v>
      </x:c>
    </x:row>
    <x:row r="16" ht="20.049999237060547" customHeight="1">
      <x:c r="A16" s="44" t="n">
        <x:f>IF(COUNTA(B16:H16)=0,"",COUNTIF($B$5:B16,"&lt;&gt;"))</x:f>
        <x:v>12</x:v>
      </x:c>
      <x:c r="B16" s="31" t="s">
        <x:v>77</x:v>
      </x:c>
      <x:c r="C16" s="28" t="s">
        <x:v>171</x:v>
      </x:c>
      <x:c r="D16" s="30" t="s">
        <x:v>195</x:v>
      </x:c>
      <x:c r="E16" s="30" t="s">
        <x:v>50</x:v>
      </x:c>
      <x:c r="F16" s="32">
        <x:v>46269</x:v>
      </x:c>
      <x:c r="G16" s="32">
        <x:v>46297</x:v>
      </x:c>
      <x:c r="H16" s="31" t="s">
        <x:v>180</x:v>
      </x:c>
    </x:row>
    <x:row r="17" ht="20.049999237060547" customHeight="1">
      <x:c r="A17" s="43" t="n">
        <x:f>IF(COUNTA(B17:H17)=0,"",COUNTIF($B$5:B17,"&lt;&gt;"))</x:f>
        <x:v>13</x:v>
      </x:c>
      <x:c r="B17" s="31" t="s">
        <x:v>79</x:v>
      </x:c>
      <x:c r="C17" s="28" t="s">
        <x:v>184</x:v>
      </x:c>
      <x:c r="D17" s="30" t="s">
        <x:v>196</x:v>
      </x:c>
      <x:c r="E17" s="30" t="s">
        <x:v>54</x:v>
      </x:c>
      <x:c r="F17" s="32">
        <x:v>46203</x:v>
      </x:c>
      <x:c r="G17" s="32">
        <x:v>46325</x:v>
      </x:c>
      <x:c r="H17" s="31" t="s">
        <x:v>173</x:v>
      </x:c>
    </x:row>
    <x:row r="18" ht="20.049999237060547" customHeight="1">
      <x:c r="A18" s="44" t="n">
        <x:f>IF(COUNTA(B18:H18)=0,"",COUNTIF($B$5:B18,"&lt;&gt;"))</x:f>
        <x:v>14</x:v>
      </x:c>
      <x:c r="B18" s="31" t="s">
        <x:v>79</x:v>
      </x:c>
      <x:c r="C18" s="28" t="s">
        <x:v>182</x:v>
      </x:c>
      <x:c r="D18" s="30" t="s">
        <x:v>197</x:v>
      </x:c>
      <x:c r="E18" s="30" t="s">
        <x:v>64</x:v>
      </x:c>
      <x:c r="F18" s="32">
        <x:v>46266</x:v>
      </x:c>
      <x:c r="G18" s="32">
        <x:v>46332</x:v>
      </x:c>
      <x:c r="H18" s="31" t="s">
        <x:v>177</x:v>
      </x:c>
    </x:row>
    <x:row r="19" ht="20.049999237060547" customHeight="1">
      <x:c r="A19" s="43" t="str">
        <x:f>IF(COUNTA(B19:H19)=0,"",COUNTIF($B$5:B19,"&lt;&gt;"))</x:f>
      </x:c>
      <x:c r="B19" s="31"/>
      <x:c r="C19" s="28"/>
      <x:c r="D19" s="30"/>
      <x:c r="E19" s="30"/>
      <x:c r="F19" s="32"/>
      <x:c r="G19" s="32"/>
      <x:c r="H19" s="31"/>
    </x:row>
    <x:row r="20" ht="20.049999237060547" customHeight="1">
      <x:c r="A20" s="44" t="str">
        <x:f>IF(COUNTA(B20:H20)=0,"",COUNTIF($B$5:B20,"&lt;&gt;"))</x:f>
      </x:c>
      <x:c r="B20" s="31"/>
      <x:c r="C20" s="28"/>
      <x:c r="D20" s="30"/>
      <x:c r="E20" s="30"/>
      <x:c r="F20" s="32"/>
      <x:c r="G20" s="32"/>
      <x:c r="H20" s="31"/>
    </x:row>
    <x:row r="21" ht="20.049999237060547" customHeight="1">
      <x:c r="A21" s="43" t="str">
        <x:f>IF(COUNTA(B21:H21)=0,"",COUNTIF($B$5:B21,"&lt;&gt;"))</x:f>
      </x:c>
      <x:c r="B21" s="31"/>
      <x:c r="C21" s="28"/>
      <x:c r="D21" s="30"/>
      <x:c r="E21" s="30"/>
      <x:c r="F21" s="32"/>
      <x:c r="G21" s="32"/>
      <x:c r="H21" s="31"/>
    </x:row>
    <x:row r="22" ht="20.049999237060547" customHeight="1">
      <x:c r="A22" s="44" t="str">
        <x:f>IF(COUNTA(B22:H22)=0,"",COUNTIF($B$5:B22,"&lt;&gt;"))</x:f>
      </x:c>
      <x:c r="B22" s="31"/>
      <x:c r="C22" s="28"/>
      <x:c r="D22" s="30"/>
      <x:c r="E22" s="30"/>
      <x:c r="F22" s="32"/>
      <x:c r="G22" s="32"/>
      <x:c r="H22" s="31"/>
    </x:row>
    <x:row r="23" ht="20.049999237060547" customHeight="1">
      <x:c r="A23" s="43" t="str">
        <x:f>IF(COUNTA(B23:H23)=0,"",COUNTIF($B$5:B23,"&lt;&gt;"))</x:f>
      </x:c>
      <x:c r="B23" s="31"/>
      <x:c r="C23" s="28"/>
      <x:c r="D23" s="30"/>
      <x:c r="E23" s="30"/>
      <x:c r="F23" s="32"/>
      <x:c r="G23" s="32"/>
      <x:c r="H23" s="31"/>
    </x:row>
    <x:row r="24" ht="20.049999237060547" customHeight="1">
      <x:c r="A24" s="44" t="str">
        <x:f>IF(COUNTA(B24:H24)=0,"",COUNTIF($B$5:B24,"&lt;&gt;"))</x:f>
      </x:c>
      <x:c r="B24" s="31"/>
      <x:c r="C24" s="28"/>
      <x:c r="D24" s="30"/>
      <x:c r="E24" s="30"/>
      <x:c r="F24" s="32"/>
      <x:c r="G24" s="32"/>
      <x:c r="H24" s="31"/>
    </x:row>
    <x:row r="25" ht="20.049999237060547" customHeight="1">
      <x:c r="A25" s="43" t="str">
        <x:f>IF(COUNTA(B25:H25)=0,"",COUNTIF($B$5:B25,"&lt;&gt;"))</x:f>
      </x:c>
      <x:c r="B25" s="31"/>
      <x:c r="C25" s="28"/>
      <x:c r="D25" s="30"/>
      <x:c r="E25" s="30"/>
      <x:c r="F25" s="32"/>
      <x:c r="G25" s="32"/>
      <x:c r="H25" s="31"/>
    </x:row>
    <x:row r="26" ht="20.049999237060547" customHeight="1">
      <x:c r="A26" s="44" t="str">
        <x:f>IF(COUNTA(B26:H26)=0,"",COUNTIF($B$5:B26,"&lt;&gt;"))</x:f>
      </x:c>
      <x:c r="B26" s="31"/>
      <x:c r="C26" s="28"/>
      <x:c r="D26" s="30"/>
      <x:c r="E26" s="30"/>
      <x:c r="F26" s="32"/>
      <x:c r="G26" s="32"/>
      <x:c r="H26" s="31"/>
    </x:row>
    <x:row r="27" ht="20.049999237060547" customHeight="1">
      <x:c r="A27" s="43" t="str">
        <x:f>IF(COUNTA(B27:H27)=0,"",COUNTIF($B$5:B27,"&lt;&gt;"))</x:f>
      </x:c>
      <x:c r="B27" s="31"/>
      <x:c r="C27" s="28"/>
      <x:c r="D27" s="30"/>
      <x:c r="E27" s="30"/>
      <x:c r="F27" s="32"/>
      <x:c r="G27" s="32"/>
      <x:c r="H27" s="31"/>
    </x:row>
    <x:row r="28" ht="20.049999237060547" customHeight="1">
      <x:c r="A28" s="44" t="str">
        <x:f>IF(COUNTA(B28:H28)=0,"",COUNTIF($B$5:B28,"&lt;&gt;"))</x:f>
      </x:c>
      <x:c r="B28" s="31"/>
      <x:c r="C28" s="28"/>
      <x:c r="D28" s="30"/>
      <x:c r="E28" s="30"/>
      <x:c r="F28" s="32"/>
      <x:c r="G28" s="32"/>
      <x:c r="H28" s="31"/>
    </x:row>
    <x:row r="29" ht="20.049999237060547" customHeight="1">
      <x:c r="A29" s="43" t="str">
        <x:f>IF(COUNTA(B29:H29)=0,"",COUNTIF($B$5:B29,"&lt;&gt;"))</x:f>
      </x:c>
      <x:c r="B29" s="31"/>
      <x:c r="C29" s="28"/>
      <x:c r="D29" s="30"/>
      <x:c r="E29" s="30"/>
      <x:c r="F29" s="32"/>
      <x:c r="G29" s="32"/>
      <x:c r="H29" s="31"/>
    </x:row>
    <x:row r="30" ht="20.049999237060547" customHeight="1">
      <x:c r="A30" s="44" t="str">
        <x:f>IF(COUNTA(B30:H30)=0,"",COUNTIF($B$5:B30,"&lt;&gt;"))</x:f>
      </x:c>
      <x:c r="B30" s="31"/>
      <x:c r="C30" s="28"/>
      <x:c r="D30" s="30"/>
      <x:c r="E30" s="30"/>
      <x:c r="F30" s="32"/>
      <x:c r="G30" s="32"/>
      <x:c r="H30" s="31"/>
    </x:row>
    <x:row r="31" ht="20.049999237060547" customHeight="1">
      <x:c r="A31" s="43" t="str">
        <x:f>IF(COUNTA(B31:H31)=0,"",COUNTIF($B$5:B31,"&lt;&gt;"))</x:f>
      </x:c>
      <x:c r="B31" s="31"/>
      <x:c r="C31" s="28"/>
      <x:c r="D31" s="30"/>
      <x:c r="E31" s="30"/>
      <x:c r="F31" s="32"/>
      <x:c r="G31" s="32"/>
      <x:c r="H31" s="31"/>
    </x:row>
    <x:row r="32" ht="20.049999237060547" customHeight="1">
      <x:c r="A32" s="44" t="str">
        <x:f>IF(COUNTA(B32:H32)=0,"",COUNTIF($B$5:B32,"&lt;&gt;"))</x:f>
      </x:c>
      <x:c r="B32" s="31"/>
      <x:c r="C32" s="28"/>
      <x:c r="D32" s="30"/>
      <x:c r="E32" s="30"/>
      <x:c r="F32" s="32"/>
      <x:c r="G32" s="32"/>
      <x:c r="H32" s="31"/>
    </x:row>
    <x:row r="33" ht="20.049999237060547" customHeight="1">
      <x:c r="A33" s="43" t="str">
        <x:f>IF(COUNTA(B33:H33)=0,"",COUNTIF($B$5:B33,"&lt;&gt;"))</x:f>
      </x:c>
      <x:c r="B33" s="31"/>
      <x:c r="C33" s="28"/>
      <x:c r="D33" s="30"/>
      <x:c r="E33" s="30"/>
      <x:c r="F33" s="32"/>
      <x:c r="G33" s="32"/>
      <x:c r="H33" s="31"/>
    </x:row>
    <x:row r="34" ht="20.049999237060547" customHeight="1">
      <x:c r="A34" s="44" t="str">
        <x:f>IF(COUNTA(B34:H34)=0,"",COUNTIF($B$5:B34,"&lt;&gt;"))</x:f>
      </x:c>
      <x:c r="B34" s="31"/>
      <x:c r="C34" s="28"/>
      <x:c r="D34" s="30"/>
      <x:c r="E34" s="30"/>
      <x:c r="F34" s="32"/>
      <x:c r="G34" s="32"/>
      <x:c r="H34" s="31"/>
    </x:row>
    <x:row r="35" ht="20.049999237060547" customHeight="1">
      <x:c r="A35" s="43" t="str">
        <x:f>IF(COUNTA(B35:H35)=0,"",COUNTIF($B$5:B35,"&lt;&gt;"))</x:f>
      </x:c>
      <x:c r="B35" s="31"/>
      <x:c r="C35" s="28"/>
      <x:c r="D35" s="30"/>
      <x:c r="E35" s="30"/>
      <x:c r="F35" s="32"/>
      <x:c r="G35" s="32"/>
      <x:c r="H35" s="31"/>
    </x:row>
    <x:row r="36" ht="20.049999237060547" customHeight="1">
      <x:c r="A36" s="44" t="str">
        <x:f>IF(COUNTA(B36:H36)=0,"",COUNTIF($B$5:B36,"&lt;&gt;"))</x:f>
      </x:c>
      <x:c r="B36" s="31"/>
      <x:c r="C36" s="28"/>
      <x:c r="D36" s="30"/>
      <x:c r="E36" s="30"/>
      <x:c r="F36" s="32"/>
      <x:c r="G36" s="32"/>
      <x:c r="H36" s="31"/>
    </x:row>
    <x:row r="37" ht="20.049999237060547" customHeight="1">
      <x:c r="A37" s="43" t="str">
        <x:f>IF(COUNTA(B37:H37)=0,"",COUNTIF($B$5:B37,"&lt;&gt;"))</x:f>
      </x:c>
      <x:c r="B37" s="31"/>
      <x:c r="C37" s="28"/>
      <x:c r="D37" s="30"/>
      <x:c r="E37" s="30"/>
      <x:c r="F37" s="32"/>
      <x:c r="G37" s="32"/>
      <x:c r="H37" s="31"/>
    </x:row>
    <x:row r="38" ht="20.049999237060547" customHeight="1">
      <x:c r="A38" s="44" t="str">
        <x:f>IF(COUNTA(B38:H38)=0,"",COUNTIF($B$5:B38,"&lt;&gt;"))</x:f>
      </x:c>
      <x:c r="B38" s="31"/>
      <x:c r="C38" s="28"/>
      <x:c r="D38" s="30"/>
      <x:c r="E38" s="30"/>
      <x:c r="F38" s="32"/>
      <x:c r="G38" s="32"/>
      <x:c r="H38" s="31"/>
    </x:row>
    <x:row r="39" ht="20.049999237060547" customHeight="1">
      <x:c r="A39" s="43" t="str">
        <x:f>IF(COUNTA(B39:H39)=0,"",COUNTIF($B$5:B39,"&lt;&gt;"))</x:f>
      </x:c>
      <x:c r="B39" s="31"/>
      <x:c r="C39" s="28"/>
      <x:c r="D39" s="30"/>
      <x:c r="E39" s="30"/>
      <x:c r="F39" s="32"/>
      <x:c r="G39" s="32"/>
      <x:c r="H39" s="31"/>
    </x:row>
    <x:row r="40" ht="20.049999237060547" customHeight="1">
      <x:c r="A40" s="44" t="str">
        <x:f>IF(COUNTA(B40:H40)=0,"",COUNTIF($B$5:B40,"&lt;&gt;"))</x:f>
      </x:c>
      <x:c r="B40" s="31"/>
      <x:c r="C40" s="28"/>
      <x:c r="D40" s="30"/>
      <x:c r="E40" s="30"/>
      <x:c r="F40" s="32"/>
      <x:c r="G40" s="32"/>
      <x:c r="H40" s="31"/>
    </x:row>
    <x:row r="41" ht="20.049999237060547" customHeight="1">
      <x:c r="A41" s="43" t="str">
        <x:f>IF(COUNTA(B41:H41)=0,"",COUNTIF($B$5:B41,"&lt;&gt;"))</x:f>
      </x:c>
      <x:c r="B41" s="31"/>
      <x:c r="C41" s="28"/>
      <x:c r="D41" s="30"/>
      <x:c r="E41" s="30"/>
      <x:c r="F41" s="32"/>
      <x:c r="G41" s="32"/>
      <x:c r="H41" s="31"/>
    </x:row>
    <x:row r="42" ht="20.049999237060547" customHeight="1">
      <x:c r="A42" s="44" t="str">
        <x:f>IF(COUNTA(B42:H42)=0,"",COUNTIF($B$5:B42,"&lt;&gt;"))</x:f>
      </x:c>
      <x:c r="B42" s="31"/>
      <x:c r="C42" s="28"/>
      <x:c r="D42" s="30"/>
      <x:c r="E42" s="30"/>
      <x:c r="F42" s="32"/>
      <x:c r="G42" s="32"/>
      <x:c r="H42" s="31"/>
    </x:row>
    <x:row r="43" ht="20.049999237060547" customHeight="1">
      <x:c r="A43" s="43" t="str">
        <x:f>IF(COUNTA(B43:H43)=0,"",COUNTIF($B$5:B43,"&lt;&gt;"))</x:f>
      </x:c>
      <x:c r="B43" s="31"/>
      <x:c r="C43" s="28"/>
      <x:c r="D43" s="30"/>
      <x:c r="E43" s="30"/>
      <x:c r="F43" s="32"/>
      <x:c r="G43" s="32"/>
      <x:c r="H43" s="31"/>
    </x:row>
    <x:row r="44" ht="20.049999237060547" customHeight="1">
      <x:c r="A44" s="44" t="str">
        <x:f>IF(COUNTA(B44:H44)=0,"",COUNTIF($B$5:B44,"&lt;&gt;"))</x:f>
      </x:c>
      <x:c r="B44" s="31"/>
      <x:c r="C44" s="28"/>
      <x:c r="D44" s="30"/>
      <x:c r="E44" s="30"/>
      <x:c r="F44" s="32"/>
      <x:c r="G44" s="32"/>
      <x:c r="H44" s="31"/>
    </x:row>
    <x:row r="45" ht="20.049999237060547" customHeight="1">
      <x:c r="A45" s="43" t="str">
        <x:f>IF(COUNTA(B45:H45)=0,"",COUNTIF($B$5:B45,"&lt;&gt;"))</x:f>
      </x:c>
      <x:c r="B45" s="31"/>
      <x:c r="C45" s="28"/>
      <x:c r="D45" s="30"/>
      <x:c r="E45" s="30"/>
      <x:c r="F45" s="32"/>
      <x:c r="G45" s="32"/>
      <x:c r="H45" s="31"/>
    </x:row>
    <x:row r="46" ht="20.049999237060547" customHeight="1">
      <x:c r="A46" s="44" t="str">
        <x:f>IF(COUNTA(B46:H46)=0,"",COUNTIF($B$5:B46,"&lt;&gt;"))</x:f>
      </x:c>
      <x:c r="B46" s="31"/>
      <x:c r="C46" s="28"/>
      <x:c r="D46" s="30"/>
      <x:c r="E46" s="30"/>
      <x:c r="F46" s="32"/>
      <x:c r="G46" s="32"/>
      <x:c r="H46" s="31"/>
    </x:row>
    <x:row r="47" ht="20.049999237060547" customHeight="1">
      <x:c r="A47" s="43" t="str">
        <x:f>IF(COUNTA(B47:H47)=0,"",COUNTIF($B$5:B47,"&lt;&gt;"))</x:f>
      </x:c>
      <x:c r="B47" s="31"/>
      <x:c r="C47" s="28"/>
      <x:c r="D47" s="30"/>
      <x:c r="E47" s="30"/>
      <x:c r="F47" s="32"/>
      <x:c r="G47" s="32"/>
      <x:c r="H47" s="31"/>
    </x:row>
    <x:row r="48" ht="20.049999237060547" customHeight="1">
      <x:c r="A48" s="44" t="str">
        <x:f>IF(COUNTA(B48:H48)=0,"",COUNTIF($B$5:B48,"&lt;&gt;"))</x:f>
      </x:c>
      <x:c r="B48" s="31"/>
      <x:c r="C48" s="28"/>
      <x:c r="D48" s="30"/>
      <x:c r="E48" s="30"/>
      <x:c r="F48" s="32"/>
      <x:c r="G48" s="32"/>
      <x:c r="H48" s="31"/>
    </x:row>
    <x:row r="49" ht="20.049999237060547" customHeight="1">
      <x:c r="A49" s="43" t="str">
        <x:f>IF(COUNTA(B49:H49)=0,"",COUNTIF($B$5:B49,"&lt;&gt;"))</x:f>
      </x:c>
      <x:c r="B49" s="31"/>
      <x:c r="C49" s="28"/>
      <x:c r="D49" s="30"/>
      <x:c r="E49" s="30"/>
      <x:c r="F49" s="32"/>
      <x:c r="G49" s="32"/>
      <x:c r="H49" s="31"/>
    </x:row>
    <x:row r="50" ht="20.049999237060547" customHeight="1">
      <x:c r="A50" s="44" t="str">
        <x:f>IF(COUNTA(B50:H50)=0,"",COUNTIF($B$5:B50,"&lt;&gt;"))</x:f>
      </x:c>
      <x:c r="B50" s="31"/>
      <x:c r="C50" s="28"/>
      <x:c r="D50" s="30"/>
      <x:c r="E50" s="30"/>
      <x:c r="F50" s="32"/>
      <x:c r="G50" s="32"/>
      <x:c r="H50" s="31"/>
    </x:row>
    <x:row r="51" ht="20.049999237060547" customHeight="1">
      <x:c r="A51" s="43" t="str">
        <x:f>IF(COUNTA(B51:H51)=0,"",COUNTIF($B$5:B51,"&lt;&gt;"))</x:f>
      </x:c>
      <x:c r="B51" s="31"/>
      <x:c r="C51" s="28"/>
      <x:c r="D51" s="30"/>
      <x:c r="E51" s="30"/>
      <x:c r="F51" s="32"/>
      <x:c r="G51" s="32"/>
      <x:c r="H51" s="31"/>
    </x:row>
    <x:row r="52" ht="20.049999237060547" customHeight="1">
      <x:c r="A52" s="44" t="str">
        <x:f>IF(COUNTA(B52:H52)=0,"",COUNTIF($B$5:B52,"&lt;&gt;"))</x:f>
      </x:c>
      <x:c r="B52" s="31"/>
      <x:c r="C52" s="28"/>
      <x:c r="D52" s="30"/>
      <x:c r="E52" s="30"/>
      <x:c r="F52" s="32"/>
      <x:c r="G52" s="32"/>
      <x:c r="H52" s="31"/>
    </x:row>
    <x:row r="53" ht="20.049999237060547" customHeight="1">
      <x:c r="A53" s="43" t="str">
        <x:f>IF(COUNTA(B53:H53)=0,"",COUNTIF($B$5:B53,"&lt;&gt;"))</x:f>
      </x:c>
      <x:c r="B53" s="31"/>
      <x:c r="C53" s="28"/>
      <x:c r="D53" s="30"/>
      <x:c r="E53" s="30"/>
      <x:c r="F53" s="32"/>
      <x:c r="G53" s="32"/>
      <x:c r="H53" s="31"/>
    </x:row>
    <x:row r="54" ht="20.049999237060547" customHeight="1">
      <x:c r="A54" s="44" t="str">
        <x:f>IF(COUNTA(B54:H54)=0,"",COUNTIF($B$5:B54,"&lt;&gt;"))</x:f>
      </x:c>
      <x:c r="B54" s="31"/>
      <x:c r="C54" s="28"/>
      <x:c r="D54" s="30"/>
      <x:c r="E54" s="30"/>
      <x:c r="F54" s="32"/>
      <x:c r="G54" s="32"/>
      <x:c r="H54" s="31"/>
    </x:row>
    <x:row r="55" ht="20.049999237060547" customHeight="1">
      <x:c r="A55" s="43" t="str">
        <x:f>IF(COUNTA(B55:H55)=0,"",COUNTIF($B$5:B55,"&lt;&gt;"))</x:f>
      </x:c>
      <x:c r="B55" s="31"/>
      <x:c r="C55" s="28"/>
      <x:c r="D55" s="30"/>
      <x:c r="E55" s="30"/>
      <x:c r="F55" s="32"/>
      <x:c r="G55" s="32"/>
      <x:c r="H55" s="31"/>
    </x:row>
    <x:row r="56" ht="20.049999237060547" customHeight="1">
      <x:c r="A56" s="44" t="str">
        <x:f>IF(COUNTA(B56:H56)=0,"",COUNTIF($B$5:B56,"&lt;&gt;"))</x:f>
      </x:c>
      <x:c r="B56" s="31"/>
      <x:c r="C56" s="28"/>
      <x:c r="D56" s="30"/>
      <x:c r="E56" s="30"/>
      <x:c r="F56" s="32"/>
      <x:c r="G56" s="32"/>
      <x:c r="H56" s="31"/>
    </x:row>
    <x:row r="57" ht="20.049999237060547" customHeight="1">
      <x:c r="A57" s="43" t="str">
        <x:f>IF(COUNTA(B57:H57)=0,"",COUNTIF($B$5:B57,"&lt;&gt;"))</x:f>
      </x:c>
      <x:c r="B57" s="31"/>
      <x:c r="C57" s="28"/>
      <x:c r="D57" s="30"/>
      <x:c r="E57" s="30"/>
      <x:c r="F57" s="32"/>
      <x:c r="G57" s="32"/>
      <x:c r="H57" s="31"/>
    </x:row>
    <x:row r="58" ht="20.049999237060547" customHeight="1">
      <x:c r="A58" s="44" t="str">
        <x:f>IF(COUNTA(B58:H58)=0,"",COUNTIF($B$5:B58,"&lt;&gt;"))</x:f>
      </x:c>
      <x:c r="B58" s="31"/>
      <x:c r="C58" s="28"/>
      <x:c r="D58" s="30"/>
      <x:c r="E58" s="30"/>
      <x:c r="F58" s="32"/>
      <x:c r="G58" s="32"/>
      <x:c r="H58" s="31"/>
    </x:row>
    <x:row r="59" ht="20.049999237060547" customHeight="1">
      <x:c r="A59" s="43" t="str">
        <x:f>IF(COUNTA(B59:H59)=0,"",COUNTIF($B$5:B59,"&lt;&gt;"))</x:f>
      </x:c>
      <x:c r="B59" s="31"/>
      <x:c r="C59" s="28"/>
      <x:c r="D59" s="30"/>
      <x:c r="E59" s="30"/>
      <x:c r="F59" s="32"/>
      <x:c r="G59" s="32"/>
      <x:c r="H59" s="31"/>
    </x:row>
    <x:row r="60" ht="20.049999237060547" customHeight="1">
      <x:c r="A60" s="44" t="str">
        <x:f>IF(COUNTA(B60:H60)=0,"",COUNTIF($B$5:B60,"&lt;&gt;"))</x:f>
      </x:c>
      <x:c r="B60" s="31"/>
      <x:c r="C60" s="28"/>
      <x:c r="D60" s="30"/>
      <x:c r="E60" s="30"/>
      <x:c r="F60" s="32"/>
      <x:c r="G60" s="32"/>
      <x:c r="H60" s="31"/>
    </x:row>
    <x:row r="61" ht="20.049999237060547" customHeight="1">
      <x:c r="A61" s="43" t="str">
        <x:f>IF(COUNTA(B61:H61)=0,"",COUNTIF($B$5:B61,"&lt;&gt;"))</x:f>
      </x:c>
      <x:c r="B61" s="31"/>
      <x:c r="C61" s="28"/>
      <x:c r="D61" s="30"/>
      <x:c r="E61" s="30"/>
      <x:c r="F61" s="32"/>
      <x:c r="G61" s="32"/>
      <x:c r="H61" s="31"/>
    </x:row>
    <x:row r="62" ht="20.049999237060547" customHeight="1">
      <x:c r="A62" s="44" t="str">
        <x:f>IF(COUNTA(B62:H62)=0,"",COUNTIF($B$5:B62,"&lt;&gt;"))</x:f>
      </x:c>
      <x:c r="B62" s="31"/>
      <x:c r="C62" s="28"/>
      <x:c r="D62" s="30"/>
      <x:c r="E62" s="30"/>
      <x:c r="F62" s="32"/>
      <x:c r="G62" s="32"/>
      <x:c r="H62" s="31"/>
    </x:row>
    <x:row r="63" ht="20.049999237060547" customHeight="1">
      <x:c r="A63" s="43" t="str">
        <x:f>IF(COUNTA(B63:H63)=0,"",COUNTIF($B$5:B63,"&lt;&gt;"))</x:f>
      </x:c>
      <x:c r="B63" s="31"/>
      <x:c r="C63" s="28"/>
      <x:c r="D63" s="30"/>
      <x:c r="E63" s="30"/>
      <x:c r="F63" s="32"/>
      <x:c r="G63" s="32"/>
      <x:c r="H63" s="31"/>
    </x:row>
    <x:row r="64" ht="20.049999237060547" customHeight="1">
      <x:c r="A64" s="44" t="str">
        <x:f>IF(COUNTA(B64:H64)=0,"",COUNTIF($B$5:B64,"&lt;&gt;"))</x:f>
      </x:c>
      <x:c r="B64" s="31"/>
      <x:c r="C64" s="28"/>
      <x:c r="D64" s="30"/>
      <x:c r="E64" s="30"/>
      <x:c r="F64" s="32"/>
      <x:c r="G64" s="32"/>
      <x:c r="H64" s="31"/>
    </x:row>
    <x:row r="65" ht="20.049999237060547" customHeight="1">
      <x:c r="A65" s="43" t="str">
        <x:f>IF(COUNTA(B65:H65)=0,"",COUNTIF($B$5:B65,"&lt;&gt;"))</x:f>
      </x:c>
      <x:c r="B65" s="31"/>
      <x:c r="C65" s="28"/>
      <x:c r="D65" s="30"/>
      <x:c r="E65" s="30"/>
      <x:c r="F65" s="32"/>
      <x:c r="G65" s="32"/>
      <x:c r="H65" s="31"/>
    </x:row>
    <x:row r="66" ht="20.049999237060547" customHeight="1">
      <x:c r="A66" s="44" t="str">
        <x:f>IF(COUNTA(B66:H66)=0,"",COUNTIF($B$5:B66,"&lt;&gt;"))</x:f>
      </x:c>
      <x:c r="B66" s="31"/>
      <x:c r="C66" s="28"/>
      <x:c r="D66" s="30"/>
      <x:c r="E66" s="30"/>
      <x:c r="F66" s="32"/>
      <x:c r="G66" s="32"/>
      <x:c r="H66" s="31"/>
    </x:row>
    <x:row r="67" ht="20.049999237060547" customHeight="1">
      <x:c r="A67" s="43" t="str">
        <x:f>IF(COUNTA(B67:H67)=0,"",COUNTIF($B$5:B67,"&lt;&gt;"))</x:f>
      </x:c>
      <x:c r="B67" s="31"/>
      <x:c r="C67" s="28"/>
      <x:c r="D67" s="30"/>
      <x:c r="E67" s="30"/>
      <x:c r="F67" s="32"/>
      <x:c r="G67" s="32"/>
      <x:c r="H67" s="31"/>
    </x:row>
    <x:row r="68" ht="20.049999237060547" customHeight="1">
      <x:c r="A68" s="44" t="str">
        <x:f>IF(COUNTA(B68:H68)=0,"",COUNTIF($B$5:B68,"&lt;&gt;"))</x:f>
      </x:c>
      <x:c r="B68" s="31"/>
      <x:c r="C68" s="28"/>
      <x:c r="D68" s="30"/>
      <x:c r="E68" s="30"/>
      <x:c r="F68" s="32"/>
      <x:c r="G68" s="32"/>
      <x:c r="H68" s="31"/>
    </x:row>
    <x:row r="69" ht="20.049999237060547" customHeight="1">
      <x:c r="A69" s="43" t="str">
        <x:f>IF(COUNTA(B69:H69)=0,"",COUNTIF($B$5:B69,"&lt;&gt;"))</x:f>
      </x:c>
      <x:c r="B69" s="31"/>
      <x:c r="C69" s="28"/>
      <x:c r="D69" s="30"/>
      <x:c r="E69" s="30"/>
      <x:c r="F69" s="32"/>
      <x:c r="G69" s="32"/>
      <x:c r="H69" s="31"/>
    </x:row>
    <x:row r="70" ht="20.049999237060547" customHeight="1">
      <x:c r="A70" s="44" t="str">
        <x:f>IF(COUNTA(B70:H70)=0,"",COUNTIF($B$5:B70,"&lt;&gt;"))</x:f>
      </x:c>
      <x:c r="B70" s="31"/>
      <x:c r="C70" s="28"/>
      <x:c r="D70" s="30"/>
      <x:c r="E70" s="30"/>
      <x:c r="F70" s="32"/>
      <x:c r="G70" s="32"/>
      <x:c r="H70" s="31"/>
    </x:row>
    <x:row r="71" ht="20.049999237060547" customHeight="1">
      <x:c r="A71" s="43" t="str">
        <x:f>IF(COUNTA(B71:H71)=0,"",COUNTIF($B$5:B71,"&lt;&gt;"))</x:f>
      </x:c>
      <x:c r="B71" s="31"/>
      <x:c r="C71" s="28"/>
      <x:c r="D71" s="30"/>
      <x:c r="E71" s="30"/>
      <x:c r="F71" s="32"/>
      <x:c r="G71" s="32"/>
      <x:c r="H71" s="31"/>
    </x:row>
    <x:row r="72" ht="20.049999237060547" customHeight="1">
      <x:c r="A72" s="44" t="str">
        <x:f>IF(COUNTA(B72:H72)=0,"",COUNTIF($B$5:B72,"&lt;&gt;"))</x:f>
      </x:c>
      <x:c r="B72" s="31"/>
      <x:c r="C72" s="28"/>
      <x:c r="D72" s="30"/>
      <x:c r="E72" s="30"/>
      <x:c r="F72" s="32"/>
      <x:c r="G72" s="32"/>
      <x:c r="H72" s="31"/>
    </x:row>
    <x:row r="73" ht="20.049999237060547" customHeight="1">
      <x:c r="A73" s="43" t="str">
        <x:f>IF(COUNTA(B73:H73)=0,"",COUNTIF($B$5:B73,"&lt;&gt;"))</x:f>
      </x:c>
      <x:c r="B73" s="31"/>
      <x:c r="C73" s="28"/>
      <x:c r="D73" s="30"/>
      <x:c r="E73" s="30"/>
      <x:c r="F73" s="32"/>
      <x:c r="G73" s="32"/>
      <x:c r="H73" s="31"/>
    </x:row>
    <x:row r="74" ht="20.049999237060547" customHeight="1">
      <x:c r="A74" s="44" t="str">
        <x:f>IF(COUNTA(B74:H74)=0,"",COUNTIF($B$5:B74,"&lt;&gt;"))</x:f>
      </x:c>
      <x:c r="B74" s="31"/>
      <x:c r="C74" s="28"/>
      <x:c r="D74" s="30"/>
      <x:c r="E74" s="30"/>
      <x:c r="F74" s="32"/>
      <x:c r="G74" s="32"/>
      <x:c r="H74" s="31"/>
    </x:row>
    <x:row r="75" ht="20.049999237060547" customHeight="1">
      <x:c r="A75" s="43" t="str">
        <x:f>IF(COUNTA(B75:H75)=0,"",COUNTIF($B$5:B75,"&lt;&gt;"))</x:f>
      </x:c>
      <x:c r="B75" s="31"/>
      <x:c r="C75" s="28"/>
      <x:c r="D75" s="30"/>
      <x:c r="E75" s="30"/>
      <x:c r="F75" s="32"/>
      <x:c r="G75" s="32"/>
      <x:c r="H75" s="31"/>
    </x:row>
    <x:row r="76" ht="20.049999237060547" customHeight="1">
      <x:c r="A76" s="44" t="str">
        <x:f>IF(COUNTA(B76:H76)=0,"",COUNTIF($B$5:B76,"&lt;&gt;"))</x:f>
      </x:c>
      <x:c r="B76" s="31"/>
      <x:c r="C76" s="28"/>
      <x:c r="D76" s="30"/>
      <x:c r="E76" s="30"/>
      <x:c r="F76" s="32"/>
      <x:c r="G76" s="32"/>
      <x:c r="H76" s="31"/>
    </x:row>
    <x:row r="77" ht="20.049999237060547" customHeight="1">
      <x:c r="A77" s="43" t="str">
        <x:f>IF(COUNTA(B77:H77)=0,"",COUNTIF($B$5:B77,"&lt;&gt;"))</x:f>
      </x:c>
      <x:c r="B77" s="31"/>
      <x:c r="C77" s="28"/>
      <x:c r="D77" s="30"/>
      <x:c r="E77" s="30"/>
      <x:c r="F77" s="32"/>
      <x:c r="G77" s="32"/>
      <x:c r="H77" s="31"/>
    </x:row>
    <x:row r="78" ht="20.049999237060547" customHeight="1">
      <x:c r="A78" s="44" t="str">
        <x:f>IF(COUNTA(B78:H78)=0,"",COUNTIF($B$5:B78,"&lt;&gt;"))</x:f>
      </x:c>
      <x:c r="B78" s="31"/>
      <x:c r="C78" s="28"/>
      <x:c r="D78" s="30"/>
      <x:c r="E78" s="30"/>
      <x:c r="F78" s="32"/>
      <x:c r="G78" s="32"/>
      <x:c r="H78" s="31"/>
    </x:row>
    <x:row r="79" ht="20.049999237060547" customHeight="1">
      <x:c r="A79" s="43" t="str">
        <x:f>IF(COUNTA(B79:H79)=0,"",COUNTIF($B$5:B79,"&lt;&gt;"))</x:f>
      </x:c>
      <x:c r="B79" s="31"/>
      <x:c r="C79" s="28"/>
      <x:c r="D79" s="30"/>
      <x:c r="E79" s="30"/>
      <x:c r="F79" s="32"/>
      <x:c r="G79" s="32"/>
      <x:c r="H79" s="31"/>
    </x:row>
    <x:row r="80" ht="20.049999237060547" customHeight="1">
      <x:c r="A80" s="44" t="str">
        <x:f>IF(COUNTA(B80:H80)=0,"",COUNTIF($B$5:B80,"&lt;&gt;"))</x:f>
      </x:c>
      <x:c r="B80" s="31"/>
      <x:c r="C80" s="28"/>
      <x:c r="D80" s="30"/>
      <x:c r="E80" s="30"/>
      <x:c r="F80" s="32"/>
      <x:c r="G80" s="32"/>
      <x:c r="H80" s="31"/>
    </x:row>
    <x:row r="81" ht="20.049999237060547" customHeight="1">
      <x:c r="A81" s="43" t="str">
        <x:f>IF(COUNTA(B81:H81)=0,"",COUNTIF($B$5:B81,"&lt;&gt;"))</x:f>
      </x:c>
      <x:c r="B81" s="31"/>
      <x:c r="C81" s="28"/>
      <x:c r="D81" s="30"/>
      <x:c r="E81" s="30"/>
      <x:c r="F81" s="32"/>
      <x:c r="G81" s="32"/>
      <x:c r="H81" s="31"/>
    </x:row>
    <x:row r="82" ht="20.049999237060547" customHeight="1">
      <x:c r="A82" s="44" t="str">
        <x:f>IF(COUNTA(B82:H82)=0,"",COUNTIF($B$5:B82,"&lt;&gt;"))</x:f>
      </x:c>
      <x:c r="B82" s="31"/>
      <x:c r="C82" s="28"/>
      <x:c r="D82" s="30"/>
      <x:c r="E82" s="30"/>
      <x:c r="F82" s="32"/>
      <x:c r="G82" s="32"/>
      <x:c r="H82" s="31"/>
    </x:row>
    <x:row r="83" ht="20.049999237060547" customHeight="1">
      <x:c r="A83" s="43" t="str">
        <x:f>IF(COUNTA(B83:H83)=0,"",COUNTIF($B$5:B83,"&lt;&gt;"))</x:f>
      </x:c>
      <x:c r="B83" s="31"/>
      <x:c r="C83" s="28"/>
      <x:c r="D83" s="30"/>
      <x:c r="E83" s="30"/>
      <x:c r="F83" s="32"/>
      <x:c r="G83" s="32"/>
      <x:c r="H83" s="31"/>
    </x:row>
    <x:row r="84" ht="20.049999237060547" customHeight="1">
      <x:c r="A84" s="44" t="str">
        <x:f>IF(COUNTA(B84:H84)=0,"",COUNTIF($B$5:B84,"&lt;&gt;"))</x:f>
      </x:c>
      <x:c r="B84" s="31"/>
      <x:c r="C84" s="28"/>
      <x:c r="D84" s="30"/>
      <x:c r="E84" s="30"/>
      <x:c r="F84" s="32"/>
      <x:c r="G84" s="32"/>
      <x:c r="H84" s="31"/>
    </x:row>
    <x:row r="85" ht="20.049999237060547" customHeight="1">
      <x:c r="A85" s="43" t="str">
        <x:f>IF(COUNTA(B85:H85)=0,"",COUNTIF($B$5:B85,"&lt;&gt;"))</x:f>
      </x:c>
      <x:c r="B85" s="31"/>
      <x:c r="C85" s="28"/>
      <x:c r="D85" s="30"/>
      <x:c r="E85" s="30"/>
      <x:c r="F85" s="32"/>
      <x:c r="G85" s="32"/>
      <x:c r="H85" s="31"/>
    </x:row>
    <x:row r="86" ht="20.049999237060547" customHeight="1">
      <x:c r="A86" s="44" t="str">
        <x:f>IF(COUNTA(B86:H86)=0,"",COUNTIF($B$5:B86,"&lt;&gt;"))</x:f>
      </x:c>
      <x:c r="B86" s="31"/>
      <x:c r="C86" s="28"/>
      <x:c r="D86" s="30"/>
      <x:c r="E86" s="30"/>
      <x:c r="F86" s="32"/>
      <x:c r="G86" s="32"/>
      <x:c r="H86" s="31"/>
    </x:row>
    <x:row r="87" ht="20.049999237060547" customHeight="1">
      <x:c r="A87" s="43" t="str">
        <x:f>IF(COUNTA(B87:H87)=0,"",COUNTIF($B$5:B87,"&lt;&gt;"))</x:f>
      </x:c>
      <x:c r="B87" s="31"/>
      <x:c r="C87" s="28"/>
      <x:c r="D87" s="30"/>
      <x:c r="E87" s="30"/>
      <x:c r="F87" s="32"/>
      <x:c r="G87" s="32"/>
      <x:c r="H87" s="31"/>
    </x:row>
    <x:row r="88" ht="20.049999237060547" customHeight="1">
      <x:c r="A88" s="44" t="str">
        <x:f>IF(COUNTA(B88:H88)=0,"",COUNTIF($B$5:B88,"&lt;&gt;"))</x:f>
      </x:c>
      <x:c r="B88" s="31"/>
      <x:c r="C88" s="28"/>
      <x:c r="D88" s="30"/>
      <x:c r="E88" s="30"/>
      <x:c r="F88" s="32"/>
      <x:c r="G88" s="32"/>
      <x:c r="H88" s="31"/>
    </x:row>
    <x:row r="89" ht="20.049999237060547" customHeight="1">
      <x:c r="A89" s="43" t="str">
        <x:f>IF(COUNTA(B89:H89)=0,"",COUNTIF($B$5:B89,"&lt;&gt;"))</x:f>
      </x:c>
      <x:c r="B89" s="31"/>
      <x:c r="C89" s="28"/>
      <x:c r="D89" s="30"/>
      <x:c r="E89" s="30"/>
      <x:c r="F89" s="32"/>
      <x:c r="G89" s="32"/>
      <x:c r="H89" s="31"/>
    </x:row>
    <x:row r="90" ht="20.049999237060547" customHeight="1">
      <x:c r="A90" s="44" t="str">
        <x:f>IF(COUNTA(B90:H90)=0,"",COUNTIF($B$5:B90,"&lt;&gt;"))</x:f>
      </x:c>
      <x:c r="B90" s="31"/>
      <x:c r="C90" s="28"/>
      <x:c r="D90" s="30"/>
      <x:c r="E90" s="30"/>
      <x:c r="F90" s="32"/>
      <x:c r="G90" s="32"/>
      <x:c r="H90" s="31"/>
    </x:row>
    <x:row r="91" ht="20.049999237060547" customHeight="1">
      <x:c r="A91" s="43" t="str">
        <x:f>IF(COUNTA(B91:H91)=0,"",COUNTIF($B$5:B91,"&lt;&gt;"))</x:f>
      </x:c>
      <x:c r="B91" s="31"/>
      <x:c r="C91" s="28"/>
      <x:c r="D91" s="30"/>
      <x:c r="E91" s="30"/>
      <x:c r="F91" s="32"/>
      <x:c r="G91" s="32"/>
      <x:c r="H91" s="31"/>
    </x:row>
    <x:row r="92" ht="20.049999237060547" customHeight="1">
      <x:c r="A92" s="44" t="str">
        <x:f>IF(COUNTA(B92:H92)=0,"",COUNTIF($B$5:B92,"&lt;&gt;"))</x:f>
      </x:c>
      <x:c r="B92" s="31"/>
      <x:c r="C92" s="28"/>
      <x:c r="D92" s="30"/>
      <x:c r="E92" s="30"/>
      <x:c r="F92" s="32"/>
      <x:c r="G92" s="32"/>
      <x:c r="H92" s="31"/>
    </x:row>
    <x:row r="93" ht="20.049999237060547" customHeight="1">
      <x:c r="A93" s="43" t="str">
        <x:f>IF(COUNTA(B93:H93)=0,"",COUNTIF($B$5:B93,"&lt;&gt;"))</x:f>
      </x:c>
      <x:c r="B93" s="31"/>
      <x:c r="C93" s="28"/>
      <x:c r="D93" s="30"/>
      <x:c r="E93" s="30"/>
      <x:c r="F93" s="32"/>
      <x:c r="G93" s="32"/>
      <x:c r="H93" s="31"/>
    </x:row>
    <x:row r="94" ht="20.049999237060547" customHeight="1">
      <x:c r="A94" s="44" t="str">
        <x:f>IF(COUNTA(B94:H94)=0,"",COUNTIF($B$5:B94,"&lt;&gt;"))</x:f>
      </x:c>
      <x:c r="B94" s="31"/>
      <x:c r="C94" s="28"/>
      <x:c r="D94" s="30"/>
      <x:c r="E94" s="30"/>
      <x:c r="F94" s="32"/>
      <x:c r="G94" s="32"/>
      <x:c r="H94" s="31"/>
    </x:row>
    <x:row r="95" ht="20.049999237060547" customHeight="1">
      <x:c r="A95" s="43" t="str">
        <x:f>IF(COUNTA(B95:H95)=0,"",COUNTIF($B$5:B95,"&lt;&gt;"))</x:f>
      </x:c>
      <x:c r="B95" s="31"/>
      <x:c r="C95" s="28"/>
      <x:c r="D95" s="30"/>
      <x:c r="E95" s="30"/>
      <x:c r="F95" s="32"/>
      <x:c r="G95" s="32"/>
      <x:c r="H95" s="31"/>
    </x:row>
    <x:row r="96" ht="20.049999237060547" customHeight="1">
      <x:c r="A96" s="44" t="str">
        <x:f>IF(COUNTA(B96:H96)=0,"",COUNTIF($B$5:B96,"&lt;&gt;"))</x:f>
      </x:c>
      <x:c r="B96" s="31"/>
      <x:c r="C96" s="28"/>
      <x:c r="D96" s="30"/>
      <x:c r="E96" s="30"/>
      <x:c r="F96" s="32"/>
      <x:c r="G96" s="32"/>
      <x:c r="H96" s="31"/>
    </x:row>
    <x:row r="97" ht="20.049999237060547" customHeight="1">
      <x:c r="A97" s="43" t="str">
        <x:f>IF(COUNTA(B97:H97)=0,"",COUNTIF($B$5:B97,"&lt;&gt;"))</x:f>
      </x:c>
      <x:c r="B97" s="31"/>
      <x:c r="C97" s="28"/>
      <x:c r="D97" s="30"/>
      <x:c r="E97" s="30"/>
      <x:c r="F97" s="32"/>
      <x:c r="G97" s="32"/>
      <x:c r="H97" s="31"/>
    </x:row>
    <x:row r="98" ht="20.049999237060547" customHeight="1">
      <x:c r="A98" s="44" t="str">
        <x:f>IF(COUNTA(B98:H98)=0,"",COUNTIF($B$5:B98,"&lt;&gt;"))</x:f>
      </x:c>
      <x:c r="B98" s="31"/>
      <x:c r="C98" s="28"/>
      <x:c r="D98" s="30"/>
      <x:c r="E98" s="30"/>
      <x:c r="F98" s="32"/>
      <x:c r="G98" s="32"/>
      <x:c r="H98" s="31"/>
    </x:row>
    <x:row r="99" ht="20.049999237060547" customHeight="1">
      <x:c r="A99" s="43" t="str">
        <x:f>IF(COUNTA(B99:H99)=0,"",COUNTIF($B$5:B99,"&lt;&gt;"))</x:f>
      </x:c>
      <x:c r="B99" s="31"/>
      <x:c r="C99" s="28"/>
      <x:c r="D99" s="30"/>
      <x:c r="E99" s="30"/>
      <x:c r="F99" s="32"/>
      <x:c r="G99" s="32"/>
      <x:c r="H99" s="31"/>
    </x:row>
    <x:row r="100" ht="20.049999237060547" customHeight="1">
      <x:c r="A100" s="44" t="str">
        <x:f>IF(COUNTA(B100:H100)=0,"",COUNTIF($B$5:B100,"&lt;&gt;"))</x:f>
      </x:c>
      <x:c r="B100" s="31"/>
      <x:c r="C100" s="28"/>
      <x:c r="D100" s="30"/>
      <x:c r="E100" s="30"/>
      <x:c r="F100" s="32"/>
      <x:c r="G100" s="32"/>
      <x:c r="H100" s="31"/>
    </x:row>
    <x:row r="101" ht="20.049999237060547" customHeight="1">
      <x:c r="A101" s="43" t="str">
        <x:f>IF(COUNTA(B101:H101)=0,"",COUNTIF($B$5:B101,"&lt;&gt;"))</x:f>
      </x:c>
      <x:c r="B101" s="31"/>
      <x:c r="C101" s="28"/>
      <x:c r="D101" s="30"/>
      <x:c r="E101" s="30"/>
      <x:c r="F101" s="32"/>
      <x:c r="G101" s="32"/>
      <x:c r="H101" s="31"/>
    </x:row>
    <x:row r="102" ht="20.049999237060547" customHeight="1">
      <x:c r="A102" s="44" t="str">
        <x:f>IF(COUNTA(B102:H102)=0,"",COUNTIF($B$5:B102,"&lt;&gt;"))</x:f>
      </x:c>
      <x:c r="B102" s="31"/>
      <x:c r="C102" s="28"/>
      <x:c r="D102" s="30"/>
      <x:c r="E102" s="30"/>
      <x:c r="F102" s="32"/>
      <x:c r="G102" s="32"/>
      <x:c r="H102" s="31"/>
    </x:row>
    <x:row r="103" ht="20.049999237060547" customHeight="1">
      <x:c r="A103" s="43" t="str">
        <x:f>IF(COUNTA(B103:H103)=0,"",COUNTIF($B$5:B103,"&lt;&gt;"))</x:f>
      </x:c>
      <x:c r="B103" s="31"/>
      <x:c r="C103" s="28"/>
      <x:c r="D103" s="30"/>
      <x:c r="E103" s="30"/>
      <x:c r="F103" s="32"/>
      <x:c r="G103" s="32"/>
      <x:c r="H103" s="31"/>
    </x:row>
    <x:row r="104" ht="20.049999237060547" customHeight="1">
      <x:c r="A104" s="44" t="str">
        <x:f>IF(COUNTA(B104:H104)=0,"",COUNTIF($B$5:B104,"&lt;&gt;"))</x:f>
      </x:c>
      <x:c r="B104" s="31"/>
      <x:c r="C104" s="28"/>
      <x:c r="D104" s="30"/>
      <x:c r="E104" s="30"/>
      <x:c r="F104" s="32"/>
      <x:c r="G104" s="32"/>
      <x:c r="H104" s="31"/>
    </x:row>
    <x:row r="105" ht="20.049999237060547" customHeight="1">
      <x:c r="A105" s="43" t="str">
        <x:f>IF(COUNTA(B105:H105)=0,"",COUNTIF($B$5:B105,"&lt;&gt;"))</x:f>
      </x:c>
      <x:c r="B105" s="31"/>
      <x:c r="C105" s="28"/>
      <x:c r="D105" s="30"/>
      <x:c r="E105" s="30"/>
      <x:c r="F105" s="32"/>
      <x:c r="G105" s="32"/>
      <x:c r="H105" s="31"/>
    </x:row>
    <x:row r="106" ht="20.049999237060547" customHeight="1">
      <x:c r="A106" s="44" t="str">
        <x:f>IF(COUNTA(B106:H106)=0,"",COUNTIF($B$5:B106,"&lt;&gt;"))</x:f>
      </x:c>
      <x:c r="B106" s="31"/>
      <x:c r="C106" s="28"/>
      <x:c r="D106" s="30"/>
      <x:c r="E106" s="30"/>
      <x:c r="F106" s="32"/>
      <x:c r="G106" s="32"/>
      <x:c r="H106" s="31"/>
    </x:row>
    <x:row r="107" ht="20.049999237060547" customHeight="1">
      <x:c r="A107" s="43" t="str">
        <x:f>IF(COUNTA(B107:H107)=0,"",COUNTIF($B$5:B107,"&lt;&gt;"))</x:f>
      </x:c>
      <x:c r="B107" s="31"/>
      <x:c r="C107" s="28"/>
      <x:c r="D107" s="30"/>
      <x:c r="E107" s="30"/>
      <x:c r="F107" s="32"/>
      <x:c r="G107" s="32"/>
      <x:c r="H107" s="31"/>
    </x:row>
    <x:row r="108" ht="20.049999237060547" customHeight="1">
      <x:c r="A108" s="44" t="str">
        <x:f>IF(COUNTA(B108:H108)=0,"",COUNTIF($B$5:B108,"&lt;&gt;"))</x:f>
      </x:c>
      <x:c r="B108" s="31"/>
      <x:c r="C108" s="28"/>
      <x:c r="D108" s="30"/>
      <x:c r="E108" s="30"/>
      <x:c r="F108" s="32"/>
      <x:c r="G108" s="32"/>
      <x:c r="H108" s="31"/>
    </x:row>
    <x:row r="109" ht="20.049999237060547" customHeight="1">
      <x:c r="A109" s="43" t="str">
        <x:f>IF(COUNTA(B109:H109)=0,"",COUNTIF($B$5:B109,"&lt;&gt;"))</x:f>
      </x:c>
      <x:c r="B109" s="31"/>
      <x:c r="C109" s="28"/>
      <x:c r="D109" s="30"/>
      <x:c r="E109" s="30"/>
      <x:c r="F109" s="32"/>
      <x:c r="G109" s="32"/>
      <x:c r="H109" s="31"/>
    </x:row>
    <x:row r="110" ht="20.049999237060547" customHeight="1">
      <x:c r="A110" s="44" t="str">
        <x:f>IF(COUNTA(B110:H110)=0,"",COUNTIF($B$5:B110,"&lt;&gt;"))</x:f>
      </x:c>
      <x:c r="B110" s="31"/>
      <x:c r="C110" s="28"/>
      <x:c r="D110" s="30"/>
      <x:c r="E110" s="30"/>
      <x:c r="F110" s="32"/>
      <x:c r="G110" s="32"/>
      <x:c r="H110" s="31"/>
    </x:row>
    <x:row r="111" ht="20.049999237060547" customHeight="1">
      <x:c r="A111" s="43" t="str">
        <x:f>IF(COUNTA(B111:H111)=0,"",COUNTIF($B$5:B111,"&lt;&gt;"))</x:f>
      </x:c>
      <x:c r="B111" s="31"/>
      <x:c r="C111" s="28"/>
      <x:c r="D111" s="30"/>
      <x:c r="E111" s="30"/>
      <x:c r="F111" s="32"/>
      <x:c r="G111" s="32"/>
      <x:c r="H111" s="31"/>
    </x:row>
    <x:row r="112" ht="20.049999237060547" customHeight="1">
      <x:c r="A112" s="44" t="str">
        <x:f>IF(COUNTA(B112:H112)=0,"",COUNTIF($B$5:B112,"&lt;&gt;"))</x:f>
      </x:c>
      <x:c r="B112" s="31"/>
      <x:c r="C112" s="28"/>
      <x:c r="D112" s="30"/>
      <x:c r="E112" s="30"/>
      <x:c r="F112" s="32"/>
      <x:c r="G112" s="32"/>
      <x:c r="H112" s="31"/>
    </x:row>
    <x:row r="113" ht="20.049999237060547" customHeight="1">
      <x:c r="A113" s="43" t="str">
        <x:f>IF(COUNTA(B113:H113)=0,"",COUNTIF($B$5:B113,"&lt;&gt;"))</x:f>
      </x:c>
      <x:c r="B113" s="31"/>
      <x:c r="C113" s="28"/>
      <x:c r="D113" s="30"/>
      <x:c r="E113" s="30"/>
      <x:c r="F113" s="32"/>
      <x:c r="G113" s="32"/>
      <x:c r="H113" s="31"/>
    </x:row>
    <x:row r="114" ht="20.049999237060547" customHeight="1">
      <x:c r="A114" s="44" t="str">
        <x:f>IF(COUNTA(B114:H114)=0,"",COUNTIF($B$5:B114,"&lt;&gt;"))</x:f>
      </x:c>
      <x:c r="B114" s="31"/>
      <x:c r="C114" s="28"/>
      <x:c r="D114" s="30"/>
      <x:c r="E114" s="30"/>
      <x:c r="F114" s="32"/>
      <x:c r="G114" s="32"/>
      <x:c r="H114" s="31"/>
    </x:row>
    <x:row r="115" ht="20.049999237060547" customHeight="1">
      <x:c r="A115" s="43" t="str">
        <x:f>IF(COUNTA(B115:H115)=0,"",COUNTIF($B$5:B115,"&lt;&gt;"))</x:f>
      </x:c>
      <x:c r="B115" s="31"/>
      <x:c r="C115" s="28"/>
      <x:c r="D115" s="30"/>
      <x:c r="E115" s="30"/>
      <x:c r="F115" s="32"/>
      <x:c r="G115" s="32"/>
      <x:c r="H115" s="31"/>
    </x:row>
    <x:row r="116" ht="20.049999237060547" customHeight="1">
      <x:c r="A116" s="44" t="str">
        <x:f>IF(COUNTA(B116:H116)=0,"",COUNTIF($B$5:B116,"&lt;&gt;"))</x:f>
      </x:c>
      <x:c r="B116" s="31"/>
      <x:c r="C116" s="28"/>
      <x:c r="D116" s="30"/>
      <x:c r="E116" s="30"/>
      <x:c r="F116" s="32"/>
      <x:c r="G116" s="32"/>
      <x:c r="H116" s="31"/>
    </x:row>
    <x:row r="117" ht="20.049999237060547" customHeight="1">
      <x:c r="A117" s="43" t="str">
        <x:f>IF(COUNTA(B117:H117)=0,"",COUNTIF($B$5:B117,"&lt;&gt;"))</x:f>
      </x:c>
      <x:c r="B117" s="31"/>
      <x:c r="C117" s="28"/>
      <x:c r="D117" s="30"/>
      <x:c r="E117" s="30"/>
      <x:c r="F117" s="32"/>
      <x:c r="G117" s="32"/>
      <x:c r="H117" s="31"/>
    </x:row>
    <x:row r="118" ht="20.049999237060547" customHeight="1">
      <x:c r="A118" s="44" t="str">
        <x:f>IF(COUNTA(B118:H118)=0,"",COUNTIF($B$5:B118,"&lt;&gt;"))</x:f>
      </x:c>
      <x:c r="B118" s="31"/>
      <x:c r="C118" s="28"/>
      <x:c r="D118" s="30"/>
      <x:c r="E118" s="30"/>
      <x:c r="F118" s="32"/>
      <x:c r="G118" s="32"/>
      <x:c r="H118" s="31"/>
    </x:row>
    <x:row r="119" ht="20.049999237060547" customHeight="1">
      <x:c r="A119" s="43" t="str">
        <x:f>IF(COUNTA(B119:H119)=0,"",COUNTIF($B$5:B119,"&lt;&gt;"))</x:f>
      </x:c>
      <x:c r="B119" s="31"/>
      <x:c r="C119" s="28"/>
      <x:c r="D119" s="30"/>
      <x:c r="E119" s="30"/>
      <x:c r="F119" s="32"/>
      <x:c r="G119" s="32"/>
      <x:c r="H119" s="31"/>
    </x:row>
    <x:row r="120" ht="20.049999237060547" customHeight="1">
      <x:c r="A120" s="44" t="str">
        <x:f>IF(COUNTA(B120:H120)=0,"",COUNTIF($B$5:B120,"&lt;&gt;"))</x:f>
      </x:c>
      <x:c r="B120" s="31"/>
      <x:c r="C120" s="28"/>
      <x:c r="D120" s="30"/>
      <x:c r="E120" s="30"/>
      <x:c r="F120" s="32"/>
      <x:c r="G120" s="32"/>
      <x:c r="H120" s="31"/>
    </x:row>
    <x:row r="121" ht="20.049999237060547" customHeight="1">
      <x:c r="A121" s="43" t="str">
        <x:f>IF(COUNTA(B121:H121)=0,"",COUNTIF($B$5:B121,"&lt;&gt;"))</x:f>
      </x:c>
      <x:c r="B121" s="31"/>
      <x:c r="C121" s="28"/>
      <x:c r="D121" s="30"/>
      <x:c r="E121" s="30"/>
      <x:c r="F121" s="32"/>
      <x:c r="G121" s="32"/>
      <x:c r="H121" s="31"/>
    </x:row>
    <x:row r="122" ht="20.049999237060547" customHeight="1">
      <x:c r="A122" s="44" t="str">
        <x:f>IF(COUNTA(B122:H122)=0,"",COUNTIF($B$5:B122,"&lt;&gt;"))</x:f>
      </x:c>
      <x:c r="B122" s="31"/>
      <x:c r="C122" s="28"/>
      <x:c r="D122" s="30"/>
      <x:c r="E122" s="30"/>
      <x:c r="F122" s="32"/>
      <x:c r="G122" s="32"/>
      <x:c r="H122" s="31"/>
    </x:row>
    <x:row r="123" ht="20.049999237060547" customHeight="1">
      <x:c r="A123" s="43" t="str">
        <x:f>IF(COUNTA(B123:H123)=0,"",COUNTIF($B$5:B123,"&lt;&gt;"))</x:f>
      </x:c>
      <x:c r="B123" s="31"/>
      <x:c r="C123" s="28"/>
      <x:c r="D123" s="30"/>
      <x:c r="E123" s="30"/>
      <x:c r="F123" s="32"/>
      <x:c r="G123" s="32"/>
      <x:c r="H123" s="31"/>
    </x:row>
    <x:row r="124" ht="20.049999237060547" customHeight="1">
      <x:c r="A124" s="44" t="str">
        <x:f>IF(COUNTA(B124:H124)=0,"",COUNTIF($B$5:B124,"&lt;&gt;"))</x:f>
      </x:c>
      <x:c r="B124" s="31"/>
      <x:c r="C124" s="28"/>
      <x:c r="D124" s="30"/>
      <x:c r="E124" s="30"/>
      <x:c r="F124" s="32"/>
      <x:c r="G124" s="32"/>
      <x:c r="H124" s="31"/>
    </x:row>
    <x:row r="125" ht="20.049999237060547" customHeight="1">
      <x:c r="A125" s="43" t="str">
        <x:f>IF(COUNTA(B125:H125)=0,"",COUNTIF($B$5:B125,"&lt;&gt;"))</x:f>
      </x:c>
      <x:c r="B125" s="31"/>
      <x:c r="C125" s="28"/>
      <x:c r="D125" s="30"/>
      <x:c r="E125" s="30"/>
      <x:c r="F125" s="32"/>
      <x:c r="G125" s="32"/>
      <x:c r="H125" s="31"/>
    </x:row>
    <x:row r="126" ht="20.049999237060547" customHeight="1">
      <x:c r="A126" s="44" t="str">
        <x:f>IF(COUNTA(B126:H126)=0,"",COUNTIF($B$5:B126,"&lt;&gt;"))</x:f>
      </x:c>
      <x:c r="B126" s="31"/>
      <x:c r="C126" s="28"/>
      <x:c r="D126" s="30"/>
      <x:c r="E126" s="30"/>
      <x:c r="F126" s="32"/>
      <x:c r="G126" s="32"/>
      <x:c r="H126" s="31"/>
    </x:row>
    <x:row r="127" ht="20.049999237060547" customHeight="1">
      <x:c r="A127" s="43" t="str">
        <x:f>IF(COUNTA(B127:H127)=0,"",COUNTIF($B$5:B127,"&lt;&gt;"))</x:f>
      </x:c>
      <x:c r="B127" s="31"/>
      <x:c r="C127" s="28"/>
      <x:c r="D127" s="30"/>
      <x:c r="E127" s="30"/>
      <x:c r="F127" s="32"/>
      <x:c r="G127" s="32"/>
      <x:c r="H127" s="31"/>
    </x:row>
    <x:row r="128" ht="20.049999237060547" customHeight="1">
      <x:c r="A128" s="44" t="str">
        <x:f>IF(COUNTA(B128:H128)=0,"",COUNTIF($B$5:B128,"&lt;&gt;"))</x:f>
      </x:c>
      <x:c r="B128" s="31"/>
      <x:c r="C128" s="28"/>
      <x:c r="D128" s="30"/>
      <x:c r="E128" s="30"/>
      <x:c r="F128" s="32"/>
      <x:c r="G128" s="32"/>
      <x:c r="H128" s="31"/>
    </x:row>
    <x:row r="129" ht="20.049999237060547" customHeight="1">
      <x:c r="A129" s="43" t="str">
        <x:f>IF(COUNTA(B129:H129)=0,"",COUNTIF($B$5:B129,"&lt;&gt;"))</x:f>
      </x:c>
      <x:c r="B129" s="31"/>
      <x:c r="C129" s="28"/>
      <x:c r="D129" s="30"/>
      <x:c r="E129" s="30"/>
      <x:c r="F129" s="32"/>
      <x:c r="G129" s="32"/>
      <x:c r="H129" s="31"/>
    </x:row>
    <x:row r="130" ht="20.049999237060547" customHeight="1">
      <x:c r="A130" s="44" t="str">
        <x:f>IF(COUNTA(B130:H130)=0,"",COUNTIF($B$5:B130,"&lt;&gt;"))</x:f>
      </x:c>
      <x:c r="B130" s="31"/>
      <x:c r="C130" s="28"/>
      <x:c r="D130" s="30"/>
      <x:c r="E130" s="30"/>
      <x:c r="F130" s="32"/>
      <x:c r="G130" s="32"/>
      <x:c r="H130" s="31"/>
    </x:row>
    <x:row r="131" ht="20.049999237060547" customHeight="1">
      <x:c r="A131" s="43" t="str">
        <x:f>IF(COUNTA(B131:H131)=0,"",COUNTIF($B$5:B131,"&lt;&gt;"))</x:f>
      </x:c>
      <x:c r="B131" s="31"/>
      <x:c r="C131" s="28"/>
      <x:c r="D131" s="30"/>
      <x:c r="E131" s="30"/>
      <x:c r="F131" s="32"/>
      <x:c r="G131" s="32"/>
      <x:c r="H131" s="31"/>
    </x:row>
    <x:row r="132" ht="20.049999237060547" customHeight="1">
      <x:c r="A132" s="44" t="str">
        <x:f>IF(COUNTA(B132:H132)=0,"",COUNTIF($B$5:B132,"&lt;&gt;"))</x:f>
      </x:c>
      <x:c r="B132" s="31"/>
      <x:c r="C132" s="28"/>
      <x:c r="D132" s="30"/>
      <x:c r="E132" s="30"/>
      <x:c r="F132" s="32"/>
      <x:c r="G132" s="32"/>
      <x:c r="H132" s="31"/>
    </x:row>
    <x:row r="133" ht="20.049999237060547" customHeight="1">
      <x:c r="A133" s="43" t="str">
        <x:f>IF(COUNTA(B133:H133)=0,"",COUNTIF($B$5:B133,"&lt;&gt;"))</x:f>
      </x:c>
      <x:c r="B133" s="31"/>
      <x:c r="C133" s="28"/>
      <x:c r="D133" s="30"/>
      <x:c r="E133" s="30"/>
      <x:c r="F133" s="32"/>
      <x:c r="G133" s="32"/>
      <x:c r="H133" s="31"/>
    </x:row>
    <x:row r="134" ht="20.049999237060547" customHeight="1">
      <x:c r="A134" s="44" t="str">
        <x:f>IF(COUNTA(B134:H134)=0,"",COUNTIF($B$5:B134,"&lt;&gt;"))</x:f>
      </x:c>
      <x:c r="B134" s="31"/>
      <x:c r="C134" s="28"/>
      <x:c r="D134" s="30"/>
      <x:c r="E134" s="30"/>
      <x:c r="F134" s="32"/>
      <x:c r="G134" s="32"/>
      <x:c r="H134" s="31"/>
    </x:row>
    <x:row r="135" ht="20.049999237060547" customHeight="1">
      <x:c r="A135" s="43" t="str">
        <x:f>IF(COUNTA(B135:H135)=0,"",COUNTIF($B$5:B135,"&lt;&gt;"))</x:f>
      </x:c>
      <x:c r="B135" s="31"/>
      <x:c r="C135" s="28"/>
      <x:c r="D135" s="30"/>
      <x:c r="E135" s="30"/>
      <x:c r="F135" s="32"/>
      <x:c r="G135" s="32"/>
      <x:c r="H135" s="31"/>
    </x:row>
    <x:row r="136" ht="20.049999237060547" customHeight="1">
      <x:c r="A136" s="44" t="str">
        <x:f>IF(COUNTA(B136:H136)=0,"",COUNTIF($B$5:B136,"&lt;&gt;"))</x:f>
      </x:c>
      <x:c r="B136" s="31"/>
      <x:c r="C136" s="28"/>
      <x:c r="D136" s="30"/>
      <x:c r="E136" s="30"/>
      <x:c r="F136" s="32"/>
      <x:c r="G136" s="32"/>
      <x:c r="H136" s="31"/>
    </x:row>
    <x:row r="137" ht="20.049999237060547" customHeight="1">
      <x:c r="A137" s="43" t="str">
        <x:f>IF(COUNTA(B137:H137)=0,"",COUNTIF($B$5:B137,"&lt;&gt;"))</x:f>
      </x:c>
      <x:c r="B137" s="31"/>
      <x:c r="C137" s="28"/>
      <x:c r="D137" s="30"/>
      <x:c r="E137" s="30"/>
      <x:c r="F137" s="32"/>
      <x:c r="G137" s="32"/>
      <x:c r="H137" s="31"/>
    </x:row>
    <x:row r="138" ht="20.049999237060547" customHeight="1">
      <x:c r="A138" s="44" t="str">
        <x:f>IF(COUNTA(B138:H138)=0,"",COUNTIF($B$5:B138,"&lt;&gt;"))</x:f>
      </x:c>
      <x:c r="B138" s="31"/>
      <x:c r="C138" s="28"/>
      <x:c r="D138" s="30"/>
      <x:c r="E138" s="30"/>
      <x:c r="F138" s="32"/>
      <x:c r="G138" s="32"/>
      <x:c r="H138" s="31"/>
    </x:row>
    <x:row r="139" ht="20.049999237060547" customHeight="1">
      <x:c r="A139" s="43" t="str">
        <x:f>IF(COUNTA(B139:H139)=0,"",COUNTIF($B$5:B139,"&lt;&gt;"))</x:f>
      </x:c>
      <x:c r="B139" s="31"/>
      <x:c r="C139" s="28"/>
      <x:c r="D139" s="30"/>
      <x:c r="E139" s="30"/>
      <x:c r="F139" s="32"/>
      <x:c r="G139" s="32"/>
      <x:c r="H139" s="31"/>
    </x:row>
    <x:row r="140" ht="20.049999237060547" customHeight="1">
      <x:c r="A140" s="44" t="str">
        <x:f>IF(COUNTA(B140:H140)=0,"",COUNTIF($B$5:B140,"&lt;&gt;"))</x:f>
      </x:c>
      <x:c r="B140" s="31"/>
      <x:c r="C140" s="28"/>
      <x:c r="D140" s="30"/>
      <x:c r="E140" s="30"/>
      <x:c r="F140" s="32"/>
      <x:c r="G140" s="32"/>
      <x:c r="H140" s="31"/>
    </x:row>
    <x:row r="141" ht="20.049999237060547" customHeight="1">
      <x:c r="A141" s="43" t="str">
        <x:f>IF(COUNTA(B141:H141)=0,"",COUNTIF($B$5:B141,"&lt;&gt;"))</x:f>
      </x:c>
      <x:c r="B141" s="31"/>
      <x:c r="C141" s="28"/>
      <x:c r="D141" s="30"/>
      <x:c r="E141" s="30"/>
      <x:c r="F141" s="32"/>
      <x:c r="G141" s="32"/>
      <x:c r="H141" s="31"/>
    </x:row>
    <x:row r="142" ht="20.049999237060547" customHeight="1">
      <x:c r="A142" s="44" t="str">
        <x:f>IF(COUNTA(B142:H142)=0,"",COUNTIF($B$5:B142,"&lt;&gt;"))</x:f>
      </x:c>
      <x:c r="B142" s="31"/>
      <x:c r="C142" s="28"/>
      <x:c r="D142" s="30"/>
      <x:c r="E142" s="30"/>
      <x:c r="F142" s="32"/>
      <x:c r="G142" s="32"/>
      <x:c r="H142" s="31"/>
    </x:row>
    <x:row r="143" ht="20.049999237060547" customHeight="1">
      <x:c r="A143" s="43" t="str">
        <x:f>IF(COUNTA(B143:H143)=0,"",COUNTIF($B$5:B143,"&lt;&gt;"))</x:f>
      </x:c>
      <x:c r="B143" s="31"/>
      <x:c r="C143" s="28"/>
      <x:c r="D143" s="30"/>
      <x:c r="E143" s="30"/>
      <x:c r="F143" s="32"/>
      <x:c r="G143" s="32"/>
      <x:c r="H143" s="31"/>
    </x:row>
    <x:row r="144" ht="20.049999237060547" customHeight="1">
      <x:c r="A144" s="44" t="str">
        <x:f>IF(COUNTA(B144:H144)=0,"",COUNTIF($B$5:B144,"&lt;&gt;"))</x:f>
      </x:c>
      <x:c r="B144" s="31"/>
      <x:c r="C144" s="28"/>
      <x:c r="D144" s="30"/>
      <x:c r="E144" s="30"/>
      <x:c r="F144" s="32"/>
      <x:c r="G144" s="32"/>
      <x:c r="H144" s="31"/>
    </x:row>
    <x:row r="145" ht="20.049999237060547" customHeight="1">
      <x:c r="A145" s="43" t="str">
        <x:f>IF(COUNTA(B145:H145)=0,"",COUNTIF($B$5:B145,"&lt;&gt;"))</x:f>
      </x:c>
      <x:c r="B145" s="31"/>
      <x:c r="C145" s="28"/>
      <x:c r="D145" s="30"/>
      <x:c r="E145" s="30"/>
      <x:c r="F145" s="32"/>
      <x:c r="G145" s="32"/>
      <x:c r="H145" s="31"/>
    </x:row>
    <x:row r="146" ht="20.049999237060547" customHeight="1">
      <x:c r="A146" s="44" t="str">
        <x:f>IF(COUNTA(B146:H146)=0,"",COUNTIF($B$5:B146,"&lt;&gt;"))</x:f>
      </x:c>
      <x:c r="B146" s="31"/>
      <x:c r="C146" s="28"/>
      <x:c r="D146" s="30"/>
      <x:c r="E146" s="30"/>
      <x:c r="F146" s="32"/>
      <x:c r="G146" s="32"/>
      <x:c r="H146" s="31"/>
    </x:row>
    <x:row r="147" ht="20.049999237060547" customHeight="1">
      <x:c r="A147" s="43" t="str">
        <x:f>IF(COUNTA(B147:H147)=0,"",COUNTIF($B$5:B147,"&lt;&gt;"))</x:f>
      </x:c>
      <x:c r="B147" s="31"/>
      <x:c r="C147" s="28"/>
      <x:c r="D147" s="30"/>
      <x:c r="E147" s="30"/>
      <x:c r="F147" s="32"/>
      <x:c r="G147" s="32"/>
      <x:c r="H147" s="31"/>
    </x:row>
    <x:row r="148" ht="20.049999237060547" customHeight="1">
      <x:c r="A148" s="44" t="str">
        <x:f>IF(COUNTA(B148:H148)=0,"",COUNTIF($B$5:B148,"&lt;&gt;"))</x:f>
      </x:c>
      <x:c r="B148" s="31"/>
      <x:c r="C148" s="28"/>
      <x:c r="D148" s="30"/>
      <x:c r="E148" s="30"/>
      <x:c r="F148" s="32"/>
      <x:c r="G148" s="32"/>
      <x:c r="H148" s="31"/>
    </x:row>
    <x:row r="149" ht="20.049999237060547" customHeight="1">
      <x:c r="A149" s="43" t="str">
        <x:f>IF(COUNTA(B149:H149)=0,"",COUNTIF($B$5:B149,"&lt;&gt;"))</x:f>
      </x:c>
      <x:c r="B149" s="31"/>
      <x:c r="C149" s="28"/>
      <x:c r="D149" s="30"/>
      <x:c r="E149" s="30"/>
      <x:c r="F149" s="32"/>
      <x:c r="G149" s="32"/>
      <x:c r="H149" s="31"/>
    </x:row>
    <x:row r="150" ht="20.049999237060547" customHeight="1">
      <x:c r="A150" s="44" t="str">
        <x:f>IF(COUNTA(B150:H150)=0,"",COUNTIF($B$5:B150,"&lt;&gt;"))</x:f>
      </x:c>
      <x:c r="B150" s="31"/>
      <x:c r="C150" s="28"/>
      <x:c r="D150" s="30"/>
      <x:c r="E150" s="30"/>
      <x:c r="F150" s="32"/>
      <x:c r="G150" s="32"/>
      <x:c r="H150" s="31"/>
    </x:row>
    <x:row r="151" ht="20.049999237060547" customHeight="1">
      <x:c r="A151" s="43" t="str">
        <x:f>IF(COUNTA(B151:H151)=0,"",COUNTIF($B$5:B151,"&lt;&gt;"))</x:f>
      </x:c>
      <x:c r="B151" s="31"/>
      <x:c r="C151" s="28"/>
      <x:c r="D151" s="30"/>
      <x:c r="E151" s="30"/>
      <x:c r="F151" s="32"/>
      <x:c r="G151" s="32"/>
      <x:c r="H151" s="31"/>
    </x:row>
    <x:row r="152" ht="20.049999237060547" customHeight="1">
      <x:c r="A152" s="44" t="str">
        <x:f>IF(COUNTA(B152:H152)=0,"",COUNTIF($B$5:B152,"&lt;&gt;"))</x:f>
      </x:c>
      <x:c r="B152" s="31"/>
      <x:c r="C152" s="28"/>
      <x:c r="D152" s="30"/>
      <x:c r="E152" s="30"/>
      <x:c r="F152" s="32"/>
      <x:c r="G152" s="32"/>
      <x:c r="H152" s="31"/>
    </x:row>
    <x:row r="153" ht="20.049999237060547" customHeight="1">
      <x:c r="A153" s="43" t="str">
        <x:f>IF(COUNTA(B153:H153)=0,"",COUNTIF($B$5:B153,"&lt;&gt;"))</x:f>
      </x:c>
      <x:c r="B153" s="31"/>
      <x:c r="C153" s="28"/>
      <x:c r="D153" s="30"/>
      <x:c r="E153" s="30"/>
      <x:c r="F153" s="32"/>
      <x:c r="G153" s="32"/>
      <x:c r="H153" s="31"/>
    </x:row>
    <x:row r="154" ht="20.049999237060547" customHeight="1">
      <x:c r="A154" s="44" t="str">
        <x:f>IF(COUNTA(B154:H154)=0,"",COUNTIF($B$5:B154,"&lt;&gt;"))</x:f>
      </x:c>
      <x:c r="B154" s="31"/>
      <x:c r="C154" s="28"/>
      <x:c r="D154" s="30"/>
      <x:c r="E154" s="30"/>
      <x:c r="F154" s="32"/>
      <x:c r="G154" s="32"/>
      <x:c r="H154" s="31"/>
    </x:row>
    <x:row r="155" ht="20.049999237060547" customHeight="1">
      <x:c r="A155" s="43" t="str">
        <x:f>IF(COUNTA(B155:H155)=0,"",COUNTIF($B$5:B155,"&lt;&gt;"))</x:f>
      </x:c>
      <x:c r="B155" s="31"/>
      <x:c r="C155" s="28"/>
      <x:c r="D155" s="30"/>
      <x:c r="E155" s="30"/>
      <x:c r="F155" s="32"/>
      <x:c r="G155" s="32"/>
      <x:c r="H155" s="31"/>
    </x:row>
    <x:row r="156" ht="20.049999237060547" customHeight="1">
      <x:c r="A156" s="44" t="str">
        <x:f>IF(COUNTA(B156:H156)=0,"",COUNTIF($B$5:B156,"&lt;&gt;"))</x:f>
      </x:c>
      <x:c r="B156" s="31"/>
      <x:c r="C156" s="28"/>
      <x:c r="D156" s="30"/>
      <x:c r="E156" s="30"/>
      <x:c r="F156" s="32"/>
      <x:c r="G156" s="32"/>
      <x:c r="H156" s="31"/>
    </x:row>
    <x:row r="157" ht="20.049999237060547" customHeight="1">
      <x:c r="A157" s="43" t="str">
        <x:f>IF(COUNTA(B157:H157)=0,"",COUNTIF($B$5:B157,"&lt;&gt;"))</x:f>
      </x:c>
      <x:c r="B157" s="31"/>
      <x:c r="C157" s="28"/>
      <x:c r="D157" s="30"/>
      <x:c r="E157" s="30"/>
      <x:c r="F157" s="32"/>
      <x:c r="G157" s="32"/>
      <x:c r="H157" s="31"/>
    </x:row>
    <x:row r="158" ht="20.049999237060547" customHeight="1">
      <x:c r="A158" s="44" t="str">
        <x:f>IF(COUNTA(B158:H158)=0,"",COUNTIF($B$5:B158,"&lt;&gt;"))</x:f>
      </x:c>
      <x:c r="B158" s="31"/>
      <x:c r="C158" s="28"/>
      <x:c r="D158" s="30"/>
      <x:c r="E158" s="30"/>
      <x:c r="F158" s="32"/>
      <x:c r="G158" s="32"/>
      <x:c r="H158" s="31"/>
    </x:row>
    <x:row r="159" ht="20.049999237060547" customHeight="1">
      <x:c r="A159" s="43" t="str">
        <x:f>IF(COUNTA(B159:H159)=0,"",COUNTIF($B$5:B159,"&lt;&gt;"))</x:f>
      </x:c>
      <x:c r="B159" s="31"/>
      <x:c r="C159" s="28"/>
      <x:c r="D159" s="30"/>
      <x:c r="E159" s="30"/>
      <x:c r="F159" s="32"/>
      <x:c r="G159" s="32"/>
      <x:c r="H159" s="31"/>
    </x:row>
    <x:row r="160" ht="20.049999237060547" customHeight="1">
      <x:c r="A160" s="44" t="str">
        <x:f>IF(COUNTA(B160:H160)=0,"",COUNTIF($B$5:B160,"&lt;&gt;"))</x:f>
      </x:c>
      <x:c r="B160" s="31"/>
      <x:c r="C160" s="28"/>
      <x:c r="D160" s="30"/>
      <x:c r="E160" s="30"/>
      <x:c r="F160" s="32"/>
      <x:c r="G160" s="32"/>
      <x:c r="H160" s="31"/>
    </x:row>
    <x:row r="161" ht="20.049999237060547" customHeight="1">
      <x:c r="A161" s="43" t="str">
        <x:f>IF(COUNTA(B161:H161)=0,"",COUNTIF($B$5:B161,"&lt;&gt;"))</x:f>
      </x:c>
      <x:c r="B161" s="31"/>
      <x:c r="C161" s="28"/>
      <x:c r="D161" s="30"/>
      <x:c r="E161" s="30"/>
      <x:c r="F161" s="32"/>
      <x:c r="G161" s="32"/>
      <x:c r="H161" s="31"/>
    </x:row>
    <x:row r="162" ht="20.049999237060547" customHeight="1">
      <x:c r="A162" s="44" t="str">
        <x:f>IF(COUNTA(B162:H162)=0,"",COUNTIF($B$5:B162,"&lt;&gt;"))</x:f>
      </x:c>
      <x:c r="B162" s="31"/>
      <x:c r="C162" s="28"/>
      <x:c r="D162" s="30"/>
      <x:c r="E162" s="30"/>
      <x:c r="F162" s="32"/>
      <x:c r="G162" s="32"/>
      <x:c r="H162" s="31"/>
    </x:row>
    <x:row r="163" ht="20.049999237060547" customHeight="1">
      <x:c r="A163" s="43" t="str">
        <x:f>IF(COUNTA(B163:H163)=0,"",COUNTIF($B$5:B163,"&lt;&gt;"))</x:f>
      </x:c>
      <x:c r="B163" s="31"/>
      <x:c r="C163" s="28"/>
      <x:c r="D163" s="30"/>
      <x:c r="E163" s="30"/>
      <x:c r="F163" s="32"/>
      <x:c r="G163" s="32"/>
      <x:c r="H163" s="31"/>
    </x:row>
    <x:row r="164" ht="20.049999237060547" customHeight="1">
      <x:c r="A164" s="44" t="str">
        <x:f>IF(COUNTA(B164:H164)=0,"",COUNTIF($B$5:B164,"&lt;&gt;"))</x:f>
      </x:c>
      <x:c r="B164" s="31"/>
      <x:c r="C164" s="28"/>
      <x:c r="D164" s="30"/>
      <x:c r="E164" s="30"/>
      <x:c r="F164" s="32"/>
      <x:c r="G164" s="32"/>
      <x:c r="H164" s="31"/>
    </x:row>
    <x:row r="165" ht="20.049999237060547" customHeight="1">
      <x:c r="A165" s="43" t="str">
        <x:f>IF(COUNTA(B165:H165)=0,"",COUNTIF($B$5:B165,"&lt;&gt;"))</x:f>
      </x:c>
      <x:c r="B165" s="31"/>
      <x:c r="C165" s="28"/>
      <x:c r="D165" s="30"/>
      <x:c r="E165" s="30"/>
      <x:c r="F165" s="32"/>
      <x:c r="G165" s="32"/>
      <x:c r="H165" s="31"/>
    </x:row>
    <x:row r="166" ht="20.049999237060547" customHeight="1">
      <x:c r="A166" s="44" t="str">
        <x:f>IF(COUNTA(B166:H166)=0,"",COUNTIF($B$5:B166,"&lt;&gt;"))</x:f>
      </x:c>
      <x:c r="B166" s="31"/>
      <x:c r="C166" s="28"/>
      <x:c r="D166" s="30"/>
      <x:c r="E166" s="30"/>
      <x:c r="F166" s="32"/>
      <x:c r="G166" s="32"/>
      <x:c r="H166" s="31"/>
    </x:row>
    <x:row r="167" ht="20.049999237060547" customHeight="1">
      <x:c r="A167" s="43" t="str">
        <x:f>IF(COUNTA(B167:H167)=0,"",COUNTIF($B$5:B167,"&lt;&gt;"))</x:f>
      </x:c>
      <x:c r="B167" s="31"/>
      <x:c r="C167" s="28"/>
      <x:c r="D167" s="30"/>
      <x:c r="E167" s="30"/>
      <x:c r="F167" s="32"/>
      <x:c r="G167" s="32"/>
      <x:c r="H167" s="31"/>
    </x:row>
    <x:row r="168" ht="20.049999237060547" customHeight="1">
      <x:c r="A168" s="44" t="str">
        <x:f>IF(COUNTA(B168:H168)=0,"",COUNTIF($B$5:B168,"&lt;&gt;"))</x:f>
      </x:c>
      <x:c r="B168" s="31"/>
      <x:c r="C168" s="28"/>
      <x:c r="D168" s="30"/>
      <x:c r="E168" s="30"/>
      <x:c r="F168" s="32"/>
      <x:c r="G168" s="32"/>
      <x:c r="H168" s="31"/>
    </x:row>
    <x:row r="169" ht="20.049999237060547" customHeight="1">
      <x:c r="A169" s="43" t="str">
        <x:f>IF(COUNTA(B169:H169)=0,"",COUNTIF($B$5:B169,"&lt;&gt;"))</x:f>
      </x:c>
      <x:c r="B169" s="31"/>
      <x:c r="C169" s="28"/>
      <x:c r="D169" s="30"/>
      <x:c r="E169" s="30"/>
      <x:c r="F169" s="32"/>
      <x:c r="G169" s="32"/>
      <x:c r="H169" s="31"/>
    </x:row>
    <x:row r="170" ht="20.049999237060547" customHeight="1">
      <x:c r="A170" s="44" t="str">
        <x:f>IF(COUNTA(B170:H170)=0,"",COUNTIF($B$5:B170,"&lt;&gt;"))</x:f>
      </x:c>
      <x:c r="B170" s="31"/>
      <x:c r="C170" s="28"/>
      <x:c r="D170" s="30"/>
      <x:c r="E170" s="30"/>
      <x:c r="F170" s="32"/>
      <x:c r="G170" s="32"/>
      <x:c r="H170" s="31"/>
    </x:row>
    <x:row r="171" ht="20.049999237060547" customHeight="1">
      <x:c r="A171" s="43" t="str">
        <x:f>IF(COUNTA(B171:H171)=0,"",COUNTIF($B$5:B171,"&lt;&gt;"))</x:f>
      </x:c>
      <x:c r="B171" s="31"/>
      <x:c r="C171" s="28"/>
      <x:c r="D171" s="30"/>
      <x:c r="E171" s="30"/>
      <x:c r="F171" s="32"/>
      <x:c r="G171" s="32"/>
      <x:c r="H171" s="31"/>
    </x:row>
    <x:row r="172" ht="20.049999237060547" customHeight="1">
      <x:c r="A172" s="44" t="str">
        <x:f>IF(COUNTA(B172:H172)=0,"",COUNTIF($B$5:B172,"&lt;&gt;"))</x:f>
      </x:c>
      <x:c r="B172" s="31"/>
      <x:c r="C172" s="28"/>
      <x:c r="D172" s="30"/>
      <x:c r="E172" s="30"/>
      <x:c r="F172" s="32"/>
      <x:c r="G172" s="32"/>
      <x:c r="H172" s="31"/>
    </x:row>
    <x:row r="173" ht="20.049999237060547" customHeight="1">
      <x:c r="A173" s="43" t="str">
        <x:f>IF(COUNTA(B173:H173)=0,"",COUNTIF($B$5:B173,"&lt;&gt;"))</x:f>
      </x:c>
      <x:c r="B173" s="31"/>
      <x:c r="C173" s="28"/>
      <x:c r="D173" s="30"/>
      <x:c r="E173" s="30"/>
      <x:c r="F173" s="32"/>
      <x:c r="G173" s="32"/>
      <x:c r="H173" s="31"/>
    </x:row>
    <x:row r="174" ht="20.049999237060547" customHeight="1">
      <x:c r="A174" s="44" t="str">
        <x:f>IF(COUNTA(B174:H174)=0,"",COUNTIF($B$5:B174,"&lt;&gt;"))</x:f>
      </x:c>
      <x:c r="B174" s="31"/>
      <x:c r="C174" s="28"/>
      <x:c r="D174" s="30"/>
      <x:c r="E174" s="30"/>
      <x:c r="F174" s="32"/>
      <x:c r="G174" s="32"/>
      <x:c r="H174" s="31"/>
    </x:row>
    <x:row r="175" ht="20.049999237060547" customHeight="1">
      <x:c r="A175" s="43" t="str">
        <x:f>IF(COUNTA(B175:H175)=0,"",COUNTIF($B$5:B175,"&lt;&gt;"))</x:f>
      </x:c>
      <x:c r="B175" s="31"/>
      <x:c r="C175" s="28"/>
      <x:c r="D175" s="30"/>
      <x:c r="E175" s="30"/>
      <x:c r="F175" s="32"/>
      <x:c r="G175" s="32"/>
      <x:c r="H175" s="31"/>
    </x:row>
    <x:row r="176" ht="20.049999237060547" customHeight="1">
      <x:c r="A176" s="44" t="str">
        <x:f>IF(COUNTA(B176:H176)=0,"",COUNTIF($B$5:B176,"&lt;&gt;"))</x:f>
      </x:c>
      <x:c r="B176" s="31"/>
      <x:c r="C176" s="28"/>
      <x:c r="D176" s="30"/>
      <x:c r="E176" s="30"/>
      <x:c r="F176" s="32"/>
      <x:c r="G176" s="32"/>
      <x:c r="H176" s="31"/>
    </x:row>
    <x:row r="177" ht="20.049999237060547" customHeight="1">
      <x:c r="A177" s="43" t="str">
        <x:f>IF(COUNTA(B177:H177)=0,"",COUNTIF($B$5:B177,"&lt;&gt;"))</x:f>
      </x:c>
      <x:c r="B177" s="31"/>
      <x:c r="C177" s="28"/>
      <x:c r="D177" s="30"/>
      <x:c r="E177" s="30"/>
      <x:c r="F177" s="32"/>
      <x:c r="G177" s="32"/>
      <x:c r="H177" s="31"/>
    </x:row>
    <x:row r="178" ht="20.049999237060547" customHeight="1">
      <x:c r="A178" s="44" t="str">
        <x:f>IF(COUNTA(B178:H178)=0,"",COUNTIF($B$5:B178,"&lt;&gt;"))</x:f>
      </x:c>
      <x:c r="B178" s="31"/>
      <x:c r="C178" s="28"/>
      <x:c r="D178" s="30"/>
      <x:c r="E178" s="30"/>
      <x:c r="F178" s="32"/>
      <x:c r="G178" s="32"/>
      <x:c r="H178" s="31"/>
    </x:row>
    <x:row r="179" ht="20.049999237060547" customHeight="1">
      <x:c r="A179" s="43" t="str">
        <x:f>IF(COUNTA(B179:H179)=0,"",COUNTIF($B$5:B179,"&lt;&gt;"))</x:f>
      </x:c>
      <x:c r="B179" s="31"/>
      <x:c r="C179" s="28"/>
      <x:c r="D179" s="30"/>
      <x:c r="E179" s="30"/>
      <x:c r="F179" s="32"/>
      <x:c r="G179" s="32"/>
      <x:c r="H179" s="31"/>
    </x:row>
    <x:row r="180" ht="20.049999237060547" customHeight="1">
      <x:c r="A180" s="44" t="str">
        <x:f>IF(COUNTA(B180:H180)=0,"",COUNTIF($B$5:B180,"&lt;&gt;"))</x:f>
      </x:c>
      <x:c r="B180" s="31"/>
      <x:c r="C180" s="28"/>
      <x:c r="D180" s="30"/>
      <x:c r="E180" s="30"/>
      <x:c r="F180" s="32"/>
      <x:c r="G180" s="32"/>
      <x:c r="H180" s="31"/>
    </x:row>
    <x:row r="181" ht="20.049999237060547" customHeight="1">
      <x:c r="A181" s="43" t="str">
        <x:f>IF(COUNTA(B181:H181)=0,"",COUNTIF($B$5:B181,"&lt;&gt;"))</x:f>
      </x:c>
      <x:c r="B181" s="31"/>
      <x:c r="C181" s="28"/>
      <x:c r="D181" s="30"/>
      <x:c r="E181" s="30"/>
      <x:c r="F181" s="32"/>
      <x:c r="G181" s="32"/>
      <x:c r="H181" s="31"/>
    </x:row>
    <x:row r="182" ht="20.049999237060547" customHeight="1">
      <x:c r="A182" s="44" t="str">
        <x:f>IF(COUNTA(B182:H182)=0,"",COUNTIF($B$5:B182,"&lt;&gt;"))</x:f>
      </x:c>
      <x:c r="B182" s="31"/>
      <x:c r="C182" s="28"/>
      <x:c r="D182" s="30"/>
      <x:c r="E182" s="30"/>
      <x:c r="F182" s="32"/>
      <x:c r="G182" s="32"/>
      <x:c r="H182" s="31"/>
    </x:row>
    <x:row r="183" ht="20.049999237060547" customHeight="1">
      <x:c r="A183" s="43" t="str">
        <x:f>IF(COUNTA(B183:H183)=0,"",COUNTIF($B$5:B183,"&lt;&gt;"))</x:f>
      </x:c>
      <x:c r="B183" s="31"/>
      <x:c r="C183" s="28"/>
      <x:c r="D183" s="30"/>
      <x:c r="E183" s="30"/>
      <x:c r="F183" s="32"/>
      <x:c r="G183" s="32"/>
      <x:c r="H183" s="31"/>
    </x:row>
    <x:row r="184" ht="20.049999237060547" customHeight="1">
      <x:c r="A184" s="44" t="str">
        <x:f>IF(COUNTA(B184:H184)=0,"",COUNTIF($B$5:B184,"&lt;&gt;"))</x:f>
      </x:c>
      <x:c r="B184" s="31"/>
      <x:c r="C184" s="28"/>
      <x:c r="D184" s="30"/>
      <x:c r="E184" s="30"/>
      <x:c r="F184" s="32"/>
      <x:c r="G184" s="32"/>
      <x:c r="H184" s="31"/>
    </x:row>
    <x:row r="185" ht="20.049999237060547" customHeight="1">
      <x:c r="A185" s="43" t="str">
        <x:f>IF(COUNTA(B185:H185)=0,"",COUNTIF($B$5:B185,"&lt;&gt;"))</x:f>
      </x:c>
      <x:c r="B185" s="31"/>
      <x:c r="C185" s="28"/>
      <x:c r="D185" s="30"/>
      <x:c r="E185" s="30"/>
      <x:c r="F185" s="32"/>
      <x:c r="G185" s="32"/>
      <x:c r="H185" s="31"/>
    </x:row>
    <x:row r="186" ht="20.049999237060547" customHeight="1">
      <x:c r="A186" s="44" t="str">
        <x:f>IF(COUNTA(B186:H186)=0,"",COUNTIF($B$5:B186,"&lt;&gt;"))</x:f>
      </x:c>
      <x:c r="B186" s="31"/>
      <x:c r="C186" s="28"/>
      <x:c r="D186" s="30"/>
      <x:c r="E186" s="30"/>
      <x:c r="F186" s="32"/>
      <x:c r="G186" s="32"/>
      <x:c r="H186" s="31"/>
    </x:row>
    <x:row r="187" ht="20.049999237060547" customHeight="1">
      <x:c r="A187" s="43" t="str">
        <x:f>IF(COUNTA(B187:H187)=0,"",COUNTIF($B$5:B187,"&lt;&gt;"))</x:f>
      </x:c>
      <x:c r="B187" s="31"/>
      <x:c r="C187" s="28"/>
      <x:c r="D187" s="30"/>
      <x:c r="E187" s="30"/>
      <x:c r="F187" s="32"/>
      <x:c r="G187" s="32"/>
      <x:c r="H187" s="31"/>
    </x:row>
    <x:row r="188" ht="20.049999237060547" customHeight="1">
      <x:c r="A188" s="44" t="str">
        <x:f>IF(COUNTA(B188:H188)=0,"",COUNTIF($B$5:B188,"&lt;&gt;"))</x:f>
      </x:c>
      <x:c r="B188" s="31"/>
      <x:c r="C188" s="28"/>
      <x:c r="D188" s="30"/>
      <x:c r="E188" s="30"/>
      <x:c r="F188" s="32"/>
      <x:c r="G188" s="32"/>
      <x:c r="H188" s="31"/>
    </x:row>
    <x:row r="189" ht="20.049999237060547" customHeight="1">
      <x:c r="A189" s="43" t="str">
        <x:f>IF(COUNTA(B189:H189)=0,"",COUNTIF($B$5:B189,"&lt;&gt;"))</x:f>
      </x:c>
      <x:c r="B189" s="31"/>
      <x:c r="C189" s="28"/>
      <x:c r="D189" s="30"/>
      <x:c r="E189" s="30"/>
      <x:c r="F189" s="32"/>
      <x:c r="G189" s="32"/>
      <x:c r="H189" s="31"/>
    </x:row>
    <x:row r="190" ht="20.049999237060547" customHeight="1">
      <x:c r="A190" s="44" t="str">
        <x:f>IF(COUNTA(B190:H190)=0,"",COUNTIF($B$5:B190,"&lt;&gt;"))</x:f>
      </x:c>
      <x:c r="B190" s="31"/>
      <x:c r="C190" s="28"/>
      <x:c r="D190" s="30"/>
      <x:c r="E190" s="30"/>
      <x:c r="F190" s="32"/>
      <x:c r="G190" s="32"/>
      <x:c r="H190" s="31"/>
    </x:row>
    <x:row r="191" ht="20.049999237060547" customHeight="1">
      <x:c r="A191" s="43" t="str">
        <x:f>IF(COUNTA(B191:H191)=0,"",COUNTIF($B$5:B191,"&lt;&gt;"))</x:f>
      </x:c>
      <x:c r="B191" s="31"/>
      <x:c r="C191" s="28"/>
      <x:c r="D191" s="30"/>
      <x:c r="E191" s="30"/>
      <x:c r="F191" s="32"/>
      <x:c r="G191" s="32"/>
      <x:c r="H191" s="31"/>
    </x:row>
    <x:row r="192" ht="20.049999237060547" customHeight="1">
      <x:c r="A192" s="44" t="str">
        <x:f>IF(COUNTA(B192:H192)=0,"",COUNTIF($B$5:B192,"&lt;&gt;"))</x:f>
      </x:c>
      <x:c r="B192" s="31"/>
      <x:c r="C192" s="28"/>
      <x:c r="D192" s="30"/>
      <x:c r="E192" s="30"/>
      <x:c r="F192" s="32"/>
      <x:c r="G192" s="32"/>
      <x:c r="H192" s="31"/>
    </x:row>
    <x:row r="193" ht="20.049999237060547" customHeight="1">
      <x:c r="A193" s="43" t="str">
        <x:f>IF(COUNTA(B193:H193)=0,"",COUNTIF($B$5:B193,"&lt;&gt;"))</x:f>
      </x:c>
      <x:c r="B193" s="31"/>
      <x:c r="C193" s="28"/>
      <x:c r="D193" s="30"/>
      <x:c r="E193" s="30"/>
      <x:c r="F193" s="32"/>
      <x:c r="G193" s="32"/>
      <x:c r="H193" s="31"/>
    </x:row>
    <x:row r="194" ht="20.049999237060547" customHeight="1">
      <x:c r="A194" s="44" t="str">
        <x:f>IF(COUNTA(B194:H194)=0,"",COUNTIF($B$5:B194,"&lt;&gt;"))</x:f>
      </x:c>
      <x:c r="B194" s="31"/>
      <x:c r="C194" s="28"/>
      <x:c r="D194" s="30"/>
      <x:c r="E194" s="30"/>
      <x:c r="F194" s="32"/>
      <x:c r="G194" s="32"/>
      <x:c r="H194" s="31"/>
    </x:row>
    <x:row r="195" ht="20.049999237060547" customHeight="1">
      <x:c r="A195" s="43" t="str">
        <x:f>IF(COUNTA(B195:H195)=0,"",COUNTIF($B$5:B195,"&lt;&gt;"))</x:f>
      </x:c>
      <x:c r="B195" s="31"/>
      <x:c r="C195" s="28"/>
      <x:c r="D195" s="30"/>
      <x:c r="E195" s="30"/>
      <x:c r="F195" s="32"/>
      <x:c r="G195" s="32"/>
      <x:c r="H195" s="31"/>
    </x:row>
    <x:row r="196" ht="20.049999237060547" customHeight="1">
      <x:c r="A196" s="44" t="str">
        <x:f>IF(COUNTA(B196:H196)=0,"",COUNTIF($B$5:B196,"&lt;&gt;"))</x:f>
      </x:c>
      <x:c r="B196" s="31"/>
      <x:c r="C196" s="28"/>
      <x:c r="D196" s="30"/>
      <x:c r="E196" s="30"/>
      <x:c r="F196" s="32"/>
      <x:c r="G196" s="32"/>
      <x:c r="H196" s="31"/>
    </x:row>
    <x:row r="197" ht="20.049999237060547" customHeight="1">
      <x:c r="A197" s="43" t="str">
        <x:f>IF(COUNTA(B197:H197)=0,"",COUNTIF($B$5:B197,"&lt;&gt;"))</x:f>
      </x:c>
      <x:c r="B197" s="31"/>
      <x:c r="C197" s="28"/>
      <x:c r="D197" s="30"/>
      <x:c r="E197" s="30"/>
      <x:c r="F197" s="32"/>
      <x:c r="G197" s="32"/>
      <x:c r="H197" s="31"/>
    </x:row>
    <x:row r="198" ht="20.049999237060547" customHeight="1">
      <x:c r="A198" s="44" t="str">
        <x:f>IF(COUNTA(B198:H198)=0,"",COUNTIF($B$5:B198,"&lt;&gt;"))</x:f>
      </x:c>
      <x:c r="B198" s="31"/>
      <x:c r="C198" s="28"/>
      <x:c r="D198" s="30"/>
      <x:c r="E198" s="30"/>
      <x:c r="F198" s="32"/>
      <x:c r="G198" s="32"/>
      <x:c r="H198" s="31"/>
    </x:row>
    <x:row r="199" ht="20.049999237060547" customHeight="1">
      <x:c r="A199" s="43" t="str">
        <x:f>IF(COUNTA(B199:H199)=0,"",COUNTIF($B$5:B199,"&lt;&gt;"))</x:f>
      </x:c>
      <x:c r="B199" s="31"/>
      <x:c r="C199" s="28"/>
      <x:c r="D199" s="30"/>
      <x:c r="E199" s="30"/>
      <x:c r="F199" s="32"/>
      <x:c r="G199" s="32"/>
      <x:c r="H199" s="31"/>
    </x:row>
    <x:row r="200" ht="20.049999237060547" customHeight="1">
      <x:c r="A200" s="44" t="str">
        <x:f>IF(COUNTA(B200:H200)=0,"",COUNTIF($B$5:B200,"&lt;&gt;"))</x:f>
      </x:c>
      <x:c r="B200" s="31"/>
      <x:c r="C200" s="28"/>
      <x:c r="D200" s="30"/>
      <x:c r="E200" s="30"/>
      <x:c r="F200" s="32"/>
      <x:c r="G200" s="32"/>
      <x:c r="H200" s="31"/>
    </x:row>
    <x:row r="201" ht="20.049999237060547" customHeight="1">
      <x:c r="A201" s="43" t="str">
        <x:f>IF(COUNTA(B201:H201)=0,"",COUNTIF($B$5:B201,"&lt;&gt;"))</x:f>
      </x:c>
      <x:c r="B201" s="31"/>
      <x:c r="C201" s="28"/>
      <x:c r="D201" s="30"/>
      <x:c r="E201" s="30"/>
      <x:c r="F201" s="32"/>
      <x:c r="G201" s="32"/>
      <x:c r="H201" s="31"/>
    </x:row>
    <x:row r="202" ht="20.049999237060547" customHeight="1">
      <x:c r="A202" s="44" t="str">
        <x:f>IF(COUNTA(B202:H202)=0,"",COUNTIF($B$5:B202,"&lt;&gt;"))</x:f>
      </x:c>
      <x:c r="B202" s="31"/>
      <x:c r="C202" s="28"/>
      <x:c r="D202" s="30"/>
      <x:c r="E202" s="30"/>
      <x:c r="F202" s="32"/>
      <x:c r="G202" s="32"/>
      <x:c r="H202" s="31"/>
    </x:row>
    <x:row r="203" ht="20.049999237060547" customHeight="1">
      <x:c r="A203" s="43" t="str">
        <x:f>IF(COUNTA(B203:H203)=0,"",COUNTIF($B$5:B203,"&lt;&gt;"))</x:f>
      </x:c>
      <x:c r="B203" s="31"/>
      <x:c r="C203" s="28"/>
      <x:c r="D203" s="30"/>
      <x:c r="E203" s="30"/>
      <x:c r="F203" s="32"/>
      <x:c r="G203" s="32"/>
      <x:c r="H203" s="31"/>
    </x:row>
    <x:row r="204" ht="20.049999237060547" customHeight="1">
      <x:c r="A204" s="44" t="str">
        <x:f>IF(COUNTA(B204:H204)=0,"",COUNTIF($B$5:B204,"&lt;&gt;"))</x:f>
      </x:c>
      <x:c r="B204" s="34"/>
      <x:c r="C204" s="45"/>
      <x:c r="D204" s="33"/>
      <x:c r="E204" s="33"/>
      <x:c r="F204" s="35"/>
      <x:c r="G204" s="35"/>
      <x:c r="H204" s="34"/>
    </x:row>
  </x:sheetData>
  <x:mergeCells>
    <x:mergeCell ref="A1:H1"/>
    <x:mergeCell ref="A2:H2"/>
  </x:mergeCells>
  <x:dataValidations count="4">
    <x:dataValidation type="custom" allowBlank="1" showInputMessage="1" showErrorMessage="1" errorTitle="Invalid due date" error="Enter a date on or after the raised date." promptTitle="Due / review date" prompt="Due/review date must be on or after the raised date." sqref="G5:G204">
      <x:formula1>OR(G5="",F5="",G5&gt;=F5)</x:formula1>
    </x:dataValidation>
    <x:dataValidation type="list" allowBlank="1" showDropDown="0" showInputMessage="1" showErrorMessage="1" sqref="B5:B204">
      <x:formula1>List_Initiative_ID</x:formula1>
    </x:dataValidation>
    <x:dataValidation type="list" allowBlank="1" showDropDown="0" showInputMessage="1" showErrorMessage="1" sqref="C5:C204">
      <x:formula1>"Action,Risk,Assumption,Issue,Dependency,Decision,Change,Evidence requirement"</x:formula1>
    </x:dataValidation>
    <x:dataValidation type="list" allowBlank="1" showDropDown="0" showInputMessage="1" showErrorMessage="1" sqref="H5:H204">
      <x:formula1>"Open,Monitoring,Escalated,Closed,Superseded"</x:formula1>
    </x:dataValidation>
  </x:dataValidations>
  <x:pageMargins left="0.7" right="0.7" top="0.75" bottom="0.75" header="0.3" footer="0.3"/>
  <x:drawing xmlns:r="http://schemas.openxmlformats.org/officeDocument/2006/relationships" r:id="R17f3ce1a28e84b3e"/>
  <x:tableParts count="1">
    <x:tablePart xmlns:r="http://schemas.openxmlformats.org/officeDocument/2006/relationships" r:id="Rb426f3a3a0894296"/>
  </x:tableParts>
</x:worksheet>
</file>

<file path=xl/worksheets/sheet6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RowHeight="14.149999618530273"/>
  <x:cols>
    <x:col min="1" max="1" width="25.85546875" customWidth="1"/>
    <x:col min="2" max="2" width="22.5" customWidth="1"/>
    <x:col min="3" max="3" width="18.35546875" customWidth="1"/>
    <x:col min="4" max="5" width="29.140625" customWidth="1"/>
    <x:col min="6" max="6" width="13.35546875" customWidth="1"/>
    <x:col min="7" max="7" width="22.5" customWidth="1"/>
    <x:col min="8" max="9" width="18.35546875" customWidth="1"/>
    <x:col min="10" max="10" width="23.35546875" customWidth="1"/>
    <x:col min="11" max="11" width="29.140625" customWidth="1"/>
    <x:col min="12" max="12" width="15" customWidth="1"/>
    <x:col min="13" max="13" width="14.140625" customWidth="1"/>
    <x:col min="14" max="16" width="0" hidden="1" customWidth="1"/>
    <x:col min="17" max="17" width="36" hidden="0" customWidth="1"/>
    <x:col min="18" max="18" width="36" hidden="0" customWidth="1"/>
    <x:col min="19" max="19" width="36" hidden="0" customWidth="1"/>
  </x:cols>
  <x:sheetData>
    <x:row r="1" ht="34" customHeight="1">
      <x:c r="A1" s="57" t="s">
        <x:v>198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1"/>
    </x:row>
    <x:row r="2" ht="8.050000190734863" customHeight="1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25"/>
    </x:row>
    <x:row r="3" ht="8.050000190734863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</x:row>
    <x:row r="4" ht="38.04999923706055" customHeight="1">
      <x:c r="A4" s="46" t="s">
        <x:v>30</x:v>
      </x:c>
      <x:c r="B4" s="46" t="s">
        <x:v>9</x:v>
      </x:c>
      <x:c r="C4" s="46" t="s">
        <x:v>199</x:v>
      </x:c>
      <x:c r="D4" s="46" t="s">
        <x:v>200</x:v>
      </x:c>
      <x:c r="E4" s="46" t="s">
        <x:v>201</x:v>
      </x:c>
      <x:c r="F4" s="46" t="s">
        <x:v>202</x:v>
      </x:c>
      <x:c r="G4" s="46" t="s">
        <x:v>203</x:v>
      </x:c>
      <x:c r="H4" s="46" t="s">
        <x:v>204</x:v>
      </x:c>
      <x:c r="I4" s="46" t="s">
        <x:v>205</x:v>
      </x:c>
      <x:c r="J4" s="46" t="s">
        <x:v>206</x:v>
      </x:c>
      <x:c r="K4" s="46" t="s">
        <x:v>207</x:v>
      </x:c>
      <x:c r="L4" s="46" t="s">
        <x:v>208</x:v>
      </x:c>
      <x:c r="M4" s="46" t="s">
        <x:v>6</x:v>
      </x:c>
      <x:c r="N4" t="s">
        <x:v>209</x:v>
      </x:c>
      <x:c r="O4" t="s">
        <x:v>210</x:v>
      </x:c>
      <x:c r="P4" t="s">
        <x:v>211</x:v>
      </x:c>
      <x:c r="Q4" t="str">
        <x:v>Entry Basis</x:v>
      </x:c>
      <x:c r="R4" t="str">
        <x:v>Delivery Model</x:v>
      </x:c>
      <x:c r="S4" t="str">
        <x:v>Financial Reporting Basis</x:v>
      </x:c>
    </x:row>
    <x:row r="5" ht="20.049999237060547" customHeight="1">
      <x:c r="A5" s="27" t="str">
        <x:v>Authorised</x:v>
      </x:c>
      <x:c r="B5" s="27" t="s">
        <x:v>38</x:v>
      </x:c>
      <x:c r="C5" s="27" t="s">
        <x:v>177</x:v>
      </x:c>
      <x:c r="D5" s="27" t="str">
        <x:v>Development Route</x:v>
      </x:c>
      <x:c r="E5" s="27" t="s">
        <x:v>212</x:v>
      </x:c>
      <x:c r="F5" s="27" t="s">
        <x:v>213</x:v>
      </x:c>
      <x:c r="G5" s="27" t="s">
        <x:v>46</x:v>
      </x:c>
      <x:c r="H5" s="27" t="s">
        <x:v>7</x:v>
      </x:c>
      <x:c r="I5" s="27" t="s">
        <x:v>214</x:v>
      </x:c>
      <x:c r="J5" s="27" t="s">
        <x:v>174</x:v>
      </x:c>
      <x:c r="K5" s="27" t="s">
        <x:v>160</x:v>
      </x:c>
      <x:c r="L5" s="27" t="s">
        <x:v>161</x:v>
      </x:c>
      <x:c r="M5" s="52" t="str">
        <x:f>IF(INITIATIVES!A5="","",INITIATIVES!A5)</x:f>
        <x:v>DIG-001</x:v>
      </x:c>
      <x:c r="N5" s="53" t="n" cm="1">
        <x:f t="array" ref="N5:N16">_xlfn._xlws.FILTER(PEP!$A$5:$A$204,(PEP!$A$5:$A$204&lt;&gt;"")*(PEP!$C$5:$C$204="Initiative"),"")</x:f>
        <x:v>1</x:v>
      </x:c>
      <x:c r="O5" s="53" t="n" cm="1">
        <x:f t="array" ref="O5:O16">_xlfn._xlws.FILTER(PEP!$A$5:$A$204,(PEP!$A$5:$A$204&lt;&gt;"")*(PEP!$C$5:$C$204="Milestone"),"")</x:f>
        <x:v>1.1</x:v>
      </x:c>
      <x:c r="P5"/>
      <x:c r="Q5" t="str">
        <x:v>Approved Digital Initiation Form</x:v>
      </x:c>
      <x:c r="R5" t="str">
        <x:v>Development-led delivery</x:v>
      </x:c>
      <x:c r="S5" t="str">
        <x:v>Full budget performance</x:v>
      </x:c>
    </x:row>
    <x:row r="6" ht="20.049999237060547" customHeight="1">
      <x:c r="A6" s="30" t="str">
        <x:v>Mobilising</x:v>
      </x:c>
      <x:c r="B6" s="30" t="s">
        <x:v>55</x:v>
      </x:c>
      <x:c r="C6" s="30" t="s">
        <x:v>180</x:v>
      </x:c>
      <x:c r="D6" s="30" t="str">
        <x:v>Implementation Route</x:v>
      </x:c>
      <x:c r="E6" s="30" t="s">
        <x:v>215</x:v>
      </x:c>
      <x:c r="F6" s="30" t="s">
        <x:v>216</x:v>
      </x:c>
      <x:c r="G6" s="30" t="s">
        <x:v>39</x:v>
      </x:c>
      <x:c r="H6" s="30" t="s">
        <x:v>97</x:v>
      </x:c>
      <x:c r="I6" s="30" t="s">
        <x:v>217</x:v>
      </x:c>
      <x:c r="J6" s="30" t="s">
        <x:v>171</x:v>
      </x:c>
      <x:c r="K6" s="30" t="s">
        <x:v>162</x:v>
      </x:c>
      <x:c r="L6" s="30" t="s">
        <x:v>163</x:v>
      </x:c>
      <x:c r="M6" s="52" t="str">
        <x:f>IF(INITIATIVES!A6="","",INITIATIVES!A6)</x:f>
        <x:v>DIG-002</x:v>
      </x:c>
      <x:c r="N6" s="53" t="n">
        <x:v>2</x:v>
      </x:c>
      <x:c r="O6" s="53" t="n">
        <x:v>2.1</x:v>
      </x:c>
      <x:c r="Q6" t="str">
        <x:v>Approved transition / enterprise mandate</x:v>
      </x:c>
      <x:c r="R6" t="str">
        <x:v>Digital-led implementation / support</x:v>
      </x:c>
      <x:c r="S6" t="str">
        <x:v>Owner-supplied summary</x:v>
      </x:c>
    </x:row>
    <x:row r="7" ht="20.049999237060547" customHeight="1">
      <x:c r="A7" s="30" t="str">
        <x:v>In Delivery</x:v>
      </x:c>
      <x:c r="B7" s="30" t="s">
        <x:v>44</x:v>
      </x:c>
      <x:c r="C7" s="30" t="s">
        <x:v>173</x:v>
      </x:c>
      <x:c r="D7" s="30" t="str">
        <x:v>Support Route</x:v>
      </x:c>
      <x:c r="E7" s="30" t="s">
        <x:v>218</x:v>
      </x:c>
      <x:c r="F7" s="30" t="s">
        <x:v>46</x:v>
      </x:c>
      <x:c r="G7" s="30" t="s">
        <x:v>219</x:v>
      </x:c>
      <x:c r="H7" s="30" t="s">
        <x:v>99</x:v>
      </x:c>
      <x:c r="I7" s="30" t="s">
        <x:v>220</x:v>
      </x:c>
      <x:c r="J7" s="30" t="s">
        <x:v>188</x:v>
      </x:c>
      <x:c r="K7" s="30" t="s">
        <x:v>221</x:v>
      </x:c>
      <x:c r="L7" s="30"/>
      <x:c r="M7" s="52" t="str">
        <x:f>IF(INITIATIVES!A7="","",INITIATIVES!A7)</x:f>
        <x:v>DIG-003</x:v>
      </x:c>
      <x:c r="N7" s="53" t="n">
        <x:v>3</x:v>
      </x:c>
      <x:c r="O7" s="53" t="n">
        <x:v>3.1</x:v>
      </x:c>
      <x:c r="Q7" t="str">
        <x:v>Contract / procurement approval</x:v>
      </x:c>
      <x:c r="R7" t="str">
        <x:v>Vendor-led implementation with Digital client-side assurance</x:v>
      </x:c>
      <x:c r="S7" t="str">
        <x:v>Approved changes / variations only</x:v>
      </x:c>
    </x:row>
    <x:row r="8" ht="20.049999237060547" customHeight="1">
      <x:c r="A8" s="30" t="str">
        <x:v>Adoption / Handover</x:v>
      </x:c>
      <x:c r="B8" s="30" t="s">
        <x:v>75</x:v>
      </x:c>
      <x:c r="C8" s="30" t="s">
        <x:v>222</x:v>
      </x:c>
      <x:c r="D8" s="30" t="str">
        <x:v>TBC</x:v>
      </x:c>
      <x:c r="E8" s="30" t="s">
        <x:v>223</x:v>
      </x:c>
      <x:c r="F8" s="30"/>
      <x:c r="G8" s="30" t="s">
        <x:v>224</x:v>
      </x:c>
      <x:c r="H8" s="30" t="s">
        <x:v>225</x:v>
      </x:c>
      <x:c r="I8" s="30" t="s">
        <x:v>226</x:v>
      </x:c>
      <x:c r="J8" s="30" t="s">
        <x:v>192</x:v>
      </x:c>
      <x:c r="K8" s="30"/>
      <x:c r="L8" s="30"/>
      <x:c r="M8" s="52" t="str">
        <x:f>IF(INITIATIVES!A8="","",INITIATIVES!A8)</x:f>
        <x:v>DIG-004</x:v>
      </x:c>
      <x:c r="N8" s="53" t="n">
        <x:v>4</x:v>
      </x:c>
      <x:c r="O8" s="53" t="n">
        <x:v>4.1</x:v>
      </x:c>
      <x:c r="Q8" t="str">
        <x:v>Leadership instruction</x:v>
      </x:c>
      <x:c r="R8" t="str">
        <x:v>TBC</x:v>
      </x:c>
      <x:c r="S8" t="str">
        <x:v>Emerging cost impacts / exceptions only</x:v>
      </x:c>
    </x:row>
    <x:row r="9" ht="20.049999237060547" customHeight="1">
      <x:c r="A9" s="30" t="str">
        <x:v>Operational / Live</x:v>
      </x:c>
      <x:c r="B9" s="30" t="s">
        <x:v>61</x:v>
      </x:c>
      <x:c r="C9" s="30" t="s">
        <x:v>223</x:v>
      </x:c>
      <x:c r="D9" s="30"/>
      <x:c r="E9" s="30"/>
      <x:c r="F9" s="30"/>
      <x:c r="G9" s="30"/>
      <x:c r="H9" s="30"/>
      <x:c r="I9" s="30"/>
      <x:c r="J9" s="30" t="s">
        <x:v>184</x:v>
      </x:c>
      <x:c r="K9" s="30"/>
      <x:c r="L9" s="30"/>
      <x:c r="M9" s="52" t="str">
        <x:f>IF(INITIATIVES!A9="","",INITIATIVES!A9)</x:f>
        <x:v>DIG-005</x:v>
      </x:c>
      <x:c r="N9" s="53" t="n">
        <x:v>5</x:v>
      </x:c>
      <x:c r="O9" s="53" t="n">
        <x:v>5.1</x:v>
      </x:c>
      <x:c r="Q9" t="str">
        <x:v>Existing live project adoption</x:v>
      </x:c>
      <x:c r="R9"/>
      <x:c r="S9" t="str">
        <x:v>No financial reporting</x:v>
      </x:c>
    </x:row>
    <x:row r="10" ht="20.049999237060547" customHeight="1">
      <x:c r="A10" s="30" t="str">
        <x:v>Paused (On Hold)</x:v>
      </x:c>
      <x:c r="B10" s="30" t="s">
        <x:v>82</x:v>
      </x:c>
      <x:c r="C10" s="30"/>
      <x:c r="D10" s="30"/>
      <x:c r="E10" s="30"/>
      <x:c r="F10" s="30"/>
      <x:c r="G10" s="30"/>
      <x:c r="H10" s="30"/>
      <x:c r="I10" s="30"/>
      <x:c r="J10" s="30" t="s">
        <x:v>182</x:v>
      </x:c>
      <x:c r="K10" s="30"/>
      <x:c r="L10" s="30"/>
      <x:c r="M10" s="52" t="str">
        <x:f>IF(INITIATIVES!A10="","",INITIATIVES!A10)</x:f>
        <x:v>DIG-006</x:v>
      </x:c>
      <x:c r="N10" s="53" t="n">
        <x:v>6</x:v>
      </x:c>
      <x:c r="O10" s="53" t="n">
        <x:v>6.1</x:v>
      </x:c>
      <x:c r="Q10" t="str">
        <x:v>Exception entry — authority not evidenced</x:v>
      </x:c>
      <x:c r="R10"/>
      <x:c r="S10" t="str">
        <x:v>TBC</x:v>
      </x:c>
    </x:row>
    <x:row r="11" ht="20.049999237060547" customHeight="1">
      <x:c r="A11" s="30" t="str">
        <x:v>Closed / Retired</x:v>
      </x:c>
      <x:c r="B11" s="30" t="s">
        <x:v>222</x:v>
      </x:c>
      <x:c r="C11" s="30"/>
      <x:c r="D11" s="30"/>
      <x:c r="E11" s="30"/>
      <x:c r="F11" s="30"/>
      <x:c r="G11" s="30"/>
      <x:c r="H11" s="30"/>
      <x:c r="I11" s="30"/>
      <x:c r="J11" s="30" t="s">
        <x:v>227</x:v>
      </x:c>
      <x:c r="K11" s="30"/>
      <x:c r="L11" s="30"/>
      <x:c r="M11" s="52" t="str">
        <x:f>IF(INITIATIVES!A11="","",INITIATIVES!A11)</x:f>
        <x:v>DIG-007</x:v>
      </x:c>
      <x:c r="N11" s="53" t="n">
        <x:v>7</x:v>
      </x:c>
      <x:c r="O11" s="53" t="n">
        <x:v>7.1</x:v>
      </x:c>
      <x:c r="Q11" t="str">
        <x:v>TBC</x:v>
      </x:c>
      <x:c r="R11"/>
      <x:c r="S11"/>
    </x:row>
    <x:row r="12" ht="20.049999237060547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 t="s">
        <x:v>178</x:v>
      </x:c>
      <x:c r="K12" s="30"/>
      <x:c r="L12" s="30"/>
      <x:c r="M12" s="52" t="str">
        <x:f>IF(INITIATIVES!A12="","",INITIATIVES!A12)</x:f>
        <x:v>DIG-008</x:v>
      </x:c>
      <x:c r="N12" s="53" t="n">
        <x:v>8</x:v>
      </x:c>
      <x:c r="O12" s="53" t="n">
        <x:v>8.1</x:v>
      </x:c>
      <x:c r="Q12"/>
      <x:c r="R12"/>
      <x:c r="S12"/>
    </x:row>
    <x:row r="13" ht="20.049999237060547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52" t="str">
        <x:f>IF(INITIATIVES!A13="","",INITIATIVES!A13)</x:f>
        <x:v>DIG-009</x:v>
      </x:c>
      <x:c r="N13" s="53" t="n">
        <x:v>9</x:v>
      </x:c>
      <x:c r="O13" s="53" t="n">
        <x:v>9.1</x:v>
      </x:c>
      <x:c r="Q13"/>
      <x:c r="R13"/>
      <x:c r="S13"/>
    </x:row>
    <x:row r="14" ht="20.049999237060547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52" t="str">
        <x:f>IF(INITIATIVES!A14="","",INITIATIVES!A14)</x:f>
        <x:v>DIG-010</x:v>
      </x:c>
      <x:c r="N14" s="53" t="n">
        <x:v>10</x:v>
      </x:c>
      <x:c r="O14" s="53" t="n">
        <x:v>10.1</x:v>
      </x:c>
      <x:c r="Q14"/>
      <x:c r="R14"/>
      <x:c r="S14"/>
    </x:row>
    <x:row r="15" ht="20.049999237060547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52" t="str">
        <x:f>IF(INITIATIVES!A15="","",INITIATIVES!A15)</x:f>
        <x:v>DIG-011</x:v>
      </x:c>
      <x:c r="N15" s="53" t="n">
        <x:v>11</x:v>
      </x:c>
      <x:c r="O15" s="53" t="n">
        <x:v>11.1</x:v>
      </x:c>
      <x:c r="Q15"/>
      <x:c r="R15"/>
      <x:c r="S15"/>
    </x:row>
    <x:row r="16" ht="20.049999237060547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52" t="str">
        <x:f>IF(INITIATIVES!A16="","",INITIATIVES!A16)</x:f>
        <x:v>DIG-012</x:v>
      </x:c>
      <x:c r="N16" s="53" t="n">
        <x:v>12</x:v>
      </x:c>
      <x:c r="O16" s="53" t="n">
        <x:v>12.1</x:v>
      </x:c>
      <x:c r="Q16"/>
      <x:c r="R16"/>
      <x:c r="S16"/>
    </x:row>
    <x:row r="17" ht="20.049999237060547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52" t="str">
        <x:f>IF(INITIATIVES!A17="","",INITIATIVES!A17)</x:f>
      </x:c>
      <x:c r="N17" s="53"/>
      <x:c r="O17" s="53"/>
      <x:c r="Q17"/>
      <x:c r="R17"/>
      <x:c r="S17"/>
    </x:row>
    <x:row r="18" ht="20.049999237060547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52" t="str">
        <x:f>IF(INITIATIVES!A18="","",INITIATIVES!A18)</x:f>
      </x:c>
      <x:c r="N18" s="53"/>
      <x:c r="O18" s="53"/>
      <x:c r="Q18"/>
      <x:c r="R18"/>
      <x:c r="S18"/>
    </x:row>
    <x:row r="19" ht="20.049999237060547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52" t="str">
        <x:f>IF(INITIATIVES!A19="","",INITIATIVES!A19)</x:f>
      </x:c>
      <x:c r="N19" s="53"/>
      <x:c r="O19" s="53"/>
      <x:c r="Q19"/>
      <x:c r="R19"/>
      <x:c r="S19"/>
    </x:row>
    <x:row r="20" ht="20.049999237060547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52" t="str">
        <x:f>IF(INITIATIVES!A20="","",INITIATIVES!A20)</x:f>
      </x:c>
      <x:c r="N20" s="53"/>
      <x:c r="O20" s="53"/>
      <x:c r="Q20"/>
      <x:c r="R20"/>
      <x:c r="S20"/>
    </x:row>
    <x:row r="21" ht="20.049999237060547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52" t="str">
        <x:f>IF(INITIATIVES!A21="","",INITIATIVES!A21)</x:f>
      </x:c>
      <x:c r="N21" s="53"/>
      <x:c r="O21" s="53"/>
      <x:c r="Q21"/>
      <x:c r="R21"/>
      <x:c r="S21"/>
    </x:row>
    <x:row r="22" ht="20.049999237060547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52" t="str">
        <x:f>IF(INITIATIVES!A22="","",INITIATIVES!A22)</x:f>
      </x:c>
      <x:c r="N22" s="53"/>
      <x:c r="O22" s="53"/>
      <x:c r="Q22"/>
      <x:c r="R22"/>
      <x:c r="S22"/>
    </x:row>
    <x:row r="23" ht="20.049999237060547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52" t="str">
        <x:f>IF(INITIATIVES!A23="","",INITIATIVES!A23)</x:f>
      </x:c>
      <x:c r="N23" s="53"/>
      <x:c r="O23" s="53"/>
      <x:c r="Q23"/>
      <x:c r="R23"/>
      <x:c r="S23"/>
    </x:row>
    <x:row r="24" ht="20.049999237060547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52" t="str">
        <x:f>IF(INITIATIVES!A24="","",INITIATIVES!A24)</x:f>
      </x:c>
      <x:c r="N24" s="53"/>
      <x:c r="O24" s="53"/>
      <x:c r="Q24"/>
      <x:c r="R24"/>
      <x:c r="S24"/>
    </x:row>
    <x:row r="25" ht="20.049999237060547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52" t="str">
        <x:f>IF(INITIATIVES!A25="","",INITIATIVES!A25)</x:f>
      </x:c>
      <x:c r="N25" s="53"/>
      <x:c r="O25" s="53"/>
      <x:c r="Q25"/>
      <x:c r="R25"/>
      <x:c r="S25"/>
    </x:row>
    <x:row r="26" ht="20.049999237060547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52" t="str">
        <x:f>IF(INITIATIVES!A26="","",INITIATIVES!A26)</x:f>
      </x:c>
      <x:c r="N26" s="53"/>
      <x:c r="O26" s="53"/>
      <x:c r="Q26"/>
      <x:c r="R26"/>
      <x:c r="S26"/>
    </x:row>
    <x:row r="27" ht="20.049999237060547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52" t="str">
        <x:f>IF(INITIATIVES!A27="","",INITIATIVES!A27)</x:f>
      </x:c>
      <x:c r="N27" s="53"/>
      <x:c r="O27" s="53"/>
      <x:c r="Q27"/>
      <x:c r="R27"/>
      <x:c r="S27"/>
    </x:row>
    <x:row r="28" ht="20.049999237060547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52" t="str">
        <x:f>IF(INITIATIVES!A28="","",INITIATIVES!A28)</x:f>
      </x:c>
      <x:c r="N28" s="53"/>
      <x:c r="O28" s="53"/>
      <x:c r="Q28"/>
      <x:c r="R28"/>
      <x:c r="S28"/>
    </x:row>
    <x:row r="29" ht="20.049999237060547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52" t="str">
        <x:f>IF(INITIATIVES!A29="","",INITIATIVES!A29)</x:f>
      </x:c>
      <x:c r="N29" s="53"/>
      <x:c r="O29" s="53"/>
      <x:c r="Q29"/>
      <x:c r="R29"/>
      <x:c r="S29"/>
    </x:row>
    <x:row r="30" ht="20.049999237060547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52" t="str">
        <x:f>IF(INITIATIVES!A30="","",INITIATIVES!A30)</x:f>
      </x:c>
      <x:c r="N30" s="53"/>
      <x:c r="O30" s="53"/>
      <x:c r="Q30"/>
      <x:c r="R30"/>
      <x:c r="S30"/>
    </x:row>
    <x:row r="31" ht="20.049999237060547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52" t="str">
        <x:f>IF(INITIATIVES!A31="","",INITIATIVES!A31)</x:f>
      </x:c>
      <x:c r="N31" s="53"/>
      <x:c r="O31" s="53"/>
      <x:c r="Q31"/>
      <x:c r="R31"/>
      <x:c r="S31"/>
    </x:row>
    <x:row r="32" ht="20.049999237060547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52" t="str">
        <x:f>IF(INITIATIVES!A32="","",INITIATIVES!A32)</x:f>
      </x:c>
      <x:c r="N32" s="53"/>
      <x:c r="O32" s="53"/>
      <x:c r="Q32"/>
      <x:c r="R32"/>
      <x:c r="S32"/>
    </x:row>
    <x:row r="33" ht="20.049999237060547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52" t="str">
        <x:f>IF(INITIATIVES!A33="","",INITIATIVES!A33)</x:f>
      </x:c>
      <x:c r="N33" s="53"/>
      <x:c r="O33" s="53"/>
      <x:c r="Q33"/>
      <x:c r="R33"/>
      <x:c r="S33"/>
    </x:row>
    <x:row r="34" ht="20.049999237060547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52" t="str">
        <x:f>IF(INITIATIVES!A34="","",INITIATIVES!A34)</x:f>
      </x:c>
      <x:c r="N34" s="53"/>
      <x:c r="O34" s="53"/>
      <x:c r="Q34"/>
      <x:c r="R34"/>
      <x:c r="S34"/>
    </x:row>
    <x:row r="35" ht="20.049999237060547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52" t="str">
        <x:f>IF(INITIATIVES!A35="","",INITIATIVES!A35)</x:f>
      </x:c>
      <x:c r="N35" s="53"/>
      <x:c r="O35" s="53"/>
      <x:c r="Q35"/>
      <x:c r="R35"/>
      <x:c r="S35"/>
    </x:row>
    <x:row r="36" ht="20.049999237060547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52" t="str">
        <x:f>IF(INITIATIVES!A36="","",INITIATIVES!A36)</x:f>
      </x:c>
      <x:c r="N36" s="53"/>
      <x:c r="O36" s="53"/>
      <x:c r="Q36"/>
      <x:c r="R36"/>
      <x:c r="S36"/>
    </x:row>
    <x:row r="37" ht="20.049999237060547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52" t="str">
        <x:f>IF(INITIATIVES!A37="","",INITIATIVES!A37)</x:f>
      </x:c>
      <x:c r="N37" s="53"/>
      <x:c r="O37" s="53"/>
      <x:c r="Q37"/>
      <x:c r="R37"/>
      <x:c r="S37"/>
    </x:row>
    <x:row r="38" ht="20.049999237060547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52" t="str">
        <x:f>IF(INITIATIVES!A38="","",INITIATIVES!A38)</x:f>
      </x:c>
      <x:c r="N38" s="53"/>
      <x:c r="O38" s="53"/>
      <x:c r="Q38"/>
      <x:c r="R38"/>
      <x:c r="S38"/>
    </x:row>
    <x:row r="39" ht="20.049999237060547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52" t="str">
        <x:f>IF(INITIATIVES!A39="","",INITIATIVES!A39)</x:f>
      </x:c>
      <x:c r="N39" s="53"/>
      <x:c r="O39" s="53"/>
      <x:c r="Q39"/>
      <x:c r="R39"/>
      <x:c r="S39"/>
    </x:row>
    <x:row r="40" ht="20.049999237060547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52" t="str">
        <x:f>IF(INITIATIVES!A40="","",INITIATIVES!A40)</x:f>
      </x:c>
      <x:c r="N40" s="53"/>
      <x:c r="O40" s="53"/>
      <x:c r="Q40"/>
      <x:c r="R40"/>
      <x:c r="S40"/>
    </x:row>
    <x:row r="41" ht="20.049999237060547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52" t="str">
        <x:f>IF(INITIATIVES!A41="","",INITIATIVES!A41)</x:f>
      </x:c>
      <x:c r="N41" s="53"/>
      <x:c r="O41" s="53"/>
      <x:c r="Q41"/>
      <x:c r="R41"/>
      <x:c r="S41"/>
    </x:row>
    <x:row r="42" ht="20.049999237060547" customHeight="1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4" t="str">
        <x:f>IF(INITIATIVES!A42="","",INITIATIVES!A42)</x:f>
      </x:c>
      <x:c r="N42" s="53"/>
      <x:c r="O42" s="53"/>
      <x:c r="Q42"/>
      <x:c r="R42"/>
      <x:c r="S42"/>
    </x:row>
    <x:row r="43" ht="20.049999237060547" customHeight="1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4" t="str">
        <x:f>IF(INITIATIVES!A43="","",INITIATIVES!A43)</x:f>
      </x:c>
      <x:c r="N43" s="53"/>
      <x:c r="O43" s="53"/>
      <x:c r="Q43"/>
      <x:c r="R43"/>
      <x:c r="S43"/>
    </x:row>
    <x:row r="44" ht="20.049999237060547" customHeight="1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4" t="str">
        <x:f>IF(INITIATIVES!A44="","",INITIATIVES!A44)</x:f>
      </x:c>
      <x:c r="N44" s="53"/>
      <x:c r="O44" s="53"/>
      <x:c r="Q44"/>
      <x:c r="R44"/>
      <x:c r="S44"/>
    </x:row>
    <x:row r="45" ht="20.049999237060547" customHeight="1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4" t="str">
        <x:f>IF(INITIATIVES!A45="","",INITIATIVES!A45)</x:f>
      </x:c>
      <x:c r="N45" s="53"/>
      <x:c r="O45" s="53"/>
      <x:c r="Q45"/>
      <x:c r="R45"/>
      <x:c r="S45"/>
    </x:row>
    <x:row r="46" ht="20.049999237060547" customHeight="1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4" t="str">
        <x:f>IF(INITIATIVES!A46="","",INITIATIVES!A46)</x:f>
      </x:c>
      <x:c r="N46" s="53"/>
      <x:c r="O46" s="53"/>
      <x:c r="Q46"/>
      <x:c r="R46"/>
      <x:c r="S46"/>
    </x:row>
    <x:row r="47" ht="20.049999237060547" customHeight="1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4" t="str">
        <x:f>IF(INITIATIVES!A47="","",INITIATIVES!A47)</x:f>
      </x:c>
      <x:c r="N47" s="53"/>
      <x:c r="O47" s="53"/>
      <x:c r="Q47"/>
      <x:c r="R47"/>
      <x:c r="S47"/>
    </x:row>
    <x:row r="48" ht="20.049999237060547" customHeight="1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4" t="str">
        <x:f>IF(INITIATIVES!A48="","",INITIATIVES!A48)</x:f>
      </x:c>
      <x:c r="N48" s="53"/>
      <x:c r="O48" s="53"/>
      <x:c r="Q48"/>
      <x:c r="R48"/>
      <x:c r="S48"/>
    </x:row>
    <x:row r="49" ht="20.049999237060547" customHeight="1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4" t="str">
        <x:f>IF(INITIATIVES!A49="","",INITIATIVES!A49)</x:f>
      </x:c>
      <x:c r="N49" s="53"/>
      <x:c r="O49" s="53"/>
      <x:c r="Q49"/>
      <x:c r="R49"/>
      <x:c r="S49"/>
    </x:row>
    <x:row r="50" ht="20.049999237060547" customHeight="1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4" t="str">
        <x:f>IF(INITIATIVES!A50="","",INITIATIVES!A50)</x:f>
      </x:c>
      <x:c r="N50" s="53"/>
      <x:c r="O50" s="53"/>
      <x:c r="Q50"/>
      <x:c r="R50"/>
      <x:c r="S50"/>
    </x:row>
    <x:row r="51" ht="20.049999237060547" customHeight="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4" t="str">
        <x:f>IF(INITIATIVES!A51="","",INITIATIVES!A51)</x:f>
      </x:c>
      <x:c r="N51" s="53"/>
      <x:c r="O51" s="53"/>
      <x:c r="Q51"/>
      <x:c r="R51"/>
      <x:c r="S51"/>
    </x:row>
    <x:row r="52" ht="20.049999237060547" customHeight="1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4" t="str">
        <x:f>IF(INITIATIVES!A52="","",INITIATIVES!A52)</x:f>
      </x:c>
      <x:c r="N52" s="53"/>
      <x:c r="O52" s="53"/>
      <x:c r="Q52"/>
      <x:c r="R52"/>
      <x:c r="S52"/>
    </x:row>
    <x:row r="53" ht="20.049999237060547" customHeight="1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4" t="str">
        <x:f>IF(INITIATIVES!A53="","",INITIATIVES!A53)</x:f>
      </x:c>
      <x:c r="N53" s="53"/>
      <x:c r="O53" s="53"/>
      <x:c r="Q53"/>
      <x:c r="R53"/>
      <x:c r="S53"/>
    </x:row>
    <x:row r="54" ht="20.049999237060547" customHeight="1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4" t="str">
        <x:f>IF(INITIATIVES!A54="","",INITIATIVES!A54)</x:f>
      </x:c>
      <x:c r="N54" s="53"/>
      <x:c r="O54" s="53"/>
      <x:c r="Q54"/>
      <x:c r="R54"/>
      <x:c r="S54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6abc7ccd94e45ad"/>
  <x:tableParts count="1">
    <x:tablePart xmlns:r="http://schemas.openxmlformats.org/officeDocument/2006/relationships" r:id="R98cf3b3ef5dd45b5"/>
  </x:tableParts>
</x:worksheet>
</file>

<file path=xl/worksheets/sheet7.xml><?xml version="1.0" encoding="utf-8"?>
<x:worksheet xmlns:x="http://schemas.openxmlformats.org/spreadsheetml/2006/main">
  <x:sheetPr>
    <x:tabColor theme="1"/>
  </x:sheetPr>
  <x:sheetViews>
    <x:sheetView showGridLines="0" workbookViewId="0">
      <x:pane xSplit="2" ySplit="4" topLeftCell="C5" activePane="bottomRight" state="frozen"/>
    </x:sheetView>
  </x:sheetViews>
  <x:sheetFormatPr defaultRowHeight="14.149999618530273"/>
  <x:cols>
    <x:col min="1" max="2" width="14" customWidth="1"/>
    <x:col min="3" max="3" width="28" customWidth="1"/>
    <x:col min="4" max="5" width="18" customWidth="1"/>
    <x:col min="6" max="8" width="12" customWidth="1"/>
    <x:col min="9" max="10" width="14" customWidth="1"/>
    <x:col min="11" max="11" width="11" customWidth="1"/>
    <x:col min="12" max="12" width="12" customWidth="1"/>
    <x:col min="13" max="13" width="16" customWidth="1"/>
    <x:col min="14" max="14" width="24" customWidth="1"/>
    <x:col min="15" max="15" width="22" customWidth="1"/>
    <x:col min="16" max="18" width="18" customWidth="1"/>
    <x:col min="19" max="20" width="16" customWidth="1"/>
    <x:col min="21" max="21" width="14" customWidth="1"/>
    <x:col min="22" max="24" width="18" customWidth="1"/>
    <x:col min="25" max="26" width="16" customWidth="1"/>
    <x:col min="27" max="27" width="15" customWidth="1"/>
    <x:col min="28" max="31" width="17.5" customWidth="1"/>
    <x:col min="32" max="32" width="26" hidden="0" customWidth="1"/>
    <x:col min="28" max="28" width="26" hidden="0" customWidth="1"/>
    <x:col min="29" max="29" width="26" hidden="0" customWidth="1"/>
    <x:col min="30" max="30" width="38" hidden="0" customWidth="1"/>
    <x:col min="31" max="31" width="26" hidden="0" customWidth="1"/>
    <x:col min="33" max="33" width="32" hidden="0" customWidth="1"/>
  </x:cols>
  <x:sheetData>
    <x:row r="1" s="2" customFormat="1" ht="34" customHeight="1">
      <x:c r="A1" s="60" t="str">
        <x:v>COWORKER INPUT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1"/>
      <x:c r="Y1" s="61"/>
      <x:c r="Z1" s="61"/>
      <x:c r="AA1" s="61"/>
      <x:c r="AB1" s="61"/>
      <x:c r="AC1" s="61"/>
      <x:c r="AD1" s="61"/>
      <x:c r="AE1" s="61"/>
      <x:c r="AF1" s="61"/>
    </x:row>
    <x:row r="2" ht="7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1"/>
      <x:c r="AC2" s="61"/>
      <x:c r="AD2" s="61"/>
      <x:c r="AE2" s="61"/>
      <x:c r="AF2" s="61"/>
    </x:row>
    <x:row r="3" ht="8.050000190734863" customHeight="1"/>
    <x:row r="4" ht="38.04999923706055" customHeight="1">
      <x:c r="A4" s="3" t="s">
        <x:v>228</x:v>
      </x:c>
      <x:c r="B4" s="4" t="s">
        <x:v>6</x:v>
      </x:c>
      <x:c r="C4" s="4" t="s">
        <x:v>7</x:v>
      </x:c>
      <x:c r="D4" s="4" t="s">
        <x:v>8</x:v>
      </x:c>
      <x:c r="E4" s="4" t="s">
        <x:v>9</x:v>
      </x:c>
      <x:c r="F4" s="4" t="s">
        <x:v>12</x:v>
      </x:c>
      <x:c r="G4" s="4" t="s">
        <x:v>13</x:v>
      </x:c>
      <x:c r="H4" s="4" t="s">
        <x:v>14</x:v>
      </x:c>
      <x:c r="I4" s="4" t="s">
        <x:v>10</x:v>
      </x:c>
      <x:c r="J4" s="4" t="s">
        <x:v>11</x:v>
      </x:c>
      <x:c r="K4" s="4" t="s">
        <x:v>229</x:v>
      </x:c>
      <x:c r="L4" s="4" t="s">
        <x:v>230</x:v>
      </x:c>
      <x:c r="M4" s="4" t="s">
        <x:v>231</x:v>
      </x:c>
      <x:c r="N4" s="4" t="s">
        <x:v>232</x:v>
      </x:c>
      <x:c r="O4" s="4" t="s">
        <x:v>32</x:v>
      </x:c>
      <x:c r="P4" s="4" t="s">
        <x:v>233</x:v>
      </x:c>
      <x:c r="Q4" s="4" t="s">
        <x:v>234</x:v>
      </x:c>
      <x:c r="R4" s="4" t="s">
        <x:v>235</x:v>
      </x:c>
      <x:c r="S4" s="4" t="s">
        <x:v>236</x:v>
      </x:c>
      <x:c r="T4" s="4" t="s">
        <x:v>237</x:v>
      </x:c>
      <x:c r="U4" s="4" t="s">
        <x:v>238</x:v>
      </x:c>
      <x:c r="V4" s="4" t="s">
        <x:v>239</x:v>
      </x:c>
      <x:c r="W4" s="4" t="s">
        <x:v>240</x:v>
      </x:c>
      <x:c r="X4" s="4" t="s">
        <x:v>241</x:v>
      </x:c>
      <x:c r="Y4" s="4" t="s">
        <x:v>242</x:v>
      </x:c>
      <x:c r="Z4" s="4" t="s">
        <x:v>243</x:v>
      </x:c>
      <x:c r="AA4" s="5" t="s">
        <x:v>244</x:v>
      </x:c>
      <x:c r="AB4" s="112" t="str">
        <x:v>Delivery group</x:v>
      </x:c>
      <x:c r="AC4" s="112" t="str">
        <x:v>Entry basis</x:v>
      </x:c>
      <x:c r="AD4" s="112" t="str">
        <x:v>Delivery model</x:v>
      </x:c>
      <x:c r="AE4" s="112" t="str">
        <x:v>Detailed plan owner</x:v>
      </x:c>
      <x:c r="AF4" s="112" t="str">
        <x:v>Budget / cost owner</x:v>
      </x:c>
      <x:c r="AG4" s="112" t="str">
        <x:v>Digital financial reporting basis</x:v>
      </x:c>
    </x:row>
    <x:row r="5" ht="20.049999237060547" customHeight="1">
      <x:c r="A5" s="120" t="n">
        <x:f t="shared" ref="A5:A36" ca="1" si="0">IF($B5="","",TODAY())</x:f>
        <x:v>46279</x:v>
      </x:c>
      <x:c r="B5" s="12" t="str" cm="1">
        <x:f t="array" ref="B5">IFERROR(IF(INDEX(InitiativesTable[Initiative ID],1)="","",INDEX(InitiativesTable[Initiative ID],1)),"")</x:f>
        <x:v>DIG-001</x:v>
      </x:c>
      <x:c r="C5" s="12" t="str">
        <x:f>IF($B5="","",IFERROR(INDEX(InitiativesTable[Initiative title],MATCH($B5,InitiativesTable[Initiative ID],0))&amp;"",""))</x:f>
        <x:v>Customer Portal Redesign</x:v>
      </x:c>
      <x:c r="D5" s="12" t="str">
        <x:f>IF($B5="","",IFERROR(INDEX(InitiativesTable[Lifecycle Status],MATCH($B5,InitiativesTable[Initiative ID],0))&amp;"",""))</x:f>
        <x:v>In Delivery</x:v>
      </x:c>
      <x:c r="E5" s="12" t="str">
        <x:f>IF($B5="","",IFERROR(INDEX(InitiativesTable[Health],MATCH($B5,InitiativesTable[Initiative ID],0))&amp;"",""))</x:f>
        <x:v>On Track</x:v>
      </x:c>
      <x:c r="F5" s="122" t="n">
        <x:f ca="1">IF($B5="","",IF(OR(COUNTIFS(PEP!$B$5:$B$204,$B5,PEP!$C$5:$C$204,"Initiative")&lt;&gt;1,COUNTIFS(PEP!$B$5:$B$204,$B5,PEP!$C$5:$C$204,"Activity")+COUNTIFS(PEP!$B$5:$B$204,$B5,PEP!$C$5:$C$204,"Variation")=0,COUNTIFS(PEP!$B$5:$B$204,$B5,PEP!$C$5:$C$204,"Activity")+COUNTIFS(PEP!$B$5:$B$204,$B5,PEP!$C$5:$C$204,"Variation")&lt;&gt;COUNTIFS(PEP!$B$5:$B$204,$B5,PEP!$C$5:$C$204,"Activity",PEP!$P$5:$P$204,"OK")+COUNTIFS(PEP!$B$5:$B$204,$B5,PEP!$C$5:$C$204,"Variation",PEP!$P$5:$P$204,"OK")),"",100*SUMIFS(PEP!$K$5:$K$204,PEP!$B$5:$B$204,$B5,PEP!$C$5:$C$204,"Initiative")))</x:f>
        <x:v>63.25757575757576</x:v>
      </x:c>
      <x:c r="G5" s="122" t="n">
        <x:f>IF($B5="","",IF(OR(COUNTIFS(PEP!$B$5:$B$204,$B5,PEP!$C$5:$C$204,"Initiative")&lt;&gt;1,COUNTIFS(PEP!$B$5:$B$204,$B5,PEP!$C$5:$C$204,"Activity")+COUNTIFS(PEP!$B$5:$B$204,$B5,PEP!$C$5:$C$204,"Variation")=0,COUNTIFS(PEP!$B$5:$B$204,$B5,PEP!$C$5:$C$204,"Activity")+COUNTIFS(PEP!$B$5:$B$204,$B5,PEP!$C$5:$C$204,"Variation")&lt;&gt;COUNTIFS(PEP!$B$5:$B$204,$B5,PEP!$C$5:$C$204,"Activity",PEP!$P$5:$P$204,"OK")+COUNTIFS(PEP!$B$5:$B$204,$B5,PEP!$C$5:$C$204,"Variation",PEP!$P$5:$P$204,"OK")),"",100*SUMIFS(PEP!$L$5:$L$204,PEP!$B$5:$B$204,$B5,PEP!$C$5:$C$204,"Initiative")))</x:f>
        <x:v>65</x:v>
      </x:c>
      <x:c r="H5" s="122" t="n">
        <x:f ca="1">IF(OR($F5="",$G5=""),"",$G5-$F5)</x:f>
        <x:v>1.7424242424242422</x:v>
      </x:c>
      <x:c r="I5" s="120" t="n">
        <x:f>IF($B5="","",IFERROR(IF(INDEX(InitiativesTable[Baseline finish],MATCH($B5,InitiativesTable[Initiative ID],0))=0,"",INDEX(InitiativesTable[Baseline finish],MATCH($B5,InitiativesTable[Initiative ID],0))),""))</x:f>
        <x:v>46374</x:v>
      </x:c>
      <x:c r="J5" s="120" t="n">
        <x:f>IF($B5="","",IFERROR(IF(INDEX(InitiativesTable[Forecast finish],MATCH($B5,InitiativesTable[Initiative ID],0))=0,"",INDEX(InitiativesTable[Forecast finish],MATCH($B5,InitiativesTable[Initiative ID],0))),""))</x:f>
        <x:v>46374</x:v>
      </x:c>
      <x:c r="K5" s="12" t="n">
        <x:f ca="1">IF($B5="","",COUNTIFS(PEP!$B$5:$B$204,$B5,PEP!$C$5:$C$204,"Activity",PEP!$N$5:$N$204,"Late")+COUNTIFS(PEP!$B$5:$B$204,$B5,PEP!$C$5:$C$204,"Variation",PEP!$N$5:$N$204,"Late"))</x:f>
        <x:v>1</x:v>
      </x:c>
      <x:c r="L5" s="12" t="n">
        <x:f>IF($B5="","",COUNTIFS('CONTROL LOG'!$B$5:$B$204,$B5,'CONTROL LOG'!$H$5:$H$204,"&lt;&gt;",'CONTROL LOG'!$H$5:$H$204,"&lt;&gt;Closed",'CONTROL LOG'!$H$5:$H$204,"&lt;&gt;Superseded"))</x:f>
        <x:v>0</x:v>
      </x:c>
      <x:c r="M5" s="12" t="n">
        <x:f>IF($B5="","",COUNTIFS(PEP!$B$5:$B$204,$B5,PEP!$P$5:$P$204,"&lt;&gt;OK",PEP!$P$5:$P$204,"&lt;&gt;"))</x:f>
        <x:v>0</x:v>
      </x:c>
      <x:c r="N5" s="12" t="str">
        <x:f>IF($B5="","",IFERROR(INDEX(InitiativesTable[Proposed Status / Health change],MATCH($B5,InitiativesTable[Initiative ID],0))&amp;"",""))</x:f>
      </x:c>
      <x:c r="O5" s="12" t="str">
        <x:f>IF($B5="","",IFERROR(INDEX(InitiativesTable[Digital Lead confirmation],MATCH($B5,InitiativesTable[Initiative ID],0))&amp;"",""))</x:f>
        <x:v>Confirmed</x:v>
      </x:c>
      <x:c r="P5" s="124" t="n">
        <x:f>IF($B5="","",IF(COUNTIFS(COST!$A$5:$A$104,$B5,COST!$D$5:$D$104,"Labour")=0,"",SUMIFS(COST!$E$5:$E$104,COST!$A$5:$A$104,$B5,COST!$D$5:$D$104,"Labour")))</x:f>
        <x:v>420000</x:v>
      </x:c>
      <x:c r="Q5" s="124" t="n">
        <x:f>IF($B5="","",IF(COUNTIFS(COST!$A$5:$A$104,$B5,COST!$D$5:$D$104,"Labour")=0,"",SUMIFS(COST!$F$5:$F$104,COST!$A$5:$A$104,$B5,COST!$D$5:$D$104,"Labour")))</x:f>
        <x:v>20000</x:v>
      </x:c>
      <x:c r="R5" s="124" t="n">
        <x:f t="shared" ref="R5:R36" si="1">IF($B5="","",IF(AND($P5="",$Q5=""),"",N($P5)+N($Q5)))</x:f>
        <x:v>440000</x:v>
      </x:c>
      <x:c r="S5" s="124" t="n">
        <x:f>IF($B5="","",IF(COUNTIFS(COST!$A$5:$A$104,$B5,COST!$D$5:$D$104,"Labour")=0,"",SUMIFS(COST!$T$5:$T$104,COST!$A$5:$A$104,$B5,COST!$D$5:$D$104,"Labour")))</x:f>
        <x:v>245000</x:v>
      </x:c>
      <x:c r="T5" s="124" t="n">
        <x:f t="shared" ref="T5:T36" si="2">IF(OR($B5="",$R5="",$S5=""),"",$R5-$S5)</x:f>
        <x:v>195000</x:v>
      </x:c>
      <x:c r="U5" s="13" t="n">
        <x:f t="shared" ref="U5:U36" si="3">IF(OR($B5="",$R5="",$R5=0,$S5=""),"",$S5/$R5)</x:f>
        <x:v>0.5568181818181818</x:v>
      </x:c>
      <x:c r="V5" s="124" t="n">
        <x:f>IF($B5="","",IF(COUNTIFS(COST!$A$5:$A$104,$B5,COST!$D$5:$D$104,"Fees")=0,"",SUMIFS(COST!$E$5:$E$104,COST!$A$5:$A$104,$B5,COST!$D$5:$D$104,"Fees")))</x:f>
        <x:v>160000</x:v>
      </x:c>
      <x:c r="W5" s="124" t="n">
        <x:f>IF($B5="","",IF(COUNTIFS(COST!$A$5:$A$104,$B5,COST!$D$5:$D$104,"Fees")=0,"",SUMIFS(COST!$F$5:$F$104,COST!$A$5:$A$104,$B5,COST!$D$5:$D$104,"Fees")))</x:f>
        <x:v>0</x:v>
      </x:c>
      <x:c r="X5" s="124" t="n">
        <x:f t="shared" ref="X5:X36" si="4">IF($B5="","",IF(AND($V5="",$W5=""),"",N($V5)+N($W5)))</x:f>
        <x:v>160000</x:v>
      </x:c>
      <x:c r="Y5" s="124" t="n">
        <x:f>IF($B5="","",IF(COUNTIFS(COST!$A$5:$A$104,$B5,COST!$D$5:$D$104,"Fees")=0,"",SUMIFS(COST!$T$5:$T$104,COST!$A$5:$A$104,$B5,COST!$D$5:$D$104,"Fees")))</x:f>
        <x:v>88000</x:v>
      </x:c>
      <x:c r="Z5" s="124" t="n">
        <x:f t="shared" ref="Z5:Z36" si="5">IF(OR($B5="",$X5="",$Y5=""),"",$X5-$Y5)</x:f>
        <x:v>72000</x:v>
      </x:c>
      <x:c r="AA5" s="126" t="n">
        <x:f>IFERROR(IF(OR($B5="",$U5="",$U5=0,$G5=""),"",($G5/100)/$U5),"")</x:f>
        <x:v>1.1673469387755104</x:v>
      </x:c>
      <x:c r="AB5" s="118" t="str">
        <x:f>IF($B5="","",IFERROR(INDEX(InitiativesTable[Delivery group],MATCH($B5,InitiativesTable[Initiative ID],0))&amp;"",""))</x:f>
      </x:c>
      <x:c r="AC5" s="118" t="str">
        <x:f>IF($B5="","",IFERROR(INDEX(InitiativesTable[Entry basis],MATCH($B5,InitiativesTable[Initiative ID],0))&amp;"",""))</x:f>
      </x:c>
      <x:c r="AD5" s="118" t="str">
        <x:f>IF($B5="","",IFERROR(INDEX(InitiativesTable[Delivery model],MATCH($B5,InitiativesTable[Initiative ID],0))&amp;"",""))</x:f>
      </x:c>
      <x:c r="AE5" s="118" t="str">
        <x:f>IF($B5="","",IFERROR(INDEX(InitiativesTable[Detailed plan owner],MATCH($B5,InitiativesTable[Initiative ID],0))&amp;"",""))</x:f>
      </x:c>
      <x:c r="AF5" s="118" t="str">
        <x:f>IF($B5="","",IFERROR(INDEX(InitiativesTable[Budget / cost owner],MATCH($B5,InitiativesTable[Initiative ID],0))&amp;"",""))</x:f>
      </x:c>
      <x:c r="AG5" s="118" t="str">
        <x:f>IF($B5="","",IFERROR(INDEX(InitiativesTable[Digital financial reporting basis],MATCH($B5,InitiativesTable[Initiative ID],0))&amp;"",""))</x:f>
      </x:c>
    </x:row>
    <x:row r="6" ht="20.049999237060547" customHeight="1">
      <x:c r="A6" s="121" t="n">
        <x:f t="shared" ca="1" si="0">IF($B6="","",TODAY())</x:f>
        <x:v>46279</x:v>
      </x:c>
      <x:c r="B6" s="6" t="str" cm="1">
        <x:f t="array" ref="B6">IFERROR(IF(INDEX(InitiativesTable[Initiative ID],2)="","",INDEX(InitiativesTable[Initiative ID],2)),"")</x:f>
        <x:v>DIG-002</x:v>
      </x:c>
      <x:c r="C6" s="6" t="str">
        <x:f>IF($B6="","",IFERROR(INDEX(InitiativesTable[Initiative title],MATCH($B6,InitiativesTable[Initiative ID],0))&amp;"",""))</x:f>
        <x:v>ERP Finance Migration</x:v>
      </x:c>
      <x:c r="D6" s="6" t="str">
        <x:f>IF($B6="","",IFERROR(INDEX(InitiativesTable[Lifecycle Status],MATCH($B6,InitiativesTable[Initiative ID],0))&amp;"",""))</x:f>
        <x:v>In Delivery</x:v>
      </x:c>
      <x:c r="E6" s="6" t="str">
        <x:f>IF($B6="","",IFERROR(INDEX(InitiativesTable[Health],MATCH($B6,InitiativesTable[Initiative ID],0))&amp;"",""))</x:f>
        <x:v>At Risk (Date)</x:v>
      </x:c>
      <x:c r="F6" s="123" t="n">
        <x:f ca="1">IF($B6="","",IF(OR(COUNTIFS(PEP!$B$5:$B$204,$B6,PEP!$C$5:$C$204,"Initiative")&lt;&gt;1,COUNTIFS(PEP!$B$5:$B$204,$B6,PEP!$C$5:$C$204,"Activity")+COUNTIFS(PEP!$B$5:$B$204,$B6,PEP!$C$5:$C$204,"Variation")=0,COUNTIFS(PEP!$B$5:$B$204,$B6,PEP!$C$5:$C$204,"Activity")+COUNTIFS(PEP!$B$5:$B$204,$B6,PEP!$C$5:$C$204,"Variation")&lt;&gt;COUNTIFS(PEP!$B$5:$B$204,$B6,PEP!$C$5:$C$204,"Activity",PEP!$P$5:$P$204,"OK")+COUNTIFS(PEP!$B$5:$B$204,$B6,PEP!$C$5:$C$204,"Variation",PEP!$P$5:$P$204,"OK")),"",100*SUMIFS(PEP!$K$5:$K$204,PEP!$B$5:$B$204,$B6,PEP!$C$5:$C$204,"Initiative")))</x:f>
        <x:v>84.19243986254295</x:v>
      </x:c>
      <x:c r="G6" s="123" t="n">
        <x:f>IF($B6="","",IF(OR(COUNTIFS(PEP!$B$5:$B$204,$B6,PEP!$C$5:$C$204,"Initiative")&lt;&gt;1,COUNTIFS(PEP!$B$5:$B$204,$B6,PEP!$C$5:$C$204,"Activity")+COUNTIFS(PEP!$B$5:$B$204,$B6,PEP!$C$5:$C$204,"Variation")=0,COUNTIFS(PEP!$B$5:$B$204,$B6,PEP!$C$5:$C$204,"Activity")+COUNTIFS(PEP!$B$5:$B$204,$B6,PEP!$C$5:$C$204,"Variation")&lt;&gt;COUNTIFS(PEP!$B$5:$B$204,$B6,PEP!$C$5:$C$204,"Activity",PEP!$P$5:$P$204,"OK")+COUNTIFS(PEP!$B$5:$B$204,$B6,PEP!$C$5:$C$204,"Variation",PEP!$P$5:$P$204,"OK")),"",100*SUMIFS(PEP!$L$5:$L$204,PEP!$B$5:$B$204,$B6,PEP!$C$5:$C$204,"Initiative")))</x:f>
        <x:v>58.333333333333336</x:v>
      </x:c>
      <x:c r="H6" s="123" t="n">
        <x:f t="shared" ref="H6:H54" ca="1" si="6">IF(OR($F6="",$G6=""),"",$G6-$F6)</x:f>
        <x:v>-25.85910652920962</x:v>
      </x:c>
      <x:c r="I6" s="121" t="n">
        <x:f>IF($B6="","",IFERROR(IF(INDEX(InitiativesTable[Baseline finish],MATCH($B6,InitiativesTable[Initiative ID],0))=0,"",INDEX(InitiativesTable[Baseline finish],MATCH($B6,InitiativesTable[Initiative ID],0))),""))</x:f>
        <x:v>46325</x:v>
      </x:c>
      <x:c r="J6" s="121" t="n">
        <x:f>IF($B6="","",IFERROR(IF(INDEX(InitiativesTable[Forecast finish],MATCH($B6,InitiativesTable[Initiative ID],0))=0,"",INDEX(InitiativesTable[Forecast finish],MATCH($B6,InitiativesTable[Initiative ID],0))),""))</x:f>
        <x:v>46402</x:v>
      </x:c>
      <x:c r="K6" s="6" t="n">
        <x:f ca="1">IF($B6="","",COUNTIFS(PEP!$B$5:$B$204,$B6,PEP!$C$5:$C$204,"Activity",PEP!$N$5:$N$204,"Late")+COUNTIFS(PEP!$B$5:$B$204,$B6,PEP!$C$5:$C$204,"Variation",PEP!$N$5:$N$204,"Late"))</x:f>
        <x:v>1</x:v>
      </x:c>
      <x:c r="L6" s="6" t="n">
        <x:f>IF($B6="","",COUNTIFS('CONTROL LOG'!$B$5:$B$204,$B6,'CONTROL LOG'!$H$5:$H$204,"&lt;&gt;",'CONTROL LOG'!$H$5:$H$204,"&lt;&gt;Closed",'CONTROL LOG'!$H$5:$H$204,"&lt;&gt;Superseded"))</x:f>
        <x:v>2</x:v>
      </x:c>
      <x:c r="M6" s="6" t="n">
        <x:f>IF($B6="","",COUNTIFS(PEP!$B$5:$B$204,$B6,PEP!$P$5:$P$204,"&lt;&gt;OK",PEP!$P$5:$P$204,"&lt;&gt;"))</x:f>
        <x:v>0</x:v>
      </x:c>
      <x:c r="N6" s="6" t="str">
        <x:f>IF($B6="","",IFERROR(INDEX(InitiativesTable[Proposed Status / Health change],MATCH($B6,InitiativesTable[Initiative ID],0))&amp;"",""))</x:f>
        <x:v>Move forecast finish to 15/01/2027</x:v>
      </x:c>
      <x:c r="O6" s="6" t="str">
        <x:f>IF($B6="","",IFERROR(INDEX(InitiativesTable[Digital Lead confirmation],MATCH($B6,InitiativesTable[Initiative ID],0))&amp;"",""))</x:f>
        <x:v>Pending</x:v>
      </x:c>
      <x:c r="P6" s="125" t="n">
        <x:f>IF($B6="","",IF(COUNTIFS(COST!$A$5:$A$104,$B6,COST!$D$5:$D$104,"Labour")=0,"",SUMIFS(COST!$E$5:$E$104,COST!$A$5:$A$104,$B6,COST!$D$5:$D$104,"Labour")))</x:f>
        <x:v>680000</x:v>
      </x:c>
      <x:c r="Q6" s="125" t="n">
        <x:f>IF($B6="","",IF(COUNTIFS(COST!$A$5:$A$104,$B6,COST!$D$5:$D$104,"Labour")=0,"",SUMIFS(COST!$F$5:$F$104,COST!$A$5:$A$104,$B6,COST!$D$5:$D$104,"Labour")))</x:f>
        <x:v>75000</x:v>
      </x:c>
      <x:c r="R6" s="125" t="n">
        <x:f t="shared" si="1">IF($B6="","",IF(AND($P6="",$Q6=""),"",N($P6)+N($Q6)))</x:f>
        <x:v>755000</x:v>
      </x:c>
      <x:c r="S6" s="125" t="n">
        <x:f>IF($B6="","",IF(COUNTIFS(COST!$A$5:$A$104,$B6,COST!$D$5:$D$104,"Labour")=0,"",SUMIFS(COST!$T$5:$T$104,COST!$A$5:$A$104,$B6,COST!$D$5:$D$104,"Labour")))</x:f>
        <x:v>472000</x:v>
      </x:c>
      <x:c r="T6" s="125" t="n">
        <x:f t="shared" si="2">IF(OR($B6="",$R6="",$S6=""),"",$R6-$S6)</x:f>
        <x:v>283000</x:v>
      </x:c>
      <x:c r="U6" s="7" t="n">
        <x:f t="shared" si="3">IF(OR($B6="",$R6="",$R6=0,$S6=""),"",$S6/$R6)</x:f>
        <x:v>0.6251655629139072</x:v>
      </x:c>
      <x:c r="V6" s="125" t="n">
        <x:f>IF($B6="","",IF(COUNTIFS(COST!$A$5:$A$104,$B6,COST!$D$5:$D$104,"Fees")=0,"",SUMIFS(COST!$E$5:$E$104,COST!$A$5:$A$104,$B6,COST!$D$5:$D$104,"Fees")))</x:f>
        <x:v>240000</x:v>
      </x:c>
      <x:c r="W6" s="125" t="n">
        <x:f>IF($B6="","",IF(COUNTIFS(COST!$A$5:$A$104,$B6,COST!$D$5:$D$104,"Fees")=0,"",SUMIFS(COST!$F$5:$F$104,COST!$A$5:$A$104,$B6,COST!$D$5:$D$104,"Fees")))</x:f>
        <x:v>25000</x:v>
      </x:c>
      <x:c r="X6" s="125" t="n">
        <x:f t="shared" si="4">IF($B6="","",IF(AND($V6="",$W6=""),"",N($V6)+N($W6)))</x:f>
        <x:v>265000</x:v>
      </x:c>
      <x:c r="Y6" s="125" t="n">
        <x:f>IF($B6="","",IF(COUNTIFS(COST!$A$5:$A$104,$B6,COST!$D$5:$D$104,"Fees")=0,"",SUMIFS(COST!$T$5:$T$104,COST!$A$5:$A$104,$B6,COST!$D$5:$D$104,"Fees")))</x:f>
        <x:v>176000</x:v>
      </x:c>
      <x:c r="Z6" s="125" t="n">
        <x:f t="shared" si="5">IF(OR($B6="",$X6="",$Y6=""),"",$X6-$Y6)</x:f>
        <x:v>89000</x:v>
      </x:c>
      <x:c r="AA6" s="127" t="n">
        <x:f t="shared" ref="AA6:AA54" si="7">IFERROR(IF(OR($B6="",$U6="",$U6=0,$G6=""),"",($G6/100)/$U6),"")</x:f>
        <x:v>0.9330861581920905</x:v>
      </x:c>
      <x:c r="AB6" s="118" t="str">
        <x:f>IF($B6="","",IFERROR(INDEX(InitiativesTable[Delivery group],MATCH($B6,InitiativesTable[Initiative ID],0))&amp;"",""))</x:f>
      </x:c>
      <x:c r="AC6" s="118" t="str">
        <x:f>IF($B6="","",IFERROR(INDEX(InitiativesTable[Entry basis],MATCH($B6,InitiativesTable[Initiative ID],0))&amp;"",""))</x:f>
      </x:c>
      <x:c r="AD6" s="118" t="str">
        <x:f>IF($B6="","",IFERROR(INDEX(InitiativesTable[Delivery model],MATCH($B6,InitiativesTable[Initiative ID],0))&amp;"",""))</x:f>
      </x:c>
      <x:c r="AE6" s="118" t="str">
        <x:f>IF($B6="","",IFERROR(INDEX(InitiativesTable[Detailed plan owner],MATCH($B6,InitiativesTable[Initiative ID],0))&amp;"",""))</x:f>
      </x:c>
      <x:c r="AF6" s="118" t="str">
        <x:f>IF($B6="","",IFERROR(INDEX(InitiativesTable[Budget / cost owner],MATCH($B6,InitiativesTable[Initiative ID],0))&amp;"",""))</x:f>
      </x:c>
      <x:c r="AG6" s="118" t="str">
        <x:f>IF($B6="","",IFERROR(INDEX(InitiativesTable[Digital financial reporting basis],MATCH($B6,InitiativesTable[Initiative ID],0))&amp;"",""))</x:f>
      </x:c>
    </x:row>
    <x:row r="7" ht="20.049999237060547" customHeight="1">
      <x:c r="A7" s="121" t="n">
        <x:f t="shared" ca="1" si="0">IF($B7="","",TODAY())</x:f>
        <x:v>46279</x:v>
      </x:c>
      <x:c r="B7" s="6" t="str" cm="1">
        <x:f t="array" ref="B7">IFERROR(IF(INDEX(InitiativesTable[Initiative ID],3)="","",INDEX(InitiativesTable[Initiative ID],3)),"")</x:f>
        <x:v>DIG-003</x:v>
      </x:c>
      <x:c r="C7" s="6" t="str">
        <x:f>IF($B7="","",IFERROR(INDEX(InitiativesTable[Initiative title],MATCH($B7,InitiativesTable[Initiative ID],0))&amp;"",""))</x:f>
        <x:v>Cyber Security Uplift</x:v>
      </x:c>
      <x:c r="D7" s="6" t="str">
        <x:f>IF($B7="","",IFERROR(INDEX(InitiativesTable[Lifecycle Status],MATCH($B7,InitiativesTable[Initiative ID],0))&amp;"",""))</x:f>
        <x:v>In Delivery</x:v>
      </x:c>
      <x:c r="E7" s="6" t="str">
        <x:f>IF($B7="","",IFERROR(INDEX(InitiativesTable[Health],MATCH($B7,InitiativesTable[Initiative ID],0))&amp;"",""))</x:f>
        <x:v>On Track</x:v>
      </x:c>
      <x:c r="F7" s="123" t="n">
        <x:f ca="1">IF($B7="","",IF(OR(COUNTIFS(PEP!$B$5:$B$204,$B7,PEP!$C$5:$C$204,"Initiative")&lt;&gt;1,COUNTIFS(PEP!$B$5:$B$204,$B7,PEP!$C$5:$C$204,"Activity")+COUNTIFS(PEP!$B$5:$B$204,$B7,PEP!$C$5:$C$204,"Variation")=0,COUNTIFS(PEP!$B$5:$B$204,$B7,PEP!$C$5:$C$204,"Activity")+COUNTIFS(PEP!$B$5:$B$204,$B7,PEP!$C$5:$C$204,"Variation")&lt;&gt;COUNTIFS(PEP!$B$5:$B$204,$B7,PEP!$C$5:$C$204,"Activity",PEP!$P$5:$P$204,"OK")+COUNTIFS(PEP!$B$5:$B$204,$B7,PEP!$C$5:$C$204,"Variation",PEP!$P$5:$P$204,"OK")),"",100*SUMIFS(PEP!$K$5:$K$204,PEP!$B$5:$B$204,$B7,PEP!$C$5:$C$204,"Initiative")))</x:f>
        <x:v>71.96969696969697</x:v>
      </x:c>
      <x:c r="G7" s="123" t="n">
        <x:f>IF($B7="","",IF(OR(COUNTIFS(PEP!$B$5:$B$204,$B7,PEP!$C$5:$C$204,"Initiative")&lt;&gt;1,COUNTIFS(PEP!$B$5:$B$204,$B7,PEP!$C$5:$C$204,"Activity")+COUNTIFS(PEP!$B$5:$B$204,$B7,PEP!$C$5:$C$204,"Variation")=0,COUNTIFS(PEP!$B$5:$B$204,$B7,PEP!$C$5:$C$204,"Activity")+COUNTIFS(PEP!$B$5:$B$204,$B7,PEP!$C$5:$C$204,"Variation")&lt;&gt;COUNTIFS(PEP!$B$5:$B$204,$B7,PEP!$C$5:$C$204,"Activity",PEP!$P$5:$P$204,"OK")+COUNTIFS(PEP!$B$5:$B$204,$B7,PEP!$C$5:$C$204,"Variation",PEP!$P$5:$P$204,"OK")),"",100*SUMIFS(PEP!$L$5:$L$204,PEP!$B$5:$B$204,$B7,PEP!$C$5:$C$204,"Initiative")))</x:f>
        <x:v>81.66666666666667</x:v>
      </x:c>
      <x:c r="H7" s="123" t="n">
        <x:f t="shared" ca="1" si="6">IF(OR($F7="",$G7=""),"",$G7-$F7)</x:f>
        <x:v>9.696969696969703</x:v>
      </x:c>
      <x:c r="I7" s="121" t="n">
        <x:f>IF($B7="","",IFERROR(IF(INDEX(InitiativesTable[Baseline finish],MATCH($B7,InitiativesTable[Initiative ID],0))=0,"",INDEX(InitiativesTable[Baseline finish],MATCH($B7,InitiativesTable[Initiative ID],0))),""))</x:f>
        <x:v>46353</x:v>
      </x:c>
      <x:c r="J7" s="121" t="n">
        <x:f>IF($B7="","",IFERROR(IF(INDEX(InitiativesTable[Forecast finish],MATCH($B7,InitiativesTable[Initiative ID],0))=0,"",INDEX(InitiativesTable[Forecast finish],MATCH($B7,InitiativesTable[Initiative ID],0))),""))</x:f>
        <x:v>46353</x:v>
      </x:c>
      <x:c r="K7" s="6" t="n">
        <x:f ca="1">IF($B7="","",COUNTIFS(PEP!$B$5:$B$204,$B7,PEP!$C$5:$C$204,"Activity",PEP!$N$5:$N$204,"Late")+COUNTIFS(PEP!$B$5:$B$204,$B7,PEP!$C$5:$C$204,"Variation",PEP!$N$5:$N$204,"Late"))</x:f>
        <x:v>2</x:v>
      </x:c>
      <x:c r="L7" s="6" t="n">
        <x:f>IF($B7="","",COUNTIFS('CONTROL LOG'!$B$5:$B$204,$B7,'CONTROL LOG'!$H$5:$H$204,"&lt;&gt;",'CONTROL LOG'!$H$5:$H$204,"&lt;&gt;Closed",'CONTROL LOG'!$H$5:$H$204,"&lt;&gt;Superseded"))</x:f>
        <x:v>1</x:v>
      </x:c>
      <x:c r="M7" s="6" t="n">
        <x:f>IF($B7="","",COUNTIFS(PEP!$B$5:$B$204,$B7,PEP!$P$5:$P$204,"&lt;&gt;OK",PEP!$P$5:$P$204,"&lt;&gt;"))</x:f>
        <x:v>0</x:v>
      </x:c>
      <x:c r="N7" s="6" t="str">
        <x:f>IF($B7="","",IFERROR(INDEX(InitiativesTable[Proposed Status / Health change],MATCH($B7,InitiativesTable[Initiative ID],0))&amp;"",""))</x:f>
      </x:c>
      <x:c r="O7" s="6" t="str">
        <x:f>IF($B7="","",IFERROR(INDEX(InitiativesTable[Digital Lead confirmation],MATCH($B7,InitiativesTable[Initiative ID],0))&amp;"",""))</x:f>
        <x:v>Confirmed</x:v>
      </x:c>
      <x:c r="P7" s="125" t="n">
        <x:f>IF($B7="","",IF(COUNTIFS(COST!$A$5:$A$104,$B7,COST!$D$5:$D$104,"Labour")=0,"",SUMIFS(COST!$E$5:$E$104,COST!$A$5:$A$104,$B7,COST!$D$5:$D$104,"Labour")))</x:f>
        <x:v>310000</x:v>
      </x:c>
      <x:c r="Q7" s="125" t="n">
        <x:f>IF($B7="","",IF(COUNTIFS(COST!$A$5:$A$104,$B7,COST!$D$5:$D$104,"Labour")=0,"",SUMIFS(COST!$F$5:$F$104,COST!$A$5:$A$104,$B7,COST!$D$5:$D$104,"Labour")))</x:f>
        <x:v>0</x:v>
      </x:c>
      <x:c r="R7" s="125" t="n">
        <x:f t="shared" si="1">IF($B7="","",IF(AND($P7="",$Q7=""),"",N($P7)+N($Q7)))</x:f>
        <x:v>310000</x:v>
      </x:c>
      <x:c r="S7" s="125" t="n">
        <x:f>IF($B7="","",IF(COUNTIFS(COST!$A$5:$A$104,$B7,COST!$D$5:$D$104,"Labour")=0,"",SUMIFS(COST!$T$5:$T$104,COST!$A$5:$A$104,$B7,COST!$D$5:$D$104,"Labour")))</x:f>
        <x:v>218000</x:v>
      </x:c>
      <x:c r="T7" s="125" t="n">
        <x:f t="shared" si="2">IF(OR($B7="",$R7="",$S7=""),"",$R7-$S7)</x:f>
        <x:v>92000</x:v>
      </x:c>
      <x:c r="U7" s="7" t="n">
        <x:f t="shared" si="3">IF(OR($B7="",$R7="",$R7=0,$S7=""),"",$S7/$R7)</x:f>
        <x:v>0.7032258064516129</x:v>
      </x:c>
      <x:c r="V7" s="125" t="n">
        <x:f>IF($B7="","",IF(COUNTIFS(COST!$A$5:$A$104,$B7,COST!$D$5:$D$104,"Fees")=0,"",SUMIFS(COST!$E$5:$E$104,COST!$A$5:$A$104,$B7,COST!$D$5:$D$104,"Fees")))</x:f>
        <x:v>190000</x:v>
      </x:c>
      <x:c r="W7" s="125" t="n">
        <x:f>IF($B7="","",IF(COUNTIFS(COST!$A$5:$A$104,$B7,COST!$D$5:$D$104,"Fees")=0,"",SUMIFS(COST!$F$5:$F$104,COST!$A$5:$A$104,$B7,COST!$D$5:$D$104,"Fees")))</x:f>
        <x:v>0</x:v>
      </x:c>
      <x:c r="X7" s="125" t="n">
        <x:f t="shared" si="4">IF($B7="","",IF(AND($V7="",$W7=""),"",N($V7)+N($W7)))</x:f>
        <x:v>190000</x:v>
      </x:c>
      <x:c r="Y7" s="125" t="n">
        <x:f>IF($B7="","",IF(COUNTIFS(COST!$A$5:$A$104,$B7,COST!$D$5:$D$104,"Fees")=0,"",SUMIFS(COST!$T$5:$T$104,COST!$A$5:$A$104,$B7,COST!$D$5:$D$104,"Fees")))</x:f>
        <x:v>121000</x:v>
      </x:c>
      <x:c r="Z7" s="125" t="n">
        <x:f t="shared" si="5">IF(OR($B7="",$X7="",$Y7=""),"",$X7-$Y7)</x:f>
        <x:v>69000</x:v>
      </x:c>
      <x:c r="AA7" s="127" t="n">
        <x:f t="shared" si="7">IFERROR(IF(OR($B7="",$U7="",$U7=0,$G7=""),"",($G7/100)/$U7),"")</x:f>
        <x:v>1.1613149847094801</x:v>
      </x:c>
      <x:c r="AB7" s="118" t="str">
        <x:f>IF($B7="","",IFERROR(INDEX(InitiativesTable[Delivery group],MATCH($B7,InitiativesTable[Initiative ID],0))&amp;"",""))</x:f>
      </x:c>
      <x:c r="AC7" s="118" t="str">
        <x:f>IF($B7="","",IFERROR(INDEX(InitiativesTable[Entry basis],MATCH($B7,InitiativesTable[Initiative ID],0))&amp;"",""))</x:f>
      </x:c>
      <x:c r="AD7" s="118" t="str">
        <x:f>IF($B7="","",IFERROR(INDEX(InitiativesTable[Delivery model],MATCH($B7,InitiativesTable[Initiative ID],0))&amp;"",""))</x:f>
      </x:c>
      <x:c r="AE7" s="118" t="str">
        <x:f>IF($B7="","",IFERROR(INDEX(InitiativesTable[Detailed plan owner],MATCH($B7,InitiativesTable[Initiative ID],0))&amp;"",""))</x:f>
      </x:c>
      <x:c r="AF7" s="118" t="str">
        <x:f>IF($B7="","",IFERROR(INDEX(InitiativesTable[Budget / cost owner],MATCH($B7,InitiativesTable[Initiative ID],0))&amp;"",""))</x:f>
      </x:c>
      <x:c r="AG7" s="118" t="str">
        <x:f>IF($B7="","",IFERROR(INDEX(InitiativesTable[Digital financial reporting basis],MATCH($B7,InitiativesTable[Initiative ID],0))&amp;"",""))</x:f>
      </x:c>
    </x:row>
    <x:row r="8" ht="20.049999237060547" customHeight="1">
      <x:c r="A8" s="121" t="n">
        <x:f t="shared" ca="1" si="0">IF($B8="","",TODAY())</x:f>
        <x:v>46279</x:v>
      </x:c>
      <x:c r="B8" s="6" t="str" cm="1">
        <x:f t="array" ref="B8">IFERROR(IF(INDEX(InitiativesTable[Initiative ID],4)="","",INDEX(InitiativesTable[Initiative ID],4)),"")</x:f>
        <x:v>DIG-004</x:v>
      </x:c>
      <x:c r="C8" s="6" t="str">
        <x:f>IF($B8="","",IFERROR(INDEX(InitiativesTable[Initiative title],MATCH($B8,InitiativesTable[Initiative ID],0))&amp;"",""))</x:f>
        <x:v>Data Platform Modernisation</x:v>
      </x:c>
      <x:c r="D8" s="6" t="str">
        <x:f>IF($B8="","",IFERROR(INDEX(InitiativesTable[Lifecycle Status],MATCH($B8,InitiativesTable[Initiative ID],0))&amp;"",""))</x:f>
        <x:v>In Delivery</x:v>
      </x:c>
      <x:c r="E8" s="6" t="str">
        <x:f>IF($B8="","",IFERROR(INDEX(InitiativesTable[Health],MATCH($B8,InitiativesTable[Initiative ID],0))&amp;"",""))</x:f>
        <x:v>At Risk (Budget)</x:v>
      </x:c>
      <x:c r="F8" s="123" t="n">
        <x:f ca="1">IF($B8="","",IF(OR(COUNTIFS(PEP!$B$5:$B$204,$B8,PEP!$C$5:$C$204,"Initiative")&lt;&gt;1,COUNTIFS(PEP!$B$5:$B$204,$B8,PEP!$C$5:$C$204,"Activity")+COUNTIFS(PEP!$B$5:$B$204,$B8,PEP!$C$5:$C$204,"Variation")=0,COUNTIFS(PEP!$B$5:$B$204,$B8,PEP!$C$5:$C$204,"Activity")+COUNTIFS(PEP!$B$5:$B$204,$B8,PEP!$C$5:$C$204,"Variation")&lt;&gt;COUNTIFS(PEP!$B$5:$B$204,$B8,PEP!$C$5:$C$204,"Activity",PEP!$P$5:$P$204,"OK")+COUNTIFS(PEP!$B$5:$B$204,$B8,PEP!$C$5:$C$204,"Variation",PEP!$P$5:$P$204,"OK")),"",100*SUMIFS(PEP!$K$5:$K$204,PEP!$B$5:$B$204,$B8,PEP!$C$5:$C$204,"Initiative")))</x:f>
        <x:v>40.17857142857142</x:v>
      </x:c>
      <x:c r="G8" s="123" t="n">
        <x:f>IF($B8="","",IF(OR(COUNTIFS(PEP!$B$5:$B$204,$B8,PEP!$C$5:$C$204,"Initiative")&lt;&gt;1,COUNTIFS(PEP!$B$5:$B$204,$B8,PEP!$C$5:$C$204,"Activity")+COUNTIFS(PEP!$B$5:$B$204,$B8,PEP!$C$5:$C$204,"Variation")=0,COUNTIFS(PEP!$B$5:$B$204,$B8,PEP!$C$5:$C$204,"Activity")+COUNTIFS(PEP!$B$5:$B$204,$B8,PEP!$C$5:$C$204,"Variation")&lt;&gt;COUNTIFS(PEP!$B$5:$B$204,$B8,PEP!$C$5:$C$204,"Activity",PEP!$P$5:$P$204,"OK")+COUNTIFS(PEP!$B$5:$B$204,$B8,PEP!$C$5:$C$204,"Variation",PEP!$P$5:$P$204,"OK")),"",100*SUMIFS(PEP!$L$5:$L$204,PEP!$B$5:$B$204,$B8,PEP!$C$5:$C$204,"Initiative")))</x:f>
        <x:v>35</x:v>
      </x:c>
      <x:c r="H8" s="123" t="n">
        <x:f t="shared" ca="1" si="6">IF(OR($F8="",$G8=""),"",$G8-$F8)</x:f>
        <x:v>-5.1785714285714235</x:v>
      </x:c>
      <x:c r="I8" s="121" t="n">
        <x:f>IF($B8="","",IFERROR(IF(INDEX(InitiativesTable[Baseline finish],MATCH($B8,InitiativesTable[Initiative ID],0))=0,"",INDEX(InitiativesTable[Baseline finish],MATCH($B8,InitiativesTable[Initiative ID],0))),""))</x:f>
        <x:v>46477</x:v>
      </x:c>
      <x:c r="J8" s="121" t="n">
        <x:f>IF($B8="","",IFERROR(IF(INDEX(InitiativesTable[Forecast finish],MATCH($B8,InitiativesTable[Initiative ID],0))=0,"",INDEX(InitiativesTable[Forecast finish],MATCH($B8,InitiativesTable[Initiative ID],0))),""))</x:f>
        <x:v>46477</x:v>
      </x:c>
      <x:c r="K8" s="6" t="n">
        <x:f ca="1">IF($B8="","",COUNTIFS(PEP!$B$5:$B$204,$B8,PEP!$C$5:$C$204,"Activity",PEP!$N$5:$N$204,"Late")+COUNTIFS(PEP!$B$5:$B$204,$B8,PEP!$C$5:$C$204,"Variation",PEP!$N$5:$N$204,"Late"))</x:f>
        <x:v>1</x:v>
      </x:c>
      <x:c r="L8" s="6" t="n">
        <x:f>IF($B8="","",COUNTIFS('CONTROL LOG'!$B$5:$B$204,$B8,'CONTROL LOG'!$H$5:$H$204,"&lt;&gt;",'CONTROL LOG'!$H$5:$H$204,"&lt;&gt;Closed",'CONTROL LOG'!$H$5:$H$204,"&lt;&gt;Superseded"))</x:f>
        <x:v>2</x:v>
      </x:c>
      <x:c r="M8" s="6" t="n">
        <x:f>IF($B8="","",COUNTIFS(PEP!$B$5:$B$204,$B8,PEP!$P$5:$P$204,"&lt;&gt;OK",PEP!$P$5:$P$204,"&lt;&gt;"))</x:f>
        <x:v>0</x:v>
      </x:c>
      <x:c r="N8" s="6" t="str">
        <x:f>IF($B8="","",IFERROR(INDEX(InitiativesTable[Proposed Status / Health change],MATCH($B8,InitiativesTable[Initiative ID],0))&amp;"",""))</x:f>
        <x:v>Increase budget by £120,000</x:v>
      </x:c>
      <x:c r="O8" s="6" t="str">
        <x:f>IF($B8="","",IFERROR(INDEX(InitiativesTable[Digital Lead confirmation],MATCH($B8,InitiativesTable[Initiative ID],0))&amp;"",""))</x:f>
        <x:v>Pending</x:v>
      </x:c>
      <x:c r="P8" s="125" t="n">
        <x:f>IF($B8="","",IF(COUNTIFS(COST!$A$5:$A$104,$B8,COST!$D$5:$D$104,"Labour")=0,"",SUMIFS(COST!$E$5:$E$104,COST!$A$5:$A$104,$B8,COST!$D$5:$D$104,"Labour")))</x:f>
        <x:v>760000</x:v>
      </x:c>
      <x:c r="Q8" s="125" t="n">
        <x:f>IF($B8="","",IF(COUNTIFS(COST!$A$5:$A$104,$B8,COST!$D$5:$D$104,"Labour")=0,"",SUMIFS(COST!$F$5:$F$104,COST!$A$5:$A$104,$B8,COST!$D$5:$D$104,"Labour")))</x:f>
        <x:v>120000</x:v>
      </x:c>
      <x:c r="R8" s="125" t="n">
        <x:f t="shared" si="1">IF($B8="","",IF(AND($P8="",$Q8=""),"",N($P8)+N($Q8)))</x:f>
        <x:v>880000</x:v>
      </x:c>
      <x:c r="S8" s="125" t="n">
        <x:f>IF($B8="","",IF(COUNTIFS(COST!$A$5:$A$104,$B8,COST!$D$5:$D$104,"Labour")=0,"",SUMIFS(COST!$T$5:$T$104,COST!$A$5:$A$104,$B8,COST!$D$5:$D$104,"Labour")))</x:f>
        <x:v>315000</x:v>
      </x:c>
      <x:c r="T8" s="125" t="n">
        <x:f t="shared" si="2">IF(OR($B8="",$R8="",$S8=""),"",$R8-$S8)</x:f>
        <x:v>565000</x:v>
      </x:c>
      <x:c r="U8" s="7" t="n">
        <x:f t="shared" si="3">IF(OR($B8="",$R8="",$R8=0,$S8=""),"",$S8/$R8)</x:f>
        <x:v>0.35795454545454547</x:v>
      </x:c>
      <x:c r="V8" s="125" t="n">
        <x:f>IF($B8="","",IF(COUNTIFS(COST!$A$5:$A$104,$B8,COST!$D$5:$D$104,"Fees")=0,"",SUMIFS(COST!$E$5:$E$104,COST!$A$5:$A$104,$B8,COST!$D$5:$D$104,"Fees")))</x:f>
        <x:v>420000</x:v>
      </x:c>
      <x:c r="W8" s="125" t="n">
        <x:f>IF($B8="","",IF(COUNTIFS(COST!$A$5:$A$104,$B8,COST!$D$5:$D$104,"Fees")=0,"",SUMIFS(COST!$F$5:$F$104,COST!$A$5:$A$104,$B8,COST!$D$5:$D$104,"Fees")))</x:f>
        <x:v>80000</x:v>
      </x:c>
      <x:c r="X8" s="125" t="n">
        <x:f t="shared" si="4">IF($B8="","",IF(AND($V8="",$W8=""),"",N($V8)+N($W8)))</x:f>
        <x:v>500000</x:v>
      </x:c>
      <x:c r="Y8" s="125" t="n">
        <x:f>IF($B8="","",IF(COUNTIFS(COST!$A$5:$A$104,$B8,COST!$D$5:$D$104,"Fees")=0,"",SUMIFS(COST!$T$5:$T$104,COST!$A$5:$A$104,$B8,COST!$D$5:$D$104,"Fees")))</x:f>
        <x:v>196000</x:v>
      </x:c>
      <x:c r="Z8" s="125" t="n">
        <x:f t="shared" si="5">IF(OR($B8="",$X8="",$Y8=""),"",$X8-$Y8)</x:f>
        <x:v>304000</x:v>
      </x:c>
      <x:c r="AA8" s="127" t="n">
        <x:f t="shared" si="7">IFERROR(IF(OR($B8="",$U8="",$U8=0,$G8=""),"",($G8/100)/$U8),"")</x:f>
        <x:v>0.9777777777777776</x:v>
      </x:c>
      <x:c r="AB8" s="118" t="str">
        <x:f>IF($B8="","",IFERROR(INDEX(InitiativesTable[Delivery group],MATCH($B8,InitiativesTable[Initiative ID],0))&amp;"",""))</x:f>
      </x:c>
      <x:c r="AC8" s="118" t="str">
        <x:f>IF($B8="","",IFERROR(INDEX(InitiativesTable[Entry basis],MATCH($B8,InitiativesTable[Initiative ID],0))&amp;"",""))</x:f>
      </x:c>
      <x:c r="AD8" s="118" t="str">
        <x:f>IF($B8="","",IFERROR(INDEX(InitiativesTable[Delivery model],MATCH($B8,InitiativesTable[Initiative ID],0))&amp;"",""))</x:f>
      </x:c>
      <x:c r="AE8" s="118" t="str">
        <x:f>IF($B8="","",IFERROR(INDEX(InitiativesTable[Detailed plan owner],MATCH($B8,InitiativesTable[Initiative ID],0))&amp;"",""))</x:f>
      </x:c>
      <x:c r="AF8" s="118" t="str">
        <x:f>IF($B8="","",IFERROR(INDEX(InitiativesTable[Budget / cost owner],MATCH($B8,InitiativesTable[Initiative ID],0))&amp;"",""))</x:f>
      </x:c>
      <x:c r="AG8" s="118" t="str">
        <x:f>IF($B8="","",IFERROR(INDEX(InitiativesTable[Digital financial reporting basis],MATCH($B8,InitiativesTable[Initiative ID],0))&amp;"",""))</x:f>
      </x:c>
    </x:row>
    <x:row r="9" ht="20.049999237060547" customHeight="1">
      <x:c r="A9" s="121" t="n">
        <x:f t="shared" ca="1" si="0">IF($B9="","",TODAY())</x:f>
        <x:v>46279</x:v>
      </x:c>
      <x:c r="B9" s="6" t="str" cm="1">
        <x:f t="array" ref="B9">IFERROR(IF(INDEX(InitiativesTable[Initiative ID],5)="","",INDEX(InitiativesTable[Initiative ID],5)),"")</x:f>
        <x:v>DIG-005</x:v>
      </x:c>
      <x:c r="C9" s="6" t="str">
        <x:f>IF($B9="","",IFERROR(INDEX(InitiativesTable[Initiative title],MATCH($B9,InitiativesTable[Initiative ID],0))&amp;"",""))</x:f>
        <x:v>Mobile Workforce App</x:v>
      </x:c>
      <x:c r="D9" s="6" t="str">
        <x:f>IF($B9="","",IFERROR(INDEX(InitiativesTable[Lifecycle Status],MATCH($B9,InitiativesTable[Initiative ID],0))&amp;"",""))</x:f>
        <x:v>Operational / Live</x:v>
      </x:c>
      <x:c r="E9" s="6" t="str">
        <x:f>IF($B9="","",IFERROR(INDEX(InitiativesTable[Health],MATCH($B9,InitiativesTable[Initiative ID],0))&amp;"",""))</x:f>
        <x:v>Live</x:v>
      </x:c>
      <x:c r="F9" s="123" t="n">
        <x:f ca="1">IF($B9="","",IF(OR(COUNTIFS(PEP!$B$5:$B$204,$B9,PEP!$C$5:$C$204,"Initiative")&lt;&gt;1,COUNTIFS(PEP!$B$5:$B$204,$B9,PEP!$C$5:$C$204,"Activity")+COUNTIFS(PEP!$B$5:$B$204,$B9,PEP!$C$5:$C$204,"Variation")=0,COUNTIFS(PEP!$B$5:$B$204,$B9,PEP!$C$5:$C$204,"Activity")+COUNTIFS(PEP!$B$5:$B$204,$B9,PEP!$C$5:$C$204,"Variation")&lt;&gt;COUNTIFS(PEP!$B$5:$B$204,$B9,PEP!$C$5:$C$204,"Activity",PEP!$P$5:$P$204,"OK")+COUNTIFS(PEP!$B$5:$B$204,$B9,PEP!$C$5:$C$204,"Variation",PEP!$P$5:$P$204,"OK")),"",100*SUMIFS(PEP!$K$5:$K$204,PEP!$B$5:$B$204,$B9,PEP!$C$5:$C$204,"Initiative")))</x:f>
        <x:v>100</x:v>
      </x:c>
      <x:c r="G9" s="123" t="n">
        <x:f>IF($B9="","",IF(OR(COUNTIFS(PEP!$B$5:$B$204,$B9,PEP!$C$5:$C$204,"Initiative")&lt;&gt;1,COUNTIFS(PEP!$B$5:$B$204,$B9,PEP!$C$5:$C$204,"Activity")+COUNTIFS(PEP!$B$5:$B$204,$B9,PEP!$C$5:$C$204,"Variation")=0,COUNTIFS(PEP!$B$5:$B$204,$B9,PEP!$C$5:$C$204,"Activity")+COUNTIFS(PEP!$B$5:$B$204,$B9,PEP!$C$5:$C$204,"Variation")&lt;&gt;COUNTIFS(PEP!$B$5:$B$204,$B9,PEP!$C$5:$C$204,"Activity",PEP!$P$5:$P$204,"OK")+COUNTIFS(PEP!$B$5:$B$204,$B9,PEP!$C$5:$C$204,"Variation",PEP!$P$5:$P$204,"OK")),"",100*SUMIFS(PEP!$L$5:$L$204,PEP!$B$5:$B$204,$B9,PEP!$C$5:$C$204,"Initiative")))</x:f>
        <x:v>100</x:v>
      </x:c>
      <x:c r="H9" s="123" t="n">
        <x:f t="shared" ca="1" si="6">IF(OR($F9="",$G9=""),"",$G9-$F9)</x:f>
        <x:v>0</x:v>
      </x:c>
      <x:c r="I9" s="121" t="n">
        <x:f>IF($B9="","",IFERROR(IF(INDEX(InitiativesTable[Baseline finish],MATCH($B9,InitiativesTable[Initiative ID],0))=0,"",INDEX(InitiativesTable[Baseline finish],MATCH($B9,InitiativesTable[Initiative ID],0))),""))</x:f>
        <x:v>46262</x:v>
      </x:c>
      <x:c r="J9" s="121" t="n">
        <x:f>IF($B9="","",IFERROR(IF(INDEX(InitiativesTable[Forecast finish],MATCH($B9,InitiativesTable[Initiative ID],0))=0,"",INDEX(InitiativesTable[Forecast finish],MATCH($B9,InitiativesTable[Initiative ID],0))),""))</x:f>
        <x:v>46262</x:v>
      </x:c>
      <x:c r="K9" s="6" t="n">
        <x:f ca="1">IF($B9="","",COUNTIFS(PEP!$B$5:$B$204,$B9,PEP!$C$5:$C$204,"Activity",PEP!$N$5:$N$204,"Late")+COUNTIFS(PEP!$B$5:$B$204,$B9,PEP!$C$5:$C$204,"Variation",PEP!$N$5:$N$204,"Late"))</x:f>
        <x:v>0</x:v>
      </x:c>
      <x:c r="L9" s="6" t="n">
        <x:f>IF($B9="","",COUNTIFS('CONTROL LOG'!$B$5:$B$204,$B9,'CONTROL LOG'!$H$5:$H$204,"&lt;&gt;",'CONTROL LOG'!$H$5:$H$204,"&lt;&gt;Closed",'CONTROL LOG'!$H$5:$H$204,"&lt;&gt;Superseded"))</x:f>
        <x:v>0</x:v>
      </x:c>
      <x:c r="M9" s="6" t="n">
        <x:f>IF($B9="","",COUNTIFS(PEP!$B$5:$B$204,$B9,PEP!$P$5:$P$204,"&lt;&gt;OK",PEP!$P$5:$P$204,"&lt;&gt;"))</x:f>
        <x:v>0</x:v>
      </x:c>
      <x:c r="N9" s="6" t="str">
        <x:f>IF($B9="","",IFERROR(INDEX(InitiativesTable[Proposed Status / Health change],MATCH($B9,InitiativesTable[Initiative ID],0))&amp;"",""))</x:f>
      </x:c>
      <x:c r="O9" s="6" t="str">
        <x:f>IF($B9="","",IFERROR(INDEX(InitiativesTable[Digital Lead confirmation],MATCH($B9,InitiativesTable[Initiative ID],0))&amp;"",""))</x:f>
        <x:v>Confirmed</x:v>
      </x:c>
      <x:c r="P9" s="125" t="n">
        <x:f>IF($B9="","",IF(COUNTIFS(COST!$A$5:$A$104,$B9,COST!$D$5:$D$104,"Labour")=0,"",SUMIFS(COST!$E$5:$E$104,COST!$A$5:$A$104,$B9,COST!$D$5:$D$104,"Labour")))</x:f>
        <x:v>360000</x:v>
      </x:c>
      <x:c r="Q9" s="125" t="n">
        <x:f>IF($B9="","",IF(COUNTIFS(COST!$A$5:$A$104,$B9,COST!$D$5:$D$104,"Labour")=0,"",SUMIFS(COST!$F$5:$F$104,COST!$A$5:$A$104,$B9,COST!$D$5:$D$104,"Labour")))</x:f>
        <x:v>0</x:v>
      </x:c>
      <x:c r="R9" s="125" t="n">
        <x:f t="shared" si="1">IF($B9="","",IF(AND($P9="",$Q9=""),"",N($P9)+N($Q9)))</x:f>
        <x:v>360000</x:v>
      </x:c>
      <x:c r="S9" s="125" t="n">
        <x:f>IF($B9="","",IF(COUNTIFS(COST!$A$5:$A$104,$B9,COST!$D$5:$D$104,"Labour")=0,"",SUMIFS(COST!$T$5:$T$104,COST!$A$5:$A$104,$B9,COST!$D$5:$D$104,"Labour")))</x:f>
        <x:v>352000</x:v>
      </x:c>
      <x:c r="T9" s="125" t="n">
        <x:f t="shared" si="2">IF(OR($B9="",$R9="",$S9=""),"",$R9-$S9)</x:f>
        <x:v>8000</x:v>
      </x:c>
      <x:c r="U9" s="7" t="n">
        <x:f t="shared" si="3">IF(OR($B9="",$R9="",$R9=0,$S9=""),"",$S9/$R9)</x:f>
        <x:v>0.9777777777777777</x:v>
      </x:c>
      <x:c r="V9" s="125" t="n">
        <x:f>IF($B9="","",IF(COUNTIFS(COST!$A$5:$A$104,$B9,COST!$D$5:$D$104,"Fees")=0,"",SUMIFS(COST!$E$5:$E$104,COST!$A$5:$A$104,$B9,COST!$D$5:$D$104,"Fees")))</x:f>
        <x:v>140000</x:v>
      </x:c>
      <x:c r="W9" s="125" t="n">
        <x:f>IF($B9="","",IF(COUNTIFS(COST!$A$5:$A$104,$B9,COST!$D$5:$D$104,"Fees")=0,"",SUMIFS(COST!$F$5:$F$104,COST!$A$5:$A$104,$B9,COST!$D$5:$D$104,"Fees")))</x:f>
        <x:v>0</x:v>
      </x:c>
      <x:c r="X9" s="125" t="n">
        <x:f t="shared" si="4">IF($B9="","",IF(AND($V9="",$W9=""),"",N($V9)+N($W9)))</x:f>
        <x:v>140000</x:v>
      </x:c>
      <x:c r="Y9" s="125" t="n">
        <x:f>IF($B9="","",IF(COUNTIFS(COST!$A$5:$A$104,$B9,COST!$D$5:$D$104,"Fees")=0,"",SUMIFS(COST!$T$5:$T$104,COST!$A$5:$A$104,$B9,COST!$D$5:$D$104,"Fees")))</x:f>
        <x:v>137000</x:v>
      </x:c>
      <x:c r="Z9" s="125" t="n">
        <x:f t="shared" si="5">IF(OR($B9="",$X9="",$Y9=""),"",$X9-$Y9)</x:f>
        <x:v>3000</x:v>
      </x:c>
      <x:c r="AA9" s="127" t="n">
        <x:f t="shared" si="7">IFERROR(IF(OR($B9="",$U9="",$U9=0,$G9=""),"",($G9/100)/$U9),"")</x:f>
        <x:v>1.0227272727272727</x:v>
      </x:c>
      <x:c r="AB9" s="118" t="str">
        <x:f>IF($B9="","",IFERROR(INDEX(InitiativesTable[Delivery group],MATCH($B9,InitiativesTable[Initiative ID],0))&amp;"",""))</x:f>
      </x:c>
      <x:c r="AC9" s="118" t="str">
        <x:f>IF($B9="","",IFERROR(INDEX(InitiativesTable[Entry basis],MATCH($B9,InitiativesTable[Initiative ID],0))&amp;"",""))</x:f>
      </x:c>
      <x:c r="AD9" s="118" t="str">
        <x:f>IF($B9="","",IFERROR(INDEX(InitiativesTable[Delivery model],MATCH($B9,InitiativesTable[Initiative ID],0))&amp;"",""))</x:f>
      </x:c>
      <x:c r="AE9" s="118" t="str">
        <x:f>IF($B9="","",IFERROR(INDEX(InitiativesTable[Detailed plan owner],MATCH($B9,InitiativesTable[Initiative ID],0))&amp;"",""))</x:f>
      </x:c>
      <x:c r="AF9" s="118" t="str">
        <x:f>IF($B9="","",IFERROR(INDEX(InitiativesTable[Budget / cost owner],MATCH($B9,InitiativesTable[Initiative ID],0))&amp;"",""))</x:f>
      </x:c>
      <x:c r="AG9" s="118" t="str">
        <x:f>IF($B9="","",IFERROR(INDEX(InitiativesTable[Digital financial reporting basis],MATCH($B9,InitiativesTable[Initiative ID],0))&amp;"",""))</x:f>
      </x:c>
    </x:row>
    <x:row r="10" ht="20.049999237060547" customHeight="1">
      <x:c r="A10" s="121" t="n">
        <x:f t="shared" ca="1" si="0">IF($B10="","",TODAY())</x:f>
        <x:v>46279</x:v>
      </x:c>
      <x:c r="B10" s="6" t="str" cm="1">
        <x:f t="array" ref="B10">IFERROR(IF(INDEX(InitiativesTable[Initiative ID],6)="","",INDEX(InitiativesTable[Initiative ID],6)),"")</x:f>
        <x:v>DIG-006</x:v>
      </x:c>
      <x:c r="C10" s="6" t="str">
        <x:f>IF($B10="","",IFERROR(INDEX(InitiativesTable[Initiative title],MATCH($B10,InitiativesTable[Initiative ID],0))&amp;"",""))</x:f>
        <x:v>CRM Consolidation</x:v>
      </x:c>
      <x:c r="D10" s="6" t="str">
        <x:f>IF($B10="","",IFERROR(INDEX(InitiativesTable[Lifecycle Status],MATCH($B10,InitiativesTable[Initiative ID],0))&amp;"",""))</x:f>
        <x:v>In Delivery</x:v>
      </x:c>
      <x:c r="E10" s="6" t="str">
        <x:f>IF($B10="","",IFERROR(INDEX(InitiativesTable[Health],MATCH($B10,InitiativesTable[Initiative ID],0))&amp;"",""))</x:f>
        <x:v>At Risk (Date)</x:v>
      </x:c>
      <x:c r="F10" s="123" t="n">
        <x:f ca="1">IF($B10="","",IF(OR(COUNTIFS(PEP!$B$5:$B$204,$B10,PEP!$C$5:$C$204,"Initiative")&lt;&gt;1,COUNTIFS(PEP!$B$5:$B$204,$B10,PEP!$C$5:$C$204,"Activity")+COUNTIFS(PEP!$B$5:$B$204,$B10,PEP!$C$5:$C$204,"Variation")=0,COUNTIFS(PEP!$B$5:$B$204,$B10,PEP!$C$5:$C$204,"Activity")+COUNTIFS(PEP!$B$5:$B$204,$B10,PEP!$C$5:$C$204,"Variation")&lt;&gt;COUNTIFS(PEP!$B$5:$B$204,$B10,PEP!$C$5:$C$204,"Activity",PEP!$P$5:$P$204,"OK")+COUNTIFS(PEP!$B$5:$B$204,$B10,PEP!$C$5:$C$204,"Variation",PEP!$P$5:$P$204,"OK")),"",100*SUMIFS(PEP!$K$5:$K$204,PEP!$B$5:$B$204,$B10,PEP!$C$5:$C$204,"Initiative")))</x:f>
        <x:v>73</x:v>
      </x:c>
      <x:c r="G10" s="123" t="n">
        <x:f>IF($B10="","",IF(OR(COUNTIFS(PEP!$B$5:$B$204,$B10,PEP!$C$5:$C$204,"Initiative")&lt;&gt;1,COUNTIFS(PEP!$B$5:$B$204,$B10,PEP!$C$5:$C$204,"Activity")+COUNTIFS(PEP!$B$5:$B$204,$B10,PEP!$C$5:$C$204,"Variation")=0,COUNTIFS(PEP!$B$5:$B$204,$B10,PEP!$C$5:$C$204,"Activity")+COUNTIFS(PEP!$B$5:$B$204,$B10,PEP!$C$5:$C$204,"Variation")&lt;&gt;COUNTIFS(PEP!$B$5:$B$204,$B10,PEP!$C$5:$C$204,"Activity",PEP!$P$5:$P$204,"OK")+COUNTIFS(PEP!$B$5:$B$204,$B10,PEP!$C$5:$C$204,"Variation",PEP!$P$5:$P$204,"OK")),"",100*SUMIFS(PEP!$L$5:$L$204,PEP!$B$5:$B$204,$B10,PEP!$C$5:$C$204,"Initiative")))</x:f>
        <x:v>45</x:v>
      </x:c>
      <x:c r="H10" s="123" t="n">
        <x:f t="shared" ca="1" si="6">IF(OR($F10="",$G10=""),"",$G10-$F10)</x:f>
        <x:v>-28</x:v>
      </x:c>
      <x:c r="I10" s="121" t="n">
        <x:f>IF($B10="","",IFERROR(IF(INDEX(InitiativesTable[Baseline finish],MATCH($B10,InitiativesTable[Initiative ID],0))=0,"",INDEX(InitiativesTable[Baseline finish],MATCH($B10,InitiativesTable[Initiative ID],0))),""))</x:f>
        <x:v>46360</x:v>
      </x:c>
      <x:c r="J10" s="121" t="n">
        <x:f>IF($B10="","",IFERROR(IF(INDEX(InitiativesTable[Forecast finish],MATCH($B10,InitiativesTable[Initiative ID],0))=0,"",INDEX(InitiativesTable[Forecast finish],MATCH($B10,InitiativesTable[Initiative ID],0))),""))</x:f>
        <x:v>46430</x:v>
      </x:c>
      <x:c r="K10" s="6" t="n">
        <x:f ca="1">IF($B10="","",COUNTIFS(PEP!$B$5:$B$204,$B10,PEP!$C$5:$C$204,"Activity",PEP!$N$5:$N$204,"Late")+COUNTIFS(PEP!$B$5:$B$204,$B10,PEP!$C$5:$C$204,"Variation",PEP!$N$5:$N$204,"Late"))</x:f>
        <x:v>1</x:v>
      </x:c>
      <x:c r="L10" s="6" t="n">
        <x:f>IF($B10="","",COUNTIFS('CONTROL LOG'!$B$5:$B$204,$B10,'CONTROL LOG'!$H$5:$H$204,"&lt;&gt;",'CONTROL LOG'!$H$5:$H$204,"&lt;&gt;Closed",'CONTROL LOG'!$H$5:$H$204,"&lt;&gt;Superseded"))</x:f>
        <x:v>2</x:v>
      </x:c>
      <x:c r="M10" s="6" t="n">
        <x:f>IF($B10="","",COUNTIFS(PEP!$B$5:$B$204,$B10,PEP!$P$5:$P$204,"&lt;&gt;OK",PEP!$P$5:$P$204,"&lt;&gt;"))</x:f>
        <x:v>0</x:v>
      </x:c>
      <x:c r="N10" s="6" t="str">
        <x:f>IF($B10="","",IFERROR(INDEX(InitiativesTable[Proposed Status / Health change],MATCH($B10,InitiativesTable[Initiative ID],0))&amp;"",""))</x:f>
        <x:v>Move forecast finish to 12/02/2027</x:v>
      </x:c>
      <x:c r="O10" s="6" t="str">
        <x:f>IF($B10="","",IFERROR(INDEX(InitiativesTable[Digital Lead confirmation],MATCH($B10,InitiativesTable[Initiative ID],0))&amp;"",""))</x:f>
        <x:v>Pending</x:v>
      </x:c>
      <x:c r="P10" s="125" t="n">
        <x:f>IF($B10="","",IF(COUNTIFS(COST!$A$5:$A$104,$B10,COST!$D$5:$D$104,"Labour")=0,"",SUMIFS(COST!$E$5:$E$104,COST!$A$5:$A$104,$B10,COST!$D$5:$D$104,"Labour")))</x:f>
        <x:v>590000</x:v>
      </x:c>
      <x:c r="Q10" s="125" t="n">
        <x:f>IF($B10="","",IF(COUNTIFS(COST!$A$5:$A$104,$B10,COST!$D$5:$D$104,"Labour")=0,"",SUMIFS(COST!$F$5:$F$104,COST!$A$5:$A$104,$B10,COST!$D$5:$D$104,"Labour")))</x:f>
        <x:v>40000</x:v>
      </x:c>
      <x:c r="R10" s="125" t="n">
        <x:f t="shared" si="1">IF($B10="","",IF(AND($P10="",$Q10=""),"",N($P10)+N($Q10)))</x:f>
        <x:v>630000</x:v>
      </x:c>
      <x:c r="S10" s="125" t="n">
        <x:f>IF($B10="","",IF(COUNTIFS(COST!$A$5:$A$104,$B10,COST!$D$5:$D$104,"Labour")=0,"",SUMIFS(COST!$T$5:$T$104,COST!$A$5:$A$104,$B10,COST!$D$5:$D$104,"Labour")))</x:f>
        <x:v>286000</x:v>
      </x:c>
      <x:c r="T10" s="125" t="n">
        <x:f t="shared" si="2">IF(OR($B10="",$R10="",$S10=""),"",$R10-$S10)</x:f>
        <x:v>344000</x:v>
      </x:c>
      <x:c r="U10" s="7" t="n">
        <x:f t="shared" si="3">IF(OR($B10="",$R10="",$R10=0,$S10=""),"",$S10/$R10)</x:f>
        <x:v>0.45396825396825397</x:v>
      </x:c>
      <x:c r="V10" s="125" t="n">
        <x:f>IF($B10="","",IF(COUNTIFS(COST!$A$5:$A$104,$B10,COST!$D$5:$D$104,"Fees")=0,"",SUMIFS(COST!$E$5:$E$104,COST!$A$5:$A$104,$B10,COST!$D$5:$D$104,"Fees")))</x:f>
        <x:v>260000</x:v>
      </x:c>
      <x:c r="W10" s="125" t="n">
        <x:f>IF($B10="","",IF(COUNTIFS(COST!$A$5:$A$104,$B10,COST!$D$5:$D$104,"Fees")=0,"",SUMIFS(COST!$F$5:$F$104,COST!$A$5:$A$104,$B10,COST!$D$5:$D$104,"Fees")))</x:f>
        <x:v>35000</x:v>
      </x:c>
      <x:c r="X10" s="125" t="n">
        <x:f t="shared" si="4">IF($B10="","",IF(AND($V10="",$W10=""),"",N($V10)+N($W10)))</x:f>
        <x:v>295000</x:v>
      </x:c>
      <x:c r="Y10" s="125" t="n">
        <x:f>IF($B10="","",IF(COUNTIFS(COST!$A$5:$A$104,$B10,COST!$D$5:$D$104,"Fees")=0,"",SUMIFS(COST!$T$5:$T$104,COST!$A$5:$A$104,$B10,COST!$D$5:$D$104,"Fees")))</x:f>
        <x:v>142000</x:v>
      </x:c>
      <x:c r="Z10" s="125" t="n">
        <x:f t="shared" si="5">IF(OR($B10="",$X10="",$Y10=""),"",$X10-$Y10)</x:f>
        <x:v>153000</x:v>
      </x:c>
      <x:c r="AA10" s="127" t="n">
        <x:f t="shared" si="7">IFERROR(IF(OR($B10="",$U10="",$U10=0,$G10=""),"",($G10/100)/$U10),"")</x:f>
        <x:v>0.9912587412587412</x:v>
      </x:c>
      <x:c r="AB10" s="118" t="str">
        <x:f>IF($B10="","",IFERROR(INDEX(InitiativesTable[Delivery group],MATCH($B10,InitiativesTable[Initiative ID],0))&amp;"",""))</x:f>
      </x:c>
      <x:c r="AC10" s="118" t="str">
        <x:f>IF($B10="","",IFERROR(INDEX(InitiativesTable[Entry basis],MATCH($B10,InitiativesTable[Initiative ID],0))&amp;"",""))</x:f>
      </x:c>
      <x:c r="AD10" s="118" t="str">
        <x:f>IF($B10="","",IFERROR(INDEX(InitiativesTable[Delivery model],MATCH($B10,InitiativesTable[Initiative ID],0))&amp;"",""))</x:f>
      </x:c>
      <x:c r="AE10" s="118" t="str">
        <x:f>IF($B10="","",IFERROR(INDEX(InitiativesTable[Detailed plan owner],MATCH($B10,InitiativesTable[Initiative ID],0))&amp;"",""))</x:f>
      </x:c>
      <x:c r="AF10" s="118" t="str">
        <x:f>IF($B10="","",IFERROR(INDEX(InitiativesTable[Budget / cost owner],MATCH($B10,InitiativesTable[Initiative ID],0))&amp;"",""))</x:f>
      </x:c>
      <x:c r="AG10" s="118" t="str">
        <x:f>IF($B10="","",IFERROR(INDEX(InitiativesTable[Digital financial reporting basis],MATCH($B10,InitiativesTable[Initiative ID],0))&amp;"",""))</x:f>
      </x:c>
    </x:row>
    <x:row r="11" ht="20.049999237060547" customHeight="1">
      <x:c r="A11" s="121" t="n">
        <x:f t="shared" ca="1" si="0">IF($B11="","",TODAY())</x:f>
        <x:v>46279</x:v>
      </x:c>
      <x:c r="B11" s="6" t="str" cm="1">
        <x:f t="array" ref="B11">IFERROR(IF(INDEX(InitiativesTable[Initiative ID],7)="","",INDEX(InitiativesTable[Initiative ID],7)),"")</x:f>
        <x:v>DIG-007</x:v>
      </x:c>
      <x:c r="C11" s="6" t="str">
        <x:f>IF($B11="","",IFERROR(INDEX(InitiativesTable[Initiative title],MATCH($B11,InitiativesTable[Initiative ID],0))&amp;"",""))</x:f>
        <x:v>Cloud Landing Zone</x:v>
      </x:c>
      <x:c r="D11" s="6" t="str">
        <x:f>IF($B11="","",IFERROR(INDEX(InitiativesTable[Lifecycle Status],MATCH($B11,InitiativesTable[Initiative ID],0))&amp;"",""))</x:f>
        <x:v>Operational / Live</x:v>
      </x:c>
      <x:c r="E11" s="6" t="str">
        <x:f>IF($B11="","",IFERROR(INDEX(InitiativesTable[Health],MATCH($B11,InitiativesTable[Initiative ID],0))&amp;"",""))</x:f>
        <x:v>Live</x:v>
      </x:c>
      <x:c r="F11" s="123" t="n">
        <x:f ca="1">IF($B11="","",IF(OR(COUNTIFS(PEP!$B$5:$B$204,$B11,PEP!$C$5:$C$204,"Initiative")&lt;&gt;1,COUNTIFS(PEP!$B$5:$B$204,$B11,PEP!$C$5:$C$204,"Activity")+COUNTIFS(PEP!$B$5:$B$204,$B11,PEP!$C$5:$C$204,"Variation")=0,COUNTIFS(PEP!$B$5:$B$204,$B11,PEP!$C$5:$C$204,"Activity")+COUNTIFS(PEP!$B$5:$B$204,$B11,PEP!$C$5:$C$204,"Variation")&lt;&gt;COUNTIFS(PEP!$B$5:$B$204,$B11,PEP!$C$5:$C$204,"Activity",PEP!$P$5:$P$204,"OK")+COUNTIFS(PEP!$B$5:$B$204,$B11,PEP!$C$5:$C$204,"Variation",PEP!$P$5:$P$204,"OK")),"",100*SUMIFS(PEP!$K$5:$K$204,PEP!$B$5:$B$204,$B11,PEP!$C$5:$C$204,"Initiative")))</x:f>
        <x:v>100</x:v>
      </x:c>
      <x:c r="G11" s="123" t="n">
        <x:f>IF($B11="","",IF(OR(COUNTIFS(PEP!$B$5:$B$204,$B11,PEP!$C$5:$C$204,"Initiative")&lt;&gt;1,COUNTIFS(PEP!$B$5:$B$204,$B11,PEP!$C$5:$C$204,"Activity")+COUNTIFS(PEP!$B$5:$B$204,$B11,PEP!$C$5:$C$204,"Variation")=0,COUNTIFS(PEP!$B$5:$B$204,$B11,PEP!$C$5:$C$204,"Activity")+COUNTIFS(PEP!$B$5:$B$204,$B11,PEP!$C$5:$C$204,"Variation")&lt;&gt;COUNTIFS(PEP!$B$5:$B$204,$B11,PEP!$C$5:$C$204,"Activity",PEP!$P$5:$P$204,"OK")+COUNTIFS(PEP!$B$5:$B$204,$B11,PEP!$C$5:$C$204,"Variation",PEP!$P$5:$P$204,"OK")),"",100*SUMIFS(PEP!$L$5:$L$204,PEP!$B$5:$B$204,$B11,PEP!$C$5:$C$204,"Initiative")))</x:f>
        <x:v>100</x:v>
      </x:c>
      <x:c r="H11" s="123" t="n">
        <x:f t="shared" ca="1" si="6">IF(OR($F11="",$G11=""),"",$G11-$F11)</x:f>
        <x:v>0</x:v>
      </x:c>
      <x:c r="I11" s="121" t="n">
        <x:f>IF($B11="","",IFERROR(IF(INDEX(InitiativesTable[Baseline finish],MATCH($B11,InitiativesTable[Initiative ID],0))=0,"",INDEX(InitiativesTable[Baseline finish],MATCH($B11,InitiativesTable[Initiative ID],0))),""))</x:f>
        <x:v>46234</x:v>
      </x:c>
      <x:c r="J11" s="121" t="n">
        <x:f>IF($B11="","",IFERROR(IF(INDEX(InitiativesTable[Forecast finish],MATCH($B11,InitiativesTable[Initiative ID],0))=0,"",INDEX(InitiativesTable[Forecast finish],MATCH($B11,InitiativesTable[Initiative ID],0))),""))</x:f>
        <x:v>46234</x:v>
      </x:c>
      <x:c r="K11" s="6" t="n">
        <x:f ca="1">IF($B11="","",COUNTIFS(PEP!$B$5:$B$204,$B11,PEP!$C$5:$C$204,"Activity",PEP!$N$5:$N$204,"Late")+COUNTIFS(PEP!$B$5:$B$204,$B11,PEP!$C$5:$C$204,"Variation",PEP!$N$5:$N$204,"Late"))</x:f>
        <x:v>0</x:v>
      </x:c>
      <x:c r="L11" s="6" t="n">
        <x:f>IF($B11="","",COUNTIFS('CONTROL LOG'!$B$5:$B$204,$B11,'CONTROL LOG'!$H$5:$H$204,"&lt;&gt;",'CONTROL LOG'!$H$5:$H$204,"&lt;&gt;Closed",'CONTROL LOG'!$H$5:$H$204,"&lt;&gt;Superseded"))</x:f>
        <x:v>0</x:v>
      </x:c>
      <x:c r="M11" s="6" t="n">
        <x:f>IF($B11="","",COUNTIFS(PEP!$B$5:$B$204,$B11,PEP!$P$5:$P$204,"&lt;&gt;OK",PEP!$P$5:$P$204,"&lt;&gt;"))</x:f>
        <x:v>0</x:v>
      </x:c>
      <x:c r="N11" s="6" t="str">
        <x:f>IF($B11="","",IFERROR(INDEX(InitiativesTable[Proposed Status / Health change],MATCH($B11,InitiativesTable[Initiative ID],0))&amp;"",""))</x:f>
      </x:c>
      <x:c r="O11" s="6" t="str">
        <x:f>IF($B11="","",IFERROR(INDEX(InitiativesTable[Digital Lead confirmation],MATCH($B11,InitiativesTable[Initiative ID],0))&amp;"",""))</x:f>
        <x:v>Confirmed</x:v>
      </x:c>
      <x:c r="P11" s="125" t="n">
        <x:f>IF($B11="","",IF(COUNTIFS(COST!$A$5:$A$104,$B11,COST!$D$5:$D$104,"Labour")=0,"",SUMIFS(COST!$E$5:$E$104,COST!$A$5:$A$104,$B11,COST!$D$5:$D$104,"Labour")))</x:f>
        <x:v>280000</x:v>
      </x:c>
      <x:c r="Q11" s="125" t="n">
        <x:f>IF($B11="","",IF(COUNTIFS(COST!$A$5:$A$104,$B11,COST!$D$5:$D$104,"Labour")=0,"",SUMIFS(COST!$F$5:$F$104,COST!$A$5:$A$104,$B11,COST!$D$5:$D$104,"Labour")))</x:f>
        <x:v>0</x:v>
      </x:c>
      <x:c r="R11" s="125" t="n">
        <x:f t="shared" si="1">IF($B11="","",IF(AND($P11="",$Q11=""),"",N($P11)+N($Q11)))</x:f>
        <x:v>280000</x:v>
      </x:c>
      <x:c r="S11" s="125" t="n">
        <x:f>IF($B11="","",IF(COUNTIFS(COST!$A$5:$A$104,$B11,COST!$D$5:$D$104,"Labour")=0,"",SUMIFS(COST!$T$5:$T$104,COST!$A$5:$A$104,$B11,COST!$D$5:$D$104,"Labour")))</x:f>
        <x:v>276000</x:v>
      </x:c>
      <x:c r="T11" s="125" t="n">
        <x:f t="shared" si="2">IF(OR($B11="",$R11="",$S11=""),"",$R11-$S11)</x:f>
        <x:v>4000</x:v>
      </x:c>
      <x:c r="U11" s="7" t="n">
        <x:f t="shared" si="3">IF(OR($B11="",$R11="",$R11=0,$S11=""),"",$S11/$R11)</x:f>
        <x:v>0.9857142857142858</x:v>
      </x:c>
      <x:c r="V11" s="125" t="n">
        <x:f>IF($B11="","",IF(COUNTIFS(COST!$A$5:$A$104,$B11,COST!$D$5:$D$104,"Fees")=0,"",SUMIFS(COST!$E$5:$E$104,COST!$A$5:$A$104,$B11,COST!$D$5:$D$104,"Fees")))</x:f>
        <x:v>170000</x:v>
      </x:c>
      <x:c r="W11" s="125" t="n">
        <x:f>IF($B11="","",IF(COUNTIFS(COST!$A$5:$A$104,$B11,COST!$D$5:$D$104,"Fees")=0,"",SUMIFS(COST!$F$5:$F$104,COST!$A$5:$A$104,$B11,COST!$D$5:$D$104,"Fees")))</x:f>
        <x:v>0</x:v>
      </x:c>
      <x:c r="X11" s="125" t="n">
        <x:f t="shared" si="4">IF($B11="","",IF(AND($V11="",$W11=""),"",N($V11)+N($W11)))</x:f>
        <x:v>170000</x:v>
      </x:c>
      <x:c r="Y11" s="125" t="n">
        <x:f>IF($B11="","",IF(COUNTIFS(COST!$A$5:$A$104,$B11,COST!$D$5:$D$104,"Fees")=0,"",SUMIFS(COST!$T$5:$T$104,COST!$A$5:$A$104,$B11,COST!$D$5:$D$104,"Fees")))</x:f>
        <x:v>168000</x:v>
      </x:c>
      <x:c r="Z11" s="125" t="n">
        <x:f t="shared" si="5">IF(OR($B11="",$X11="",$Y11=""),"",$X11-$Y11)</x:f>
        <x:v>2000</x:v>
      </x:c>
      <x:c r="AA11" s="127" t="n">
        <x:f t="shared" si="7">IFERROR(IF(OR($B11="",$U11="",$U11=0,$G11=""),"",($G11/100)/$U11),"")</x:f>
        <x:v>1.0144927536231882</x:v>
      </x:c>
      <x:c r="AB11" s="118" t="str">
        <x:f>IF($B11="","",IFERROR(INDEX(InitiativesTable[Delivery group],MATCH($B11,InitiativesTable[Initiative ID],0))&amp;"",""))</x:f>
      </x:c>
      <x:c r="AC11" s="118" t="str">
        <x:f>IF($B11="","",IFERROR(INDEX(InitiativesTable[Entry basis],MATCH($B11,InitiativesTable[Initiative ID],0))&amp;"",""))</x:f>
      </x:c>
      <x:c r="AD11" s="118" t="str">
        <x:f>IF($B11="","",IFERROR(INDEX(InitiativesTable[Delivery model],MATCH($B11,InitiativesTable[Initiative ID],0))&amp;"",""))</x:f>
      </x:c>
      <x:c r="AE11" s="118" t="str">
        <x:f>IF($B11="","",IFERROR(INDEX(InitiativesTable[Detailed plan owner],MATCH($B11,InitiativesTable[Initiative ID],0))&amp;"",""))</x:f>
      </x:c>
      <x:c r="AF11" s="118" t="str">
        <x:f>IF($B11="","",IFERROR(INDEX(InitiativesTable[Budget / cost owner],MATCH($B11,InitiativesTable[Initiative ID],0))&amp;"",""))</x:f>
      </x:c>
      <x:c r="AG11" s="118" t="str">
        <x:f>IF($B11="","",IFERROR(INDEX(InitiativesTable[Digital financial reporting basis],MATCH($B11,InitiativesTable[Initiative ID],0))&amp;"",""))</x:f>
      </x:c>
    </x:row>
    <x:row r="12" ht="20.049999237060547" customHeight="1">
      <x:c r="A12" s="121" t="n">
        <x:f t="shared" ca="1" si="0">IF($B12="","",TODAY())</x:f>
        <x:v>46279</x:v>
      </x:c>
      <x:c r="B12" s="6" t="str" cm="1">
        <x:f t="array" ref="B12">IFERROR(IF(INDEX(InitiativesTable[Initiative ID],8)="","",INDEX(InitiativesTable[Initiative ID],8)),"")</x:f>
        <x:v>DIG-008</x:v>
      </x:c>
      <x:c r="C12" s="6" t="str">
        <x:f>IF($B12="","",IFERROR(INDEX(InitiativesTable[Initiative title],MATCH($B12,InitiativesTable[Initiative ID],0))&amp;"",""))</x:f>
        <x:v>Digital Records Programme</x:v>
      </x:c>
      <x:c r="D12" s="6" t="str">
        <x:f>IF($B12="","",IFERROR(INDEX(InitiativesTable[Lifecycle Status],MATCH($B12,InitiativesTable[Initiative ID],0))&amp;"",""))</x:f>
        <x:v>Mobilising</x:v>
      </x:c>
      <x:c r="E12" s="6" t="str">
        <x:f>IF($B12="","",IFERROR(INDEX(InitiativesTable[Health],MATCH($B12,InitiativesTable[Initiative ID],0))&amp;"",""))</x:f>
        <x:v>On Track</x:v>
      </x:c>
      <x:c r="F12" s="123" t="n">
        <x:f ca="1">IF($B12="","",IF(OR(COUNTIFS(PEP!$B$5:$B$204,$B12,PEP!$C$5:$C$204,"Initiative")&lt;&gt;1,COUNTIFS(PEP!$B$5:$B$204,$B12,PEP!$C$5:$C$204,"Activity")+COUNTIFS(PEP!$B$5:$B$204,$B12,PEP!$C$5:$C$204,"Variation")=0,COUNTIFS(PEP!$B$5:$B$204,$B12,PEP!$C$5:$C$204,"Activity")+COUNTIFS(PEP!$B$5:$B$204,$B12,PEP!$C$5:$C$204,"Variation")&lt;&gt;COUNTIFS(PEP!$B$5:$B$204,$B12,PEP!$C$5:$C$204,"Activity",PEP!$P$5:$P$204,"OK")+COUNTIFS(PEP!$B$5:$B$204,$B12,PEP!$C$5:$C$204,"Variation",PEP!$P$5:$P$204,"OK")),"",100*SUMIFS(PEP!$K$5:$K$204,PEP!$B$5:$B$204,$B12,PEP!$C$5:$C$204,"Initiative")))</x:f>
        <x:v>14.285714285714285</x:v>
      </x:c>
      <x:c r="G12" s="123" t="n">
        <x:f>IF($B12="","",IF(OR(COUNTIFS(PEP!$B$5:$B$204,$B12,PEP!$C$5:$C$204,"Initiative")&lt;&gt;1,COUNTIFS(PEP!$B$5:$B$204,$B12,PEP!$C$5:$C$204,"Activity")+COUNTIFS(PEP!$B$5:$B$204,$B12,PEP!$C$5:$C$204,"Variation")=0,COUNTIFS(PEP!$B$5:$B$204,$B12,PEP!$C$5:$C$204,"Activity")+COUNTIFS(PEP!$B$5:$B$204,$B12,PEP!$C$5:$C$204,"Variation")&lt;&gt;COUNTIFS(PEP!$B$5:$B$204,$B12,PEP!$C$5:$C$204,"Activity",PEP!$P$5:$P$204,"OK")+COUNTIFS(PEP!$B$5:$B$204,$B12,PEP!$C$5:$C$204,"Variation",PEP!$P$5:$P$204,"OK")),"",100*SUMIFS(PEP!$L$5:$L$204,PEP!$B$5:$B$204,$B12,PEP!$C$5:$C$204,"Initiative")))</x:f>
        <x:v>13.333333333333334</x:v>
      </x:c>
      <x:c r="H12" s="123" t="n">
        <x:f t="shared" ca="1" si="6">IF(OR($F12="",$G12=""),"",$G12-$F12)</x:f>
        <x:v>-0.9523809523809508</x:v>
      </x:c>
      <x:c r="I12" s="121" t="n">
        <x:f>IF($B12="","",IFERROR(IF(INDEX(InitiativesTable[Baseline finish],MATCH($B12,InitiativesTable[Initiative ID],0))=0,"",INDEX(InitiativesTable[Baseline finish],MATCH($B12,InitiativesTable[Initiative ID],0))),""))</x:f>
        <x:v>46535</x:v>
      </x:c>
      <x:c r="J12" s="121" t="n">
        <x:f>IF($B12="","",IFERROR(IF(INDEX(InitiativesTable[Forecast finish],MATCH($B12,InitiativesTable[Initiative ID],0))=0,"",INDEX(InitiativesTable[Forecast finish],MATCH($B12,InitiativesTable[Initiative ID],0))),""))</x:f>
        <x:v>46535</x:v>
      </x:c>
      <x:c r="K12" s="6" t="n">
        <x:f ca="1">IF($B12="","",COUNTIFS(PEP!$B$5:$B$204,$B12,PEP!$C$5:$C$204,"Activity",PEP!$N$5:$N$204,"Late")+COUNTIFS(PEP!$B$5:$B$204,$B12,PEP!$C$5:$C$204,"Variation",PEP!$N$5:$N$204,"Late"))</x:f>
        <x:v>0</x:v>
      </x:c>
      <x:c r="L12" s="6" t="n">
        <x:f>IF($B12="","",COUNTIFS('CONTROL LOG'!$B$5:$B$204,$B12,'CONTROL LOG'!$H$5:$H$204,"&lt;&gt;",'CONTROL LOG'!$H$5:$H$204,"&lt;&gt;Closed",'CONTROL LOG'!$H$5:$H$204,"&lt;&gt;Superseded"))</x:f>
        <x:v>1</x:v>
      </x:c>
      <x:c r="M12" s="6" t="n">
        <x:f>IF($B12="","",COUNTIFS(PEP!$B$5:$B$204,$B12,PEP!$P$5:$P$204,"&lt;&gt;OK",PEP!$P$5:$P$204,"&lt;&gt;"))</x:f>
        <x:v>0</x:v>
      </x:c>
      <x:c r="N12" s="6" t="str">
        <x:f>IF($B12="","",IFERROR(INDEX(InitiativesTable[Proposed Status / Health change],MATCH($B12,InitiativesTable[Initiative ID],0))&amp;"",""))</x:f>
      </x:c>
      <x:c r="O12" s="6" t="str">
        <x:f>IF($B12="","",IFERROR(INDEX(InitiativesTable[Digital Lead confirmation],MATCH($B12,InitiativesTable[Initiative ID],0))&amp;"",""))</x:f>
        <x:v>Confirmed</x:v>
      </x:c>
      <x:c r="P12" s="125" t="n">
        <x:f>IF($B12="","",IF(COUNTIFS(COST!$A$5:$A$104,$B12,COST!$D$5:$D$104,"Labour")=0,"",SUMIFS(COST!$E$5:$E$104,COST!$A$5:$A$104,$B12,COST!$D$5:$D$104,"Labour")))</x:f>
        <x:v>450000</x:v>
      </x:c>
      <x:c r="Q12" s="125" t="n">
        <x:f>IF($B12="","",IF(COUNTIFS(COST!$A$5:$A$104,$B12,COST!$D$5:$D$104,"Labour")=0,"",SUMIFS(COST!$F$5:$F$104,COST!$A$5:$A$104,$B12,COST!$D$5:$D$104,"Labour")))</x:f>
        <x:v>0</x:v>
      </x:c>
      <x:c r="R12" s="125" t="n">
        <x:f t="shared" si="1">IF($B12="","",IF(AND($P12="",$Q12=""),"",N($P12)+N($Q12)))</x:f>
        <x:v>450000</x:v>
      </x:c>
      <x:c r="S12" s="125" t="n">
        <x:f>IF($B12="","",IF(COUNTIFS(COST!$A$5:$A$104,$B12,COST!$D$5:$D$104,"Labour")=0,"",SUMIFS(COST!$T$5:$T$104,COST!$A$5:$A$104,$B12,COST!$D$5:$D$104,"Labour")))</x:f>
        <x:v>69000</x:v>
      </x:c>
      <x:c r="T12" s="125" t="n">
        <x:f t="shared" si="2">IF(OR($B12="",$R12="",$S12=""),"",$R12-$S12)</x:f>
        <x:v>381000</x:v>
      </x:c>
      <x:c r="U12" s="7" t="n">
        <x:f t="shared" si="3">IF(OR($B12="",$R12="",$R12=0,$S12=""),"",$S12/$R12)</x:f>
        <x:v>0.15333333333333332</x:v>
      </x:c>
      <x:c r="V12" s="125" t="n">
        <x:f>IF($B12="","",IF(COUNTIFS(COST!$A$5:$A$104,$B12,COST!$D$5:$D$104,"Fees")=0,"",SUMIFS(COST!$E$5:$E$104,COST!$A$5:$A$104,$B12,COST!$D$5:$D$104,"Fees")))</x:f>
        <x:v>230000</x:v>
      </x:c>
      <x:c r="W12" s="125" t="n">
        <x:f>IF($B12="","",IF(COUNTIFS(COST!$A$5:$A$104,$B12,COST!$D$5:$D$104,"Fees")=0,"",SUMIFS(COST!$F$5:$F$104,COST!$A$5:$A$104,$B12,COST!$D$5:$D$104,"Fees")))</x:f>
        <x:v>0</x:v>
      </x:c>
      <x:c r="X12" s="125" t="n">
        <x:f t="shared" si="4">IF($B12="","",IF(AND($V12="",$W12=""),"",N($V12)+N($W12)))</x:f>
        <x:v>230000</x:v>
      </x:c>
      <x:c r="Y12" s="125" t="n">
        <x:f>IF($B12="","",IF(COUNTIFS(COST!$A$5:$A$104,$B12,COST!$D$5:$D$104,"Fees")=0,"",SUMIFS(COST!$T$5:$T$104,COST!$A$5:$A$104,$B12,COST!$D$5:$D$104,"Fees")))</x:f>
        <x:v>31000</x:v>
      </x:c>
      <x:c r="Z12" s="125" t="n">
        <x:f t="shared" si="5">IF(OR($B12="",$X12="",$Y12=""),"",$X12-$Y12)</x:f>
        <x:v>199000</x:v>
      </x:c>
      <x:c r="AA12" s="127" t="n">
        <x:f t="shared" si="7">IFERROR(IF(OR($B12="",$U12="",$U12=0,$G12=""),"",($G12/100)/$U12),"")</x:f>
        <x:v>0.8695652173913044</x:v>
      </x:c>
      <x:c r="AB12" s="118" t="str">
        <x:f>IF($B12="","",IFERROR(INDEX(InitiativesTable[Delivery group],MATCH($B12,InitiativesTable[Initiative ID],0))&amp;"",""))</x:f>
      </x:c>
      <x:c r="AC12" s="118" t="str">
        <x:f>IF($B12="","",IFERROR(INDEX(InitiativesTable[Entry basis],MATCH($B12,InitiativesTable[Initiative ID],0))&amp;"",""))</x:f>
      </x:c>
      <x:c r="AD12" s="118" t="str">
        <x:f>IF($B12="","",IFERROR(INDEX(InitiativesTable[Delivery model],MATCH($B12,InitiativesTable[Initiative ID],0))&amp;"",""))</x:f>
      </x:c>
      <x:c r="AE12" s="118" t="str">
        <x:f>IF($B12="","",IFERROR(INDEX(InitiativesTable[Detailed plan owner],MATCH($B12,InitiativesTable[Initiative ID],0))&amp;"",""))</x:f>
      </x:c>
      <x:c r="AF12" s="118" t="str">
        <x:f>IF($B12="","",IFERROR(INDEX(InitiativesTable[Budget / cost owner],MATCH($B12,InitiativesTable[Initiative ID],0))&amp;"",""))</x:f>
      </x:c>
      <x:c r="AG12" s="118" t="str">
        <x:f>IF($B12="","",IFERROR(INDEX(InitiativesTable[Digital financial reporting basis],MATCH($B12,InitiativesTable[Initiative ID],0))&amp;"",""))</x:f>
      </x:c>
    </x:row>
    <x:row r="13" ht="20.049999237060547" customHeight="1">
      <x:c r="A13" s="121" t="n">
        <x:f t="shared" ca="1" si="0">IF($B13="","",TODAY())</x:f>
        <x:v>46279</x:v>
      </x:c>
      <x:c r="B13" s="6" t="str" cm="1">
        <x:f t="array" ref="B13">IFERROR(IF(INDEX(InitiativesTable[Initiative ID],9)="","",INDEX(InitiativesTable[Initiative ID],9)),"")</x:f>
        <x:v>DIG-009</x:v>
      </x:c>
      <x:c r="C13" s="6" t="str">
        <x:f>IF($B13="","",IFERROR(INDEX(InitiativesTable[Initiative title],MATCH($B13,InitiativesTable[Initiative ID],0))&amp;"",""))</x:f>
        <x:v>Service Desk Automation</x:v>
      </x:c>
      <x:c r="D13" s="6" t="str">
        <x:f>IF($B13="","",IFERROR(INDEX(InitiativesTable[Lifecycle Status],MATCH($B13,InitiativesTable[Initiative ID],0))&amp;"",""))</x:f>
        <x:v>In Delivery</x:v>
      </x:c>
      <x:c r="E13" s="6" t="str">
        <x:f>IF($B13="","",IFERROR(INDEX(InitiativesTable[Health],MATCH($B13,InitiativesTable[Initiative ID],0))&amp;"",""))</x:f>
        <x:v>On Track</x:v>
      </x:c>
      <x:c r="F13" s="123" t="n">
        <x:f ca="1">IF($B13="","",IF(OR(COUNTIFS(PEP!$B$5:$B$204,$B13,PEP!$C$5:$C$204,"Initiative")&lt;&gt;1,COUNTIFS(PEP!$B$5:$B$204,$B13,PEP!$C$5:$C$204,"Activity")+COUNTIFS(PEP!$B$5:$B$204,$B13,PEP!$C$5:$C$204,"Variation")=0,COUNTIFS(PEP!$B$5:$B$204,$B13,PEP!$C$5:$C$204,"Activity")+COUNTIFS(PEP!$B$5:$B$204,$B13,PEP!$C$5:$C$204,"Variation")&lt;&gt;COUNTIFS(PEP!$B$5:$B$204,$B13,PEP!$C$5:$C$204,"Activity",PEP!$P$5:$P$204,"OK")+COUNTIFS(PEP!$B$5:$B$204,$B13,PEP!$C$5:$C$204,"Variation",PEP!$P$5:$P$204,"OK")),"",100*SUMIFS(PEP!$K$5:$K$204,PEP!$B$5:$B$204,$B13,PEP!$C$5:$C$204,"Initiative")))</x:f>
        <x:v>74.68354430379746</x:v>
      </x:c>
      <x:c r="G13" s="123" t="n">
        <x:f>IF($B13="","",IF(OR(COUNTIFS(PEP!$B$5:$B$204,$B13,PEP!$C$5:$C$204,"Initiative")&lt;&gt;1,COUNTIFS(PEP!$B$5:$B$204,$B13,PEP!$C$5:$C$204,"Activity")+COUNTIFS(PEP!$B$5:$B$204,$B13,PEP!$C$5:$C$204,"Variation")=0,COUNTIFS(PEP!$B$5:$B$204,$B13,PEP!$C$5:$C$204,"Activity")+COUNTIFS(PEP!$B$5:$B$204,$B13,PEP!$C$5:$C$204,"Variation")&lt;&gt;COUNTIFS(PEP!$B$5:$B$204,$B13,PEP!$C$5:$C$204,"Activity",PEP!$P$5:$P$204,"OK")+COUNTIFS(PEP!$B$5:$B$204,$B13,PEP!$C$5:$C$204,"Variation",PEP!$P$5:$P$204,"OK")),"",100*SUMIFS(PEP!$L$5:$L$204,PEP!$B$5:$B$204,$B13,PEP!$C$5:$C$204,"Initiative")))</x:f>
        <x:v>73.33333333333334</x:v>
      </x:c>
      <x:c r="H13" s="123" t="n">
        <x:f t="shared" ca="1" si="6">IF(OR($F13="",$G13=""),"",$G13-$F13)</x:f>
        <x:v>-1.3502109704641185</x:v>
      </x:c>
      <x:c r="I13" s="121" t="n">
        <x:f>IF($B13="","",IFERROR(IF(INDEX(InitiativesTable[Baseline finish],MATCH($B13,InitiativesTable[Initiative ID],0))=0,"",INDEX(InitiativesTable[Baseline finish],MATCH($B13,InitiativesTable[Initiative ID],0))),""))</x:f>
        <x:v>46339</x:v>
      </x:c>
      <x:c r="J13" s="121" t="n">
        <x:f>IF($B13="","",IFERROR(IF(INDEX(InitiativesTable[Forecast finish],MATCH($B13,InitiativesTable[Initiative ID],0))=0,"",INDEX(InitiativesTable[Forecast finish],MATCH($B13,InitiativesTable[Initiative ID],0))),""))</x:f>
        <x:v>46346</x:v>
      </x:c>
      <x:c r="K13" s="6" t="n">
        <x:f ca="1">IF($B13="","",COUNTIFS(PEP!$B$5:$B$204,$B13,PEP!$C$5:$C$204,"Activity",PEP!$N$5:$N$204,"Late")+COUNTIFS(PEP!$B$5:$B$204,$B13,PEP!$C$5:$C$204,"Variation",PEP!$N$5:$N$204,"Late"))</x:f>
        <x:v>2</x:v>
      </x:c>
      <x:c r="L13" s="6" t="n">
        <x:f>IF($B13="","",COUNTIFS('CONTROL LOG'!$B$5:$B$204,$B13,'CONTROL LOG'!$H$5:$H$204,"&lt;&gt;",'CONTROL LOG'!$H$5:$H$204,"&lt;&gt;Closed",'CONTROL LOG'!$H$5:$H$204,"&lt;&gt;Superseded"))</x:f>
        <x:v>1</x:v>
      </x:c>
      <x:c r="M13" s="6" t="n">
        <x:f>IF($B13="","",COUNTIFS(PEP!$B$5:$B$204,$B13,PEP!$P$5:$P$204,"&lt;&gt;OK",PEP!$P$5:$P$204,"&lt;&gt;"))</x:f>
        <x:v>0</x:v>
      </x:c>
      <x:c r="N13" s="6" t="str">
        <x:f>IF($B13="","",IFERROR(INDEX(InitiativesTable[Proposed Status / Health change],MATCH($B13,InitiativesTable[Initiative ID],0))&amp;"",""))</x:f>
      </x:c>
      <x:c r="O13" s="6" t="str">
        <x:f>IF($B13="","",IFERROR(INDEX(InitiativesTable[Digital Lead confirmation],MATCH($B13,InitiativesTable[Initiative ID],0))&amp;"",""))</x:f>
        <x:v>Confirmed</x:v>
      </x:c>
      <x:c r="P13" s="125" t="n">
        <x:f>IF($B13="","",IF(COUNTIFS(COST!$A$5:$A$104,$B13,COST!$D$5:$D$104,"Labour")=0,"",SUMIFS(COST!$E$5:$E$104,COST!$A$5:$A$104,$B13,COST!$D$5:$D$104,"Labour")))</x:f>
        <x:v>335000</x:v>
      </x:c>
      <x:c r="Q13" s="125" t="n">
        <x:f>IF($B13="","",IF(COUNTIFS(COST!$A$5:$A$104,$B13,COST!$D$5:$D$104,"Labour")=0,"",SUMIFS(COST!$F$5:$F$104,COST!$A$5:$A$104,$B13,COST!$D$5:$D$104,"Labour")))</x:f>
        <x:v>15000</x:v>
      </x:c>
      <x:c r="R13" s="125" t="n">
        <x:f t="shared" si="1">IF($B13="","",IF(AND($P13="",$Q13=""),"",N($P13)+N($Q13)))</x:f>
        <x:v>350000</x:v>
      </x:c>
      <x:c r="S13" s="125" t="n">
        <x:f>IF($B13="","",IF(COUNTIFS(COST!$A$5:$A$104,$B13,COST!$D$5:$D$104,"Labour")=0,"",SUMIFS(COST!$T$5:$T$104,COST!$A$5:$A$104,$B13,COST!$D$5:$D$104,"Labour")))</x:f>
        <x:v>224000</x:v>
      </x:c>
      <x:c r="T13" s="125" t="n">
        <x:f t="shared" si="2">IF(OR($B13="",$R13="",$S13=""),"",$R13-$S13)</x:f>
        <x:v>126000</x:v>
      </x:c>
      <x:c r="U13" s="7" t="n">
        <x:f t="shared" si="3">IF(OR($B13="",$R13="",$R13=0,$S13=""),"",$S13/$R13)</x:f>
        <x:v>0.64</x:v>
      </x:c>
      <x:c r="V13" s="125" t="n">
        <x:f>IF($B13="","",IF(COUNTIFS(COST!$A$5:$A$104,$B13,COST!$D$5:$D$104,"Fees")=0,"",SUMIFS(COST!$E$5:$E$104,COST!$A$5:$A$104,$B13,COST!$D$5:$D$104,"Fees")))</x:f>
        <x:v>125000</x:v>
      </x:c>
      <x:c r="W13" s="125" t="n">
        <x:f>IF($B13="","",IF(COUNTIFS(COST!$A$5:$A$104,$B13,COST!$D$5:$D$104,"Fees")=0,"",SUMIFS(COST!$F$5:$F$104,COST!$A$5:$A$104,$B13,COST!$D$5:$D$104,"Fees")))</x:f>
        <x:v>0</x:v>
      </x:c>
      <x:c r="X13" s="125" t="n">
        <x:f t="shared" si="4">IF($B13="","",IF(AND($V13="",$W13=""),"",N($V13)+N($W13)))</x:f>
        <x:v>125000</x:v>
      </x:c>
      <x:c r="Y13" s="125" t="n">
        <x:f>IF($B13="","",IF(COUNTIFS(COST!$A$5:$A$104,$B13,COST!$D$5:$D$104,"Fees")=0,"",SUMIFS(COST!$T$5:$T$104,COST!$A$5:$A$104,$B13,COST!$D$5:$D$104,"Fees")))</x:f>
        <x:v>79000</x:v>
      </x:c>
      <x:c r="Z13" s="125" t="n">
        <x:f t="shared" si="5">IF(OR($B13="",$X13="",$Y13=""),"",$X13-$Y13)</x:f>
        <x:v>46000</x:v>
      </x:c>
      <x:c r="AA13" s="127" t="n">
        <x:f t="shared" si="7">IFERROR(IF(OR($B13="",$U13="",$U13=0,$G13=""),"",($G13/100)/$U13),"")</x:f>
        <x:v>1.1458333333333335</x:v>
      </x:c>
      <x:c r="AB13" s="118" t="str">
        <x:f>IF($B13="","",IFERROR(INDEX(InitiativesTable[Delivery group],MATCH($B13,InitiativesTable[Initiative ID],0))&amp;"",""))</x:f>
      </x:c>
      <x:c r="AC13" s="118" t="str">
        <x:f>IF($B13="","",IFERROR(INDEX(InitiativesTable[Entry basis],MATCH($B13,InitiativesTable[Initiative ID],0))&amp;"",""))</x:f>
      </x:c>
      <x:c r="AD13" s="118" t="str">
        <x:f>IF($B13="","",IFERROR(INDEX(InitiativesTable[Delivery model],MATCH($B13,InitiativesTable[Initiative ID],0))&amp;"",""))</x:f>
      </x:c>
      <x:c r="AE13" s="118" t="str">
        <x:f>IF($B13="","",IFERROR(INDEX(InitiativesTable[Detailed plan owner],MATCH($B13,InitiativesTable[Initiative ID],0))&amp;"",""))</x:f>
      </x:c>
      <x:c r="AF13" s="118" t="str">
        <x:f>IF($B13="","",IFERROR(INDEX(InitiativesTable[Budget / cost owner],MATCH($B13,InitiativesTable[Initiative ID],0))&amp;"",""))</x:f>
      </x:c>
      <x:c r="AG13" s="118" t="str">
        <x:f>IF($B13="","",IFERROR(INDEX(InitiativesTable[Digital financial reporting basis],MATCH($B13,InitiativesTable[Initiative ID],0))&amp;"",""))</x:f>
      </x:c>
    </x:row>
    <x:row r="14" ht="20.049999237060547" customHeight="1">
      <x:c r="A14" s="121" t="n">
        <x:f t="shared" ca="1" si="0">IF($B14="","",TODAY())</x:f>
        <x:v>46279</x:v>
      </x:c>
      <x:c r="B14" s="6" t="str" cm="1">
        <x:f t="array" ref="B14">IFERROR(IF(INDEX(InitiativesTable[Initiative ID],10)="","",INDEX(InitiativesTable[Initiative ID],10)),"")</x:f>
        <x:v>DIG-010</x:v>
      </x:c>
      <x:c r="C14" s="6" t="str">
        <x:f>IF($B14="","",IFERROR(INDEX(InitiativesTable[Initiative title],MATCH($B14,InitiativesTable[Initiative ID],0))&amp;"",""))</x:f>
        <x:v>Procurement Analytics</x:v>
      </x:c>
      <x:c r="D14" s="6" t="str">
        <x:f>IF($B14="","",IFERROR(INDEX(InitiativesTable[Lifecycle Status],MATCH($B14,InitiativesTable[Initiative ID],0))&amp;"",""))</x:f>
        <x:v>In Delivery</x:v>
      </x:c>
      <x:c r="E14" s="6" t="str">
        <x:f>IF($B14="","",IFERROR(INDEX(InitiativesTable[Health],MATCH($B14,InitiativesTable[Initiative ID],0))&amp;"",""))</x:f>
        <x:v>Blocked</x:v>
      </x:c>
      <x:c r="F14" s="123" t="n">
        <x:f ca="1">IF($B14="","",IF(OR(COUNTIFS(PEP!$B$5:$B$204,$B14,PEP!$C$5:$C$204,"Initiative")&lt;&gt;1,COUNTIFS(PEP!$B$5:$B$204,$B14,PEP!$C$5:$C$204,"Activity")+COUNTIFS(PEP!$B$5:$B$204,$B14,PEP!$C$5:$C$204,"Variation")=0,COUNTIFS(PEP!$B$5:$B$204,$B14,PEP!$C$5:$C$204,"Activity")+COUNTIFS(PEP!$B$5:$B$204,$B14,PEP!$C$5:$C$204,"Variation")&lt;&gt;COUNTIFS(PEP!$B$5:$B$204,$B14,PEP!$C$5:$C$204,"Activity",PEP!$P$5:$P$204,"OK")+COUNTIFS(PEP!$B$5:$B$204,$B14,PEP!$C$5:$C$204,"Variation",PEP!$P$5:$P$204,"OK")),"",100*SUMIFS(PEP!$K$5:$K$204,PEP!$B$5:$B$204,$B14,PEP!$C$5:$C$204,"Initiative")))</x:f>
        <x:v>83.06878306878306</x:v>
      </x:c>
      <x:c r="G14" s="123" t="n">
        <x:f>IF($B14="","",IF(OR(COUNTIFS(PEP!$B$5:$B$204,$B14,PEP!$C$5:$C$204,"Initiative")&lt;&gt;1,COUNTIFS(PEP!$B$5:$B$204,$B14,PEP!$C$5:$C$204,"Activity")+COUNTIFS(PEP!$B$5:$B$204,$B14,PEP!$C$5:$C$204,"Variation")=0,COUNTIFS(PEP!$B$5:$B$204,$B14,PEP!$C$5:$C$204,"Activity")+COUNTIFS(PEP!$B$5:$B$204,$B14,PEP!$C$5:$C$204,"Variation")&lt;&gt;COUNTIFS(PEP!$B$5:$B$204,$B14,PEP!$C$5:$C$204,"Activity",PEP!$P$5:$P$204,"OK")+COUNTIFS(PEP!$B$5:$B$204,$B14,PEP!$C$5:$C$204,"Variation",PEP!$P$5:$P$204,"OK")),"",100*SUMIFS(PEP!$L$5:$L$204,PEP!$B$5:$B$204,$B14,PEP!$C$5:$C$204,"Initiative")))</x:f>
        <x:v>36.66666666666667</x:v>
      </x:c>
      <x:c r="H14" s="123" t="n">
        <x:f t="shared" ca="1" si="6">IF(OR($F14="",$G14=""),"",$G14-$F14)</x:f>
        <x:v>-46.40211640211639</x:v>
      </x:c>
      <x:c r="I14" s="121" t="n">
        <x:f>IF($B14="","",IFERROR(IF(INDEX(InitiativesTable[Baseline finish],MATCH($B14,InitiativesTable[Initiative ID],0))=0,"",INDEX(InitiativesTable[Baseline finish],MATCH($B14,InitiativesTable[Initiative ID],0))),""))</x:f>
        <x:v>46311</x:v>
      </x:c>
      <x:c r="J14" s="121" t="n">
        <x:f>IF($B14="","",IFERROR(IF(INDEX(InitiativesTable[Forecast finish],MATCH($B14,InitiativesTable[Initiative ID],0))=0,"",INDEX(InitiativesTable[Forecast finish],MATCH($B14,InitiativesTable[Initiative ID],0))),""))</x:f>
        <x:v>46367</x:v>
      </x:c>
      <x:c r="K14" s="6" t="n">
        <x:f ca="1">IF($B14="","",COUNTIFS(PEP!$B$5:$B$204,$B14,PEP!$C$5:$C$204,"Activity",PEP!$N$5:$N$204,"Late")+COUNTIFS(PEP!$B$5:$B$204,$B14,PEP!$C$5:$C$204,"Variation",PEP!$N$5:$N$204,"Late"))</x:f>
        <x:v>1</x:v>
      </x:c>
      <x:c r="L14" s="6" t="n">
        <x:f>IF($B14="","",COUNTIFS('CONTROL LOG'!$B$5:$B$204,$B14,'CONTROL LOG'!$H$5:$H$204,"&lt;&gt;",'CONTROL LOG'!$H$5:$H$204,"&lt;&gt;Closed",'CONTROL LOG'!$H$5:$H$204,"&lt;&gt;Superseded"))</x:f>
        <x:v>2</x:v>
      </x:c>
      <x:c r="M14" s="6" t="n">
        <x:f>IF($B14="","",COUNTIFS(PEP!$B$5:$B$204,$B14,PEP!$P$5:$P$204,"&lt;&gt;OK",PEP!$P$5:$P$204,"&lt;&gt;"))</x:f>
        <x:v>0</x:v>
      </x:c>
      <x:c r="N14" s="6" t="str">
        <x:f>IF($B14="","",IFERROR(INDEX(InitiativesTable[Proposed Status / Health change],MATCH($B14,InitiativesTable[Initiative ID],0))&amp;"",""))</x:f>
        <x:v>Change health to Blocked</x:v>
      </x:c>
      <x:c r="O14" s="6" t="str">
        <x:f>IF($B14="","",IFERROR(INDEX(InitiativesTable[Digital Lead confirmation],MATCH($B14,InitiativesTable[Initiative ID],0))&amp;"",""))</x:f>
        <x:v>Confirmed</x:v>
      </x:c>
      <x:c r="P14" s="125" t="n">
        <x:f>IF($B14="","",IF(COUNTIFS(COST!$A$5:$A$104,$B14,COST!$D$5:$D$104,"Labour")=0,"",SUMIFS(COST!$E$5:$E$104,COST!$A$5:$A$104,$B14,COST!$D$5:$D$104,"Labour")))</x:f>
        <x:v>295000</x:v>
      </x:c>
      <x:c r="Q14" s="125" t="n">
        <x:f>IF($B14="","",IF(COUNTIFS(COST!$A$5:$A$104,$B14,COST!$D$5:$D$104,"Labour")=0,"",SUMIFS(COST!$F$5:$F$104,COST!$A$5:$A$104,$B14,COST!$D$5:$D$104,"Labour")))</x:f>
        <x:v>0</x:v>
      </x:c>
      <x:c r="R14" s="125" t="n">
        <x:f t="shared" si="1">IF($B14="","",IF(AND($P14="",$Q14=""),"",N($P14)+N($Q14)))</x:f>
        <x:v>295000</x:v>
      </x:c>
      <x:c r="S14" s="125" t="n">
        <x:f>IF($B14="","",IF(COUNTIFS(COST!$A$5:$A$104,$B14,COST!$D$5:$D$104,"Labour")=0,"",SUMIFS(COST!$T$5:$T$104,COST!$A$5:$A$104,$B14,COST!$D$5:$D$104,"Labour")))</x:f>
        <x:v>112000</x:v>
      </x:c>
      <x:c r="T14" s="125" t="n">
        <x:f t="shared" si="2">IF(OR($B14="",$R14="",$S14=""),"",$R14-$S14)</x:f>
        <x:v>183000</x:v>
      </x:c>
      <x:c r="U14" s="7" t="n">
        <x:f t="shared" si="3">IF(OR($B14="",$R14="",$R14=0,$S14=""),"",$S14/$R14)</x:f>
        <x:v>0.37966101694915255</x:v>
      </x:c>
      <x:c r="V14" s="125" t="n">
        <x:f>IF($B14="","",IF(COUNTIFS(COST!$A$5:$A$104,$B14,COST!$D$5:$D$104,"Fees")=0,"",SUMIFS(COST!$E$5:$E$104,COST!$A$5:$A$104,$B14,COST!$D$5:$D$104,"Fees")))</x:f>
        <x:v>180000</x:v>
      </x:c>
      <x:c r="W14" s="125" t="n">
        <x:f>IF($B14="","",IF(COUNTIFS(COST!$A$5:$A$104,$B14,COST!$D$5:$D$104,"Fees")=0,"",SUMIFS(COST!$F$5:$F$104,COST!$A$5:$A$104,$B14,COST!$D$5:$D$104,"Fees")))</x:f>
        <x:v>30000</x:v>
      </x:c>
      <x:c r="X14" s="125" t="n">
        <x:f t="shared" si="4">IF($B14="","",IF(AND($V14="",$W14=""),"",N($V14)+N($W14)))</x:f>
        <x:v>210000</x:v>
      </x:c>
      <x:c r="Y14" s="125" t="n">
        <x:f>IF($B14="","",IF(COUNTIFS(COST!$A$5:$A$104,$B14,COST!$D$5:$D$104,"Fees")=0,"",SUMIFS(COST!$T$5:$T$104,COST!$A$5:$A$104,$B14,COST!$D$5:$D$104,"Fees")))</x:f>
        <x:v>86000</x:v>
      </x:c>
      <x:c r="Z14" s="125" t="n">
        <x:f t="shared" si="5">IF(OR($B14="",$X14="",$Y14=""),"",$X14-$Y14)</x:f>
        <x:v>124000</x:v>
      </x:c>
      <x:c r="AA14" s="127" t="n">
        <x:f t="shared" si="7">IFERROR(IF(OR($B14="",$U14="",$U14=0,$G14=""),"",($G14/100)/$U14),"")</x:f>
        <x:v>0.9657738095238095</x:v>
      </x:c>
      <x:c r="AB14" s="118" t="str">
        <x:f>IF($B14="","",IFERROR(INDEX(InitiativesTable[Delivery group],MATCH($B14,InitiativesTable[Initiative ID],0))&amp;"",""))</x:f>
      </x:c>
      <x:c r="AC14" s="118" t="str">
        <x:f>IF($B14="","",IFERROR(INDEX(InitiativesTable[Entry basis],MATCH($B14,InitiativesTable[Initiative ID],0))&amp;"",""))</x:f>
      </x:c>
      <x:c r="AD14" s="118" t="str">
        <x:f>IF($B14="","",IFERROR(INDEX(InitiativesTable[Delivery model],MATCH($B14,InitiativesTable[Initiative ID],0))&amp;"",""))</x:f>
      </x:c>
      <x:c r="AE14" s="118" t="str">
        <x:f>IF($B14="","",IFERROR(INDEX(InitiativesTable[Detailed plan owner],MATCH($B14,InitiativesTable[Initiative ID],0))&amp;"",""))</x:f>
      </x:c>
      <x:c r="AF14" s="118" t="str">
        <x:f>IF($B14="","",IFERROR(INDEX(InitiativesTable[Budget / cost owner],MATCH($B14,InitiativesTable[Initiative ID],0))&amp;"",""))</x:f>
      </x:c>
      <x:c r="AG14" s="118" t="str">
        <x:f>IF($B14="","",IFERROR(INDEX(InitiativesTable[Digital financial reporting basis],MATCH($B14,InitiativesTable[Initiative ID],0))&amp;"",""))</x:f>
      </x:c>
    </x:row>
    <x:row r="15" ht="20.049999237060547" customHeight="1">
      <x:c r="A15" s="121" t="n">
        <x:f t="shared" ca="1" si="0">IF($B15="","",TODAY())</x:f>
        <x:v>46279</x:v>
      </x:c>
      <x:c r="B15" s="6" t="str" cm="1">
        <x:f t="array" ref="B15">IFERROR(IF(INDEX(InitiativesTable[Initiative ID],11)="","",INDEX(InitiativesTable[Initiative ID],11)),"")</x:f>
        <x:v>DIG-011</x:v>
      </x:c>
      <x:c r="C15" s="6" t="str">
        <x:f>IF($B15="","",IFERROR(INDEX(InitiativesTable[Initiative title],MATCH($B15,InitiativesTable[Initiative ID],0))&amp;"",""))</x:f>
        <x:v>Identity Access Management</x:v>
      </x:c>
      <x:c r="D15" s="6" t="str">
        <x:f>IF($B15="","",IFERROR(INDEX(InitiativesTable[Lifecycle Status],MATCH($B15,InitiativesTable[Initiative ID],0))&amp;"",""))</x:f>
        <x:v>In Delivery</x:v>
      </x:c>
      <x:c r="E15" s="6" t="str">
        <x:f>IF($B15="","",IFERROR(INDEX(InitiativesTable[Health],MATCH($B15,InitiativesTable[Initiative ID],0))&amp;"",""))</x:f>
        <x:v>On Track</x:v>
      </x:c>
      <x:c r="F15" s="123" t="n">
        <x:f ca="1">IF($B15="","",IF(OR(COUNTIFS(PEP!$B$5:$B$204,$B15,PEP!$C$5:$C$204,"Initiative")&lt;&gt;1,COUNTIFS(PEP!$B$5:$B$204,$B15,PEP!$C$5:$C$204,"Activity")+COUNTIFS(PEP!$B$5:$B$204,$B15,PEP!$C$5:$C$204,"Variation")=0,COUNTIFS(PEP!$B$5:$B$204,$B15,PEP!$C$5:$C$204,"Activity")+COUNTIFS(PEP!$B$5:$B$204,$B15,PEP!$C$5:$C$204,"Variation")&lt;&gt;COUNTIFS(PEP!$B$5:$B$204,$B15,PEP!$C$5:$C$204,"Activity",PEP!$P$5:$P$204,"OK")+COUNTIFS(PEP!$B$5:$B$204,$B15,PEP!$C$5:$C$204,"Variation",PEP!$P$5:$P$204,"OK")),"",100*SUMIFS(PEP!$K$5:$K$204,PEP!$B$5:$B$204,$B15,PEP!$C$5:$C$204,"Initiative")))</x:f>
        <x:v>43.20987654320987</x:v>
      </x:c>
      <x:c r="G15" s="123" t="n">
        <x:f>IF($B15="","",IF(OR(COUNTIFS(PEP!$B$5:$B$204,$B15,PEP!$C$5:$C$204,"Initiative")&lt;&gt;1,COUNTIFS(PEP!$B$5:$B$204,$B15,PEP!$C$5:$C$204,"Activity")+COUNTIFS(PEP!$B$5:$B$204,$B15,PEP!$C$5:$C$204,"Variation")=0,COUNTIFS(PEP!$B$5:$B$204,$B15,PEP!$C$5:$C$204,"Activity")+COUNTIFS(PEP!$B$5:$B$204,$B15,PEP!$C$5:$C$204,"Variation")&lt;&gt;COUNTIFS(PEP!$B$5:$B$204,$B15,PEP!$C$5:$C$204,"Activity",PEP!$P$5:$P$204,"OK")+COUNTIFS(PEP!$B$5:$B$204,$B15,PEP!$C$5:$C$204,"Variation",PEP!$P$5:$P$204,"OK")),"",100*SUMIFS(PEP!$L$5:$L$204,PEP!$B$5:$B$204,$B15,PEP!$C$5:$C$204,"Initiative")))</x:f>
        <x:v>45</x:v>
      </x:c>
      <x:c r="H15" s="123" t="n">
        <x:f t="shared" ca="1" si="6">IF(OR($F15="",$G15=""),"",$G15-$F15)</x:f>
        <x:v>1.790123456790127</x:v>
      </x:c>
      <x:c r="I15" s="121" t="n">
        <x:f>IF($B15="","",IFERROR(IF(INDEX(InitiativesTable[Baseline finish],MATCH($B15,InitiativesTable[Initiative ID],0))=0,"",INDEX(InitiativesTable[Baseline finish],MATCH($B15,InitiativesTable[Initiative ID],0))),""))</x:f>
        <x:v>46416</x:v>
      </x:c>
      <x:c r="J15" s="121" t="n">
        <x:f>IF($B15="","",IFERROR(IF(INDEX(InitiativesTable[Forecast finish],MATCH($B15,InitiativesTable[Initiative ID],0))=0,"",INDEX(InitiativesTable[Forecast finish],MATCH($B15,InitiativesTable[Initiative ID],0))),""))</x:f>
        <x:v>46416</x:v>
      </x:c>
      <x:c r="K15" s="6" t="n">
        <x:f ca="1">IF($B15="","",COUNTIFS(PEP!$B$5:$B$204,$B15,PEP!$C$5:$C$204,"Activity",PEP!$N$5:$N$204,"Late")+COUNTIFS(PEP!$B$5:$B$204,$B15,PEP!$C$5:$C$204,"Variation",PEP!$N$5:$N$204,"Late"))</x:f>
        <x:v>1</x:v>
      </x:c>
      <x:c r="L15" s="6" t="n">
        <x:f>IF($B15="","",COUNTIFS('CONTROL LOG'!$B$5:$B$204,$B15,'CONTROL LOG'!$H$5:$H$204,"&lt;&gt;",'CONTROL LOG'!$H$5:$H$204,"&lt;&gt;Closed",'CONTROL LOG'!$H$5:$H$204,"&lt;&gt;Superseded"))</x:f>
        <x:v>1</x:v>
      </x:c>
      <x:c r="M15" s="6" t="n">
        <x:f>IF($B15="","",COUNTIFS(PEP!$B$5:$B$204,$B15,PEP!$P$5:$P$204,"&lt;&gt;OK",PEP!$P$5:$P$204,"&lt;&gt;"))</x:f>
        <x:v>0</x:v>
      </x:c>
      <x:c r="N15" s="6" t="str">
        <x:f>IF($B15="","",IFERROR(INDEX(InitiativesTable[Proposed Status / Health change],MATCH($B15,InitiativesTable[Initiative ID],0))&amp;"",""))</x:f>
      </x:c>
      <x:c r="O15" s="6" t="str">
        <x:f>IF($B15="","",IFERROR(INDEX(InitiativesTable[Digital Lead confirmation],MATCH($B15,InitiativesTable[Initiative ID],0))&amp;"",""))</x:f>
        <x:v>Confirmed</x:v>
      </x:c>
      <x:c r="P15" s="125" t="n">
        <x:f>IF($B15="","",IF(COUNTIFS(COST!$A$5:$A$104,$B15,COST!$D$5:$D$104,"Labour")=0,"",SUMIFS(COST!$E$5:$E$104,COST!$A$5:$A$104,$B15,COST!$D$5:$D$104,"Labour")))</x:f>
        <x:v>510000</x:v>
      </x:c>
      <x:c r="Q15" s="125" t="n">
        <x:f>IF($B15="","",IF(COUNTIFS(COST!$A$5:$A$104,$B15,COST!$D$5:$D$104,"Labour")=0,"",SUMIFS(COST!$F$5:$F$104,COST!$A$5:$A$104,$B15,COST!$D$5:$D$104,"Labour")))</x:f>
        <x:v>0</x:v>
      </x:c>
      <x:c r="R15" s="125" t="n">
        <x:f t="shared" si="1">IF($B15="","",IF(AND($P15="",$Q15=""),"",N($P15)+N($Q15)))</x:f>
        <x:v>510000</x:v>
      </x:c>
      <x:c r="S15" s="125" t="n">
        <x:f>IF($B15="","",IF(COUNTIFS(COST!$A$5:$A$104,$B15,COST!$D$5:$D$104,"Labour")=0,"",SUMIFS(COST!$T$5:$T$104,COST!$A$5:$A$104,$B15,COST!$D$5:$D$104,"Labour")))</x:f>
        <x:v>204000</x:v>
      </x:c>
      <x:c r="T15" s="125" t="n">
        <x:f t="shared" si="2">IF(OR($B15="",$R15="",$S15=""),"",$R15-$S15)</x:f>
        <x:v>306000</x:v>
      </x:c>
      <x:c r="U15" s="7" t="n">
        <x:f t="shared" si="3">IF(OR($B15="",$R15="",$R15=0,$S15=""),"",$S15/$R15)</x:f>
        <x:v>0.4</x:v>
      </x:c>
      <x:c r="V15" s="125" t="n">
        <x:f>IF($B15="","",IF(COUNTIFS(COST!$A$5:$A$104,$B15,COST!$D$5:$D$104,"Fees")=0,"",SUMIFS(COST!$E$5:$E$104,COST!$A$5:$A$104,$B15,COST!$D$5:$D$104,"Fees")))</x:f>
        <x:v>215000</x:v>
      </x:c>
      <x:c r="W15" s="125" t="n">
        <x:f>IF($B15="","",IF(COUNTIFS(COST!$A$5:$A$104,$B15,COST!$D$5:$D$104,"Fees")=0,"",SUMIFS(COST!$F$5:$F$104,COST!$A$5:$A$104,$B15,COST!$D$5:$D$104,"Fees")))</x:f>
        <x:v>0</x:v>
      </x:c>
      <x:c r="X15" s="125" t="n">
        <x:f t="shared" si="4">IF($B15="","",IF(AND($V15="",$W15=""),"",N($V15)+N($W15)))</x:f>
        <x:v>215000</x:v>
      </x:c>
      <x:c r="Y15" s="125" t="n">
        <x:f>IF($B15="","",IF(COUNTIFS(COST!$A$5:$A$104,$B15,COST!$D$5:$D$104,"Fees")=0,"",SUMIFS(COST!$T$5:$T$104,COST!$A$5:$A$104,$B15,COST!$D$5:$D$104,"Fees")))</x:f>
        <x:v>81000</x:v>
      </x:c>
      <x:c r="Z15" s="125" t="n">
        <x:f t="shared" si="5">IF(OR($B15="",$X15="",$Y15=""),"",$X15-$Y15)</x:f>
        <x:v>134000</x:v>
      </x:c>
      <x:c r="AA15" s="127" t="n">
        <x:f t="shared" si="7">IFERROR(IF(OR($B15="",$U15="",$U15=0,$G15=""),"",($G15/100)/$U15),"")</x:f>
        <x:v>1.125</x:v>
      </x:c>
      <x:c r="AB15" s="118" t="str">
        <x:f>IF($B15="","",IFERROR(INDEX(InitiativesTable[Delivery group],MATCH($B15,InitiativesTable[Initiative ID],0))&amp;"",""))</x:f>
      </x:c>
      <x:c r="AC15" s="118" t="str">
        <x:f>IF($B15="","",IFERROR(INDEX(InitiativesTable[Entry basis],MATCH($B15,InitiativesTable[Initiative ID],0))&amp;"",""))</x:f>
      </x:c>
      <x:c r="AD15" s="118" t="str">
        <x:f>IF($B15="","",IFERROR(INDEX(InitiativesTable[Delivery model],MATCH($B15,InitiativesTable[Initiative ID],0))&amp;"",""))</x:f>
      </x:c>
      <x:c r="AE15" s="118" t="str">
        <x:f>IF($B15="","",IFERROR(INDEX(InitiativesTable[Detailed plan owner],MATCH($B15,InitiativesTable[Initiative ID],0))&amp;"",""))</x:f>
      </x:c>
      <x:c r="AF15" s="118" t="str">
        <x:f>IF($B15="","",IFERROR(INDEX(InitiativesTable[Budget / cost owner],MATCH($B15,InitiativesTable[Initiative ID],0))&amp;"",""))</x:f>
      </x:c>
      <x:c r="AG15" s="118" t="str">
        <x:f>IF($B15="","",IFERROR(INDEX(InitiativesTable[Digital financial reporting basis],MATCH($B15,InitiativesTable[Initiative ID],0))&amp;"",""))</x:f>
      </x:c>
    </x:row>
    <x:row r="16" ht="20.049999237060547" customHeight="1">
      <x:c r="A16" s="121" t="n">
        <x:f t="shared" ca="1" si="0">IF($B16="","",TODAY())</x:f>
        <x:v>46279</x:v>
      </x:c>
      <x:c r="B16" s="6" t="str" cm="1">
        <x:f t="array" ref="B16">IFERROR(IF(INDEX(InitiativesTable[Initiative ID],12)="","",INDEX(InitiativesTable[Initiative ID],12)),"")</x:f>
        <x:v>DIG-012</x:v>
      </x:c>
      <x:c r="C16" s="6" t="str">
        <x:f>IF($B16="","",IFERROR(INDEX(InitiativesTable[Initiative title],MATCH($B16,InitiativesTable[Initiative ID],0))&amp;"",""))</x:f>
        <x:v>Legacy Application Decommission</x:v>
      </x:c>
      <x:c r="D16" s="6" t="str">
        <x:f>IF($B16="","",IFERROR(INDEX(InitiativesTable[Lifecycle Status],MATCH($B16,InitiativesTable[Initiative ID],0))&amp;"",""))</x:f>
        <x:v>Paused (On Hold)</x:v>
      </x:c>
      <x:c r="E16" s="6" t="str">
        <x:f>IF($B16="","",IFERROR(INDEX(InitiativesTable[Health],MATCH($B16,InitiativesTable[Initiative ID],0))&amp;"",""))</x:f>
        <x:v>Cancelled / Deferred</x:v>
      </x:c>
      <x:c r="F16" s="123" t="n">
        <x:f ca="1">IF($B16="","",IF(OR(COUNTIFS(PEP!$B$5:$B$204,$B16,PEP!$C$5:$C$204,"Initiative")&lt;&gt;1,COUNTIFS(PEP!$B$5:$B$204,$B16,PEP!$C$5:$C$204,"Activity")+COUNTIFS(PEP!$B$5:$B$204,$B16,PEP!$C$5:$C$204,"Variation")=0,COUNTIFS(PEP!$B$5:$B$204,$B16,PEP!$C$5:$C$204,"Activity")+COUNTIFS(PEP!$B$5:$B$204,$B16,PEP!$C$5:$C$204,"Variation")&lt;&gt;COUNTIFS(PEP!$B$5:$B$204,$B16,PEP!$C$5:$C$204,"Activity",PEP!$P$5:$P$204,"OK")+COUNTIFS(PEP!$B$5:$B$204,$B16,PEP!$C$5:$C$204,"Variation",PEP!$P$5:$P$204,"OK")),"",100*SUMIFS(PEP!$K$5:$K$204,PEP!$B$5:$B$204,$B16,PEP!$C$5:$C$204,"Initiative")))</x:f>
        <x:v>68.33333333333333</x:v>
      </x:c>
      <x:c r="G16" s="123" t="n">
        <x:f>IF($B16="","",IF(OR(COUNTIFS(PEP!$B$5:$B$204,$B16,PEP!$C$5:$C$204,"Initiative")&lt;&gt;1,COUNTIFS(PEP!$B$5:$B$204,$B16,PEP!$C$5:$C$204,"Activity")+COUNTIFS(PEP!$B$5:$B$204,$B16,PEP!$C$5:$C$204,"Variation")=0,COUNTIFS(PEP!$B$5:$B$204,$B16,PEP!$C$5:$C$204,"Activity")+COUNTIFS(PEP!$B$5:$B$204,$B16,PEP!$C$5:$C$204,"Variation")&lt;&gt;COUNTIFS(PEP!$B$5:$B$204,$B16,PEP!$C$5:$C$204,"Activity",PEP!$P$5:$P$204,"OK")+COUNTIFS(PEP!$B$5:$B$204,$B16,PEP!$C$5:$C$204,"Variation",PEP!$P$5:$P$204,"OK")),"",100*SUMIFS(PEP!$L$5:$L$204,PEP!$B$5:$B$204,$B16,PEP!$C$5:$C$204,"Initiative")))</x:f>
        <x:v>23.333333333333332</x:v>
      </x:c>
      <x:c r="H16" s="123" t="n">
        <x:f t="shared" ca="1" si="6">IF(OR($F16="",$G16=""),"",$G16-$F16)</x:f>
        <x:v>-45</x:v>
      </x:c>
      <x:c r="I16" s="121" t="n">
        <x:f>IF($B16="","",IFERROR(IF(INDEX(InitiativesTable[Baseline finish],MATCH($B16,InitiativesTable[Initiative ID],0))=0,"",INDEX(InitiativesTable[Baseline finish],MATCH($B16,InitiativesTable[Initiative ID],0))),""))</x:f>
        <x:v>46374</x:v>
      </x:c>
      <x:c r="J16" s="121" t="n">
        <x:f>IF($B16="","",IFERROR(IF(INDEX(InitiativesTable[Forecast finish],MATCH($B16,InitiativesTable[Initiative ID],0))=0,"",INDEX(InitiativesTable[Forecast finish],MATCH($B16,InitiativesTable[Initiative ID],0))),""))</x:f>
        <x:v>46472</x:v>
      </x:c>
      <x:c r="K16" s="6" t="n">
        <x:f ca="1">IF($B16="","",COUNTIFS(PEP!$B$5:$B$204,$B16,PEP!$C$5:$C$204,"Activity",PEP!$N$5:$N$204,"Late")+COUNTIFS(PEP!$B$5:$B$204,$B16,PEP!$C$5:$C$204,"Variation",PEP!$N$5:$N$204,"Late"))</x:f>
        <x:v>1</x:v>
      </x:c>
      <x:c r="L16" s="6" t="n">
        <x:f>IF($B16="","",COUNTIFS('CONTROL LOG'!$B$5:$B$204,$B16,'CONTROL LOG'!$H$5:$H$204,"&lt;&gt;",'CONTROL LOG'!$H$5:$H$204,"&lt;&gt;Closed",'CONTROL LOG'!$H$5:$H$204,"&lt;&gt;Superseded"))</x:f>
        <x:v>2</x:v>
      </x:c>
      <x:c r="M16" s="6" t="n">
        <x:f>IF($B16="","",COUNTIFS(PEP!$B$5:$B$204,$B16,PEP!$P$5:$P$204,"&lt;&gt;OK",PEP!$P$5:$P$204,"&lt;&gt;"))</x:f>
        <x:v>0</x:v>
      </x:c>
      <x:c r="N16" s="6" t="str">
        <x:f>IF($B16="","",IFERROR(INDEX(InitiativesTable[Proposed Status / Health change],MATCH($B16,InitiativesTable[Initiative ID],0))&amp;"",""))</x:f>
        <x:v>Pause pending archive approval</x:v>
      </x:c>
      <x:c r="O16" s="6" t="str">
        <x:f>IF($B16="","",IFERROR(INDEX(InitiativesTable[Digital Lead confirmation],MATCH($B16,InitiativesTable[Initiative ID],0))&amp;"",""))</x:f>
        <x:v>Pending</x:v>
      </x:c>
      <x:c r="P16" s="125" t="n">
        <x:f>IF($B16="","",IF(COUNTIFS(COST!$A$5:$A$104,$B16,COST!$D$5:$D$104,"Labour")=0,"",SUMIFS(COST!$E$5:$E$104,COST!$A$5:$A$104,$B16,COST!$D$5:$D$104,"Labour")))</x:f>
        <x:v>390000</x:v>
      </x:c>
      <x:c r="Q16" s="125" t="n">
        <x:f>IF($B16="","",IF(COUNTIFS(COST!$A$5:$A$104,$B16,COST!$D$5:$D$104,"Labour")=0,"",SUMIFS(COST!$F$5:$F$104,COST!$A$5:$A$104,$B16,COST!$D$5:$D$104,"Labour")))</x:f>
        <x:v>0</x:v>
      </x:c>
      <x:c r="R16" s="125" t="n">
        <x:f t="shared" si="1">IF($B16="","",IF(AND($P16="",$Q16=""),"",N($P16)+N($Q16)))</x:f>
        <x:v>390000</x:v>
      </x:c>
      <x:c r="S16" s="125" t="n">
        <x:f>IF($B16="","",IF(COUNTIFS(COST!$A$5:$A$104,$B16,COST!$D$5:$D$104,"Labour")=0,"",SUMIFS(COST!$T$5:$T$104,COST!$A$5:$A$104,$B16,COST!$D$5:$D$104,"Labour")))</x:f>
        <x:v>97000</x:v>
      </x:c>
      <x:c r="T16" s="125" t="n">
        <x:f t="shared" si="2">IF(OR($B16="",$R16="",$S16=""),"",$R16-$S16)</x:f>
        <x:v>293000</x:v>
      </x:c>
      <x:c r="U16" s="7" t="n">
        <x:f t="shared" si="3">IF(OR($B16="",$R16="",$R16=0,$S16=""),"",$S16/$R16)</x:f>
        <x:v>0.24871794871794872</x:v>
      </x:c>
      <x:c r="V16" s="125" t="n">
        <x:f>IF($B16="","",IF(COUNTIFS(COST!$A$5:$A$104,$B16,COST!$D$5:$D$104,"Fees")=0,"",SUMIFS(COST!$E$5:$E$104,COST!$A$5:$A$104,$B16,COST!$D$5:$D$104,"Fees")))</x:f>
        <x:v>155000</x:v>
      </x:c>
      <x:c r="W16" s="125" t="n">
        <x:f>IF($B16="","",IF(COUNTIFS(COST!$A$5:$A$104,$B16,COST!$D$5:$D$104,"Fees")=0,"",SUMIFS(COST!$F$5:$F$104,COST!$A$5:$A$104,$B16,COST!$D$5:$D$104,"Fees")))</x:f>
        <x:v>0</x:v>
      </x:c>
      <x:c r="X16" s="125" t="n">
        <x:f t="shared" si="4">IF($B16="","",IF(AND($V16="",$W16=""),"",N($V16)+N($W16)))</x:f>
        <x:v>155000</x:v>
      </x:c>
      <x:c r="Y16" s="125" t="n">
        <x:f>IF($B16="","",IF(COUNTIFS(COST!$A$5:$A$104,$B16,COST!$D$5:$D$104,"Fees")=0,"",SUMIFS(COST!$T$5:$T$104,COST!$A$5:$A$104,$B16,COST!$D$5:$D$104,"Fees")))</x:f>
        <x:v>41000</x:v>
      </x:c>
      <x:c r="Z16" s="125" t="n">
        <x:f t="shared" si="5">IF(OR($B16="",$X16="",$Y16=""),"",$X16-$Y16)</x:f>
        <x:v>114000</x:v>
      </x:c>
      <x:c r="AA16" s="127" t="n">
        <x:f t="shared" si="7">IFERROR(IF(OR($B16="",$U16="",$U16=0,$G16=""),"",($G16/100)/$U16),"")</x:f>
        <x:v>0.9381443298969071</x:v>
      </x:c>
      <x:c r="AB16" s="118" t="str">
        <x:f>IF($B16="","",IFERROR(INDEX(InitiativesTable[Delivery group],MATCH($B16,InitiativesTable[Initiative ID],0))&amp;"",""))</x:f>
      </x:c>
      <x:c r="AC16" s="118" t="str">
        <x:f>IF($B16="","",IFERROR(INDEX(InitiativesTable[Entry basis],MATCH($B16,InitiativesTable[Initiative ID],0))&amp;"",""))</x:f>
      </x:c>
      <x:c r="AD16" s="118" t="str">
        <x:f>IF($B16="","",IFERROR(INDEX(InitiativesTable[Delivery model],MATCH($B16,InitiativesTable[Initiative ID],0))&amp;"",""))</x:f>
      </x:c>
      <x:c r="AE16" s="118" t="str">
        <x:f>IF($B16="","",IFERROR(INDEX(InitiativesTable[Detailed plan owner],MATCH($B16,InitiativesTable[Initiative ID],0))&amp;"",""))</x:f>
      </x:c>
      <x:c r="AF16" s="118" t="str">
        <x:f>IF($B16="","",IFERROR(INDEX(InitiativesTable[Budget / cost owner],MATCH($B16,InitiativesTable[Initiative ID],0))&amp;"",""))</x:f>
      </x:c>
      <x:c r="AG16" s="118" t="str">
        <x:f>IF($B16="","",IFERROR(INDEX(InitiativesTable[Digital financial reporting basis],MATCH($B16,InitiativesTable[Initiative ID],0))&amp;"",""))</x:f>
      </x:c>
    </x:row>
    <x:row r="17" ht="20.049999237060547" customHeight="1">
      <x:c r="A17" s="121" t="str">
        <x:f t="shared" ca="1" si="0">IF($B17="","",TODAY())</x:f>
      </x:c>
      <x:c r="B17" s="6" t="str" cm="1">
        <x:f t="array" ref="B17">IFERROR(IF(INDEX(InitiativesTable[Initiative ID],13)="","",INDEX(InitiativesTable[Initiative ID],13)),"")</x:f>
      </x:c>
      <x:c r="C17" s="6" t="str">
        <x:f>IF($B17="","",IFERROR(INDEX(InitiativesTable[Initiative title],MATCH($B17,InitiativesTable[Initiative ID],0))&amp;"",""))</x:f>
      </x:c>
      <x:c r="D17" s="6" t="str">
        <x:f>IF($B17="","",IFERROR(INDEX(InitiativesTable[Lifecycle Status],MATCH($B17,InitiativesTable[Initiative ID],0))&amp;"",""))</x:f>
      </x:c>
      <x:c r="E17" s="6" t="str">
        <x:f>IF($B17="","",IFERROR(INDEX(InitiativesTable[Health],MATCH($B17,InitiativesTable[Initiative ID],0))&amp;"",""))</x:f>
      </x:c>
      <x:c r="F17" s="123" t="str">
        <x:f>IF($B17="","",IF(OR(COUNTIFS(PEP!$B$5:$B$204,$B17,PEP!$C$5:$C$204,"Initiative")&lt;&gt;1,COUNTIFS(PEP!$B$5:$B$204,$B17,PEP!$C$5:$C$204,"Activity")+COUNTIFS(PEP!$B$5:$B$204,$B17,PEP!$C$5:$C$204,"Variation")=0,COUNTIFS(PEP!$B$5:$B$204,$B17,PEP!$C$5:$C$204,"Activity")+COUNTIFS(PEP!$B$5:$B$204,$B17,PEP!$C$5:$C$204,"Variation")&lt;&gt;COUNTIFS(PEP!$B$5:$B$204,$B17,PEP!$C$5:$C$204,"Activity",PEP!$P$5:$P$204,"OK")+COUNTIFS(PEP!$B$5:$B$204,$B17,PEP!$C$5:$C$204,"Variation",PEP!$P$5:$P$204,"OK")),"",100*SUMIFS(PEP!$K$5:$K$204,PEP!$B$5:$B$204,$B17,PEP!$C$5:$C$204,"Initiative")))</x:f>
      </x:c>
      <x:c r="G17" s="123" t="str">
        <x:f>IF($B17="","",IF(OR(COUNTIFS(PEP!$B$5:$B$204,$B17,PEP!$C$5:$C$204,"Initiative")&lt;&gt;1,COUNTIFS(PEP!$B$5:$B$204,$B17,PEP!$C$5:$C$204,"Activity")+COUNTIFS(PEP!$B$5:$B$204,$B17,PEP!$C$5:$C$204,"Variation")=0,COUNTIFS(PEP!$B$5:$B$204,$B17,PEP!$C$5:$C$204,"Activity")+COUNTIFS(PEP!$B$5:$B$204,$B17,PEP!$C$5:$C$204,"Variation")&lt;&gt;COUNTIFS(PEP!$B$5:$B$204,$B17,PEP!$C$5:$C$204,"Activity",PEP!$P$5:$P$204,"OK")+COUNTIFS(PEP!$B$5:$B$204,$B17,PEP!$C$5:$C$204,"Variation",PEP!$P$5:$P$204,"OK")),"",100*SUMIFS(PEP!$L$5:$L$204,PEP!$B$5:$B$204,$B17,PEP!$C$5:$C$204,"Initiative")))</x:f>
      </x:c>
      <x:c r="H17" s="123" t="str">
        <x:f t="shared" si="6">IF(OR($F17="",$G17=""),"",$G17-$F17)</x:f>
      </x:c>
      <x:c r="I17" s="121" t="str">
        <x:f>IF($B17="","",IFERROR(IF(INDEX(InitiativesTable[Baseline finish],MATCH($B17,InitiativesTable[Initiative ID],0))=0,"",INDEX(InitiativesTable[Baseline finish],MATCH($B17,InitiativesTable[Initiative ID],0))),""))</x:f>
      </x:c>
      <x:c r="J17" s="121" t="str">
        <x:f>IF($B17="","",IFERROR(IF(INDEX(InitiativesTable[Forecast finish],MATCH($B17,InitiativesTable[Initiative ID],0))=0,"",INDEX(InitiativesTable[Forecast finish],MATCH($B17,InitiativesTable[Initiative ID],0))),""))</x:f>
      </x:c>
      <x:c r="K17" s="6" t="str">
        <x:f>IF($B17="","",COUNTIFS(PEP!$B$5:$B$204,$B17,PEP!$C$5:$C$204,"Activity",PEP!$N$5:$N$204,"Late")+COUNTIFS(PEP!$B$5:$B$204,$B17,PEP!$C$5:$C$204,"Variation",PEP!$N$5:$N$204,"Late"))</x:f>
      </x:c>
      <x:c r="L17" s="6" t="str">
        <x:f>IF($B17="","",COUNTIFS('CONTROL LOG'!$B$5:$B$204,$B17,'CONTROL LOG'!$H$5:$H$204,"&lt;&gt;",'CONTROL LOG'!$H$5:$H$204,"&lt;&gt;Closed",'CONTROL LOG'!$H$5:$H$204,"&lt;&gt;Superseded"))</x:f>
      </x:c>
      <x:c r="M17" s="6" t="str">
        <x:f>IF($B17="","",COUNTIFS(PEP!$B$5:$B$204,$B17,PEP!$P$5:$P$204,"&lt;&gt;OK",PEP!$P$5:$P$204,"&lt;&gt;"))</x:f>
      </x:c>
      <x:c r="N17" s="6" t="str">
        <x:f>IF($B17="","",IFERROR(INDEX(InitiativesTable[Proposed Status / Health change],MATCH($B17,InitiativesTable[Initiative ID],0))&amp;"",""))</x:f>
      </x:c>
      <x:c r="O17" s="6" t="str">
        <x:f>IF($B17="","",IFERROR(INDEX(InitiativesTable[Digital Lead confirmation],MATCH($B17,InitiativesTable[Initiative ID],0))&amp;"",""))</x:f>
      </x:c>
      <x:c r="P17" s="125" t="str">
        <x:f>IF($B17="","",IF(COUNTIFS(COST!$A$5:$A$104,$B17,COST!$D$5:$D$104,"Labour")=0,"",SUMIFS(COST!$E$5:$E$104,COST!$A$5:$A$104,$B17,COST!$D$5:$D$104,"Labour")))</x:f>
      </x:c>
      <x:c r="Q17" s="125" t="str">
        <x:f>IF($B17="","",IF(COUNTIFS(COST!$A$5:$A$104,$B17,COST!$D$5:$D$104,"Labour")=0,"",SUMIFS(COST!$F$5:$F$104,COST!$A$5:$A$104,$B17,COST!$D$5:$D$104,"Labour")))</x:f>
      </x:c>
      <x:c r="R17" s="125" t="str">
        <x:f t="shared" si="1">IF($B17="","",IF(AND($P17="",$Q17=""),"",N($P17)+N($Q17)))</x:f>
      </x:c>
      <x:c r="S17" s="125" t="str">
        <x:f>IF($B17="","",IF(COUNTIFS(COST!$A$5:$A$104,$B17,COST!$D$5:$D$104,"Labour")=0,"",SUMIFS(COST!$T$5:$T$104,COST!$A$5:$A$104,$B17,COST!$D$5:$D$104,"Labour")))</x:f>
      </x:c>
      <x:c r="T17" s="125" t="str">
        <x:f t="shared" si="2">IF(OR($B17="",$R17="",$S17=""),"",$R17-$S17)</x:f>
      </x:c>
      <x:c r="U17" s="7" t="str">
        <x:f t="shared" si="3">IF(OR($B17="",$R17="",$R17=0,$S17=""),"",$S17/$R17)</x:f>
      </x:c>
      <x:c r="V17" s="125" t="str">
        <x:f>IF($B17="","",IF(COUNTIFS(COST!$A$5:$A$104,$B17,COST!$D$5:$D$104,"Fees")=0,"",SUMIFS(COST!$E$5:$E$104,COST!$A$5:$A$104,$B17,COST!$D$5:$D$104,"Fees")))</x:f>
      </x:c>
      <x:c r="W17" s="125" t="str">
        <x:f>IF($B17="","",IF(COUNTIFS(COST!$A$5:$A$104,$B17,COST!$D$5:$D$104,"Fees")=0,"",SUMIFS(COST!$F$5:$F$104,COST!$A$5:$A$104,$B17,COST!$D$5:$D$104,"Fees")))</x:f>
      </x:c>
      <x:c r="X17" s="125" t="str">
        <x:f t="shared" si="4">IF($B17="","",IF(AND($V17="",$W17=""),"",N($V17)+N($W17)))</x:f>
      </x:c>
      <x:c r="Y17" s="125" t="str">
        <x:f>IF($B17="","",IF(COUNTIFS(COST!$A$5:$A$104,$B17,COST!$D$5:$D$104,"Fees")=0,"",SUMIFS(COST!$T$5:$T$104,COST!$A$5:$A$104,$B17,COST!$D$5:$D$104,"Fees")))</x:f>
      </x:c>
      <x:c r="Z17" s="125" t="str">
        <x:f t="shared" si="5">IF(OR($B17="",$X17="",$Y17=""),"",$X17-$Y17)</x:f>
      </x:c>
      <x:c r="AA17" s="127" t="str">
        <x:f t="shared" si="7">IFERROR(IF(OR($B17="",$U17="",$U17=0,$G17=""),"",($G17/100)/$U17),"")</x:f>
      </x:c>
      <x:c r="AB17" s="118" t="str">
        <x:f>IF($B17="","",IFERROR(INDEX(InitiativesTable[Delivery group],MATCH($B17,InitiativesTable[Initiative ID],0))&amp;"",""))</x:f>
      </x:c>
      <x:c r="AC17" s="118" t="str">
        <x:f>IF($B17="","",IFERROR(INDEX(InitiativesTable[Entry basis],MATCH($B17,InitiativesTable[Initiative ID],0))&amp;"",""))</x:f>
      </x:c>
      <x:c r="AD17" s="118" t="str">
        <x:f>IF($B17="","",IFERROR(INDEX(InitiativesTable[Delivery model],MATCH($B17,InitiativesTable[Initiative ID],0))&amp;"",""))</x:f>
      </x:c>
      <x:c r="AE17" s="118" t="str">
        <x:f>IF($B17="","",IFERROR(INDEX(InitiativesTable[Detailed plan owner],MATCH($B17,InitiativesTable[Initiative ID],0))&amp;"",""))</x:f>
      </x:c>
      <x:c r="AF17" s="118" t="str">
        <x:f>IF($B17="","",IFERROR(INDEX(InitiativesTable[Budget / cost owner],MATCH($B17,InitiativesTable[Initiative ID],0))&amp;"",""))</x:f>
      </x:c>
      <x:c r="AG17" s="118" t="str">
        <x:f>IF($B17="","",IFERROR(INDEX(InitiativesTable[Digital financial reporting basis],MATCH($B17,InitiativesTable[Initiative ID],0))&amp;"",""))</x:f>
      </x:c>
    </x:row>
    <x:row r="18" ht="20.049999237060547" customHeight="1">
      <x:c r="A18" s="121" t="str">
        <x:f t="shared" ca="1" si="0">IF($B18="","",TODAY())</x:f>
      </x:c>
      <x:c r="B18" s="6" t="str" cm="1">
        <x:f t="array" ref="B18">IFERROR(IF(INDEX(InitiativesTable[Initiative ID],14)="","",INDEX(InitiativesTable[Initiative ID],14)),"")</x:f>
      </x:c>
      <x:c r="C18" s="6" t="str">
        <x:f>IF($B18="","",IFERROR(INDEX(InitiativesTable[Initiative title],MATCH($B18,InitiativesTable[Initiative ID],0))&amp;"",""))</x:f>
      </x:c>
      <x:c r="D18" s="6" t="str">
        <x:f>IF($B18="","",IFERROR(INDEX(InitiativesTable[Lifecycle Status],MATCH($B18,InitiativesTable[Initiative ID],0))&amp;"",""))</x:f>
      </x:c>
      <x:c r="E18" s="6" t="str">
        <x:f>IF($B18="","",IFERROR(INDEX(InitiativesTable[Health],MATCH($B18,InitiativesTable[Initiative ID],0))&amp;"",""))</x:f>
      </x:c>
      <x:c r="F18" s="123" t="str">
        <x:f>IF($B18="","",IF(OR(COUNTIFS(PEP!$B$5:$B$204,$B18,PEP!$C$5:$C$204,"Initiative")&lt;&gt;1,COUNTIFS(PEP!$B$5:$B$204,$B18,PEP!$C$5:$C$204,"Activity")+COUNTIFS(PEP!$B$5:$B$204,$B18,PEP!$C$5:$C$204,"Variation")=0,COUNTIFS(PEP!$B$5:$B$204,$B18,PEP!$C$5:$C$204,"Activity")+COUNTIFS(PEP!$B$5:$B$204,$B18,PEP!$C$5:$C$204,"Variation")&lt;&gt;COUNTIFS(PEP!$B$5:$B$204,$B18,PEP!$C$5:$C$204,"Activity",PEP!$P$5:$P$204,"OK")+COUNTIFS(PEP!$B$5:$B$204,$B18,PEP!$C$5:$C$204,"Variation",PEP!$P$5:$P$204,"OK")),"",100*SUMIFS(PEP!$K$5:$K$204,PEP!$B$5:$B$204,$B18,PEP!$C$5:$C$204,"Initiative")))</x:f>
      </x:c>
      <x:c r="G18" s="123" t="str">
        <x:f>IF($B18="","",IF(OR(COUNTIFS(PEP!$B$5:$B$204,$B18,PEP!$C$5:$C$204,"Initiative")&lt;&gt;1,COUNTIFS(PEP!$B$5:$B$204,$B18,PEP!$C$5:$C$204,"Activity")+COUNTIFS(PEP!$B$5:$B$204,$B18,PEP!$C$5:$C$204,"Variation")=0,COUNTIFS(PEP!$B$5:$B$204,$B18,PEP!$C$5:$C$204,"Activity")+COUNTIFS(PEP!$B$5:$B$204,$B18,PEP!$C$5:$C$204,"Variation")&lt;&gt;COUNTIFS(PEP!$B$5:$B$204,$B18,PEP!$C$5:$C$204,"Activity",PEP!$P$5:$P$204,"OK")+COUNTIFS(PEP!$B$5:$B$204,$B18,PEP!$C$5:$C$204,"Variation",PEP!$P$5:$P$204,"OK")),"",100*SUMIFS(PEP!$L$5:$L$204,PEP!$B$5:$B$204,$B18,PEP!$C$5:$C$204,"Initiative")))</x:f>
      </x:c>
      <x:c r="H18" s="123" t="str">
        <x:f t="shared" si="6">IF(OR($F18="",$G18=""),"",$G18-$F18)</x:f>
      </x:c>
      <x:c r="I18" s="121" t="str">
        <x:f>IF($B18="","",IFERROR(IF(INDEX(InitiativesTable[Baseline finish],MATCH($B18,InitiativesTable[Initiative ID],0))=0,"",INDEX(InitiativesTable[Baseline finish],MATCH($B18,InitiativesTable[Initiative ID],0))),""))</x:f>
      </x:c>
      <x:c r="J18" s="121" t="str">
        <x:f>IF($B18="","",IFERROR(IF(INDEX(InitiativesTable[Forecast finish],MATCH($B18,InitiativesTable[Initiative ID],0))=0,"",INDEX(InitiativesTable[Forecast finish],MATCH($B18,InitiativesTable[Initiative ID],0))),""))</x:f>
      </x:c>
      <x:c r="K18" s="6" t="str">
        <x:f>IF($B18="","",COUNTIFS(PEP!$B$5:$B$204,$B18,PEP!$C$5:$C$204,"Activity",PEP!$N$5:$N$204,"Late")+COUNTIFS(PEP!$B$5:$B$204,$B18,PEP!$C$5:$C$204,"Variation",PEP!$N$5:$N$204,"Late"))</x:f>
      </x:c>
      <x:c r="L18" s="6" t="str">
        <x:f>IF($B18="","",COUNTIFS('CONTROL LOG'!$B$5:$B$204,$B18,'CONTROL LOG'!$H$5:$H$204,"&lt;&gt;",'CONTROL LOG'!$H$5:$H$204,"&lt;&gt;Closed",'CONTROL LOG'!$H$5:$H$204,"&lt;&gt;Superseded"))</x:f>
      </x:c>
      <x:c r="M18" s="6" t="str">
        <x:f>IF($B18="","",COUNTIFS(PEP!$B$5:$B$204,$B18,PEP!$P$5:$P$204,"&lt;&gt;OK",PEP!$P$5:$P$204,"&lt;&gt;"))</x:f>
      </x:c>
      <x:c r="N18" s="6" t="str">
        <x:f>IF($B18="","",IFERROR(INDEX(InitiativesTable[Proposed Status / Health change],MATCH($B18,InitiativesTable[Initiative ID],0))&amp;"",""))</x:f>
      </x:c>
      <x:c r="O18" s="6" t="str">
        <x:f>IF($B18="","",IFERROR(INDEX(InitiativesTable[Digital Lead confirmation],MATCH($B18,InitiativesTable[Initiative ID],0))&amp;"",""))</x:f>
      </x:c>
      <x:c r="P18" s="125" t="str">
        <x:f>IF($B18="","",IF(COUNTIFS(COST!$A$5:$A$104,$B18,COST!$D$5:$D$104,"Labour")=0,"",SUMIFS(COST!$E$5:$E$104,COST!$A$5:$A$104,$B18,COST!$D$5:$D$104,"Labour")))</x:f>
      </x:c>
      <x:c r="Q18" s="125" t="str">
        <x:f>IF($B18="","",IF(COUNTIFS(COST!$A$5:$A$104,$B18,COST!$D$5:$D$104,"Labour")=0,"",SUMIFS(COST!$F$5:$F$104,COST!$A$5:$A$104,$B18,COST!$D$5:$D$104,"Labour")))</x:f>
      </x:c>
      <x:c r="R18" s="125" t="str">
        <x:f t="shared" si="1">IF($B18="","",IF(AND($P18="",$Q18=""),"",N($P18)+N($Q18)))</x:f>
      </x:c>
      <x:c r="S18" s="125" t="str">
        <x:f>IF($B18="","",IF(COUNTIFS(COST!$A$5:$A$104,$B18,COST!$D$5:$D$104,"Labour")=0,"",SUMIFS(COST!$T$5:$T$104,COST!$A$5:$A$104,$B18,COST!$D$5:$D$104,"Labour")))</x:f>
      </x:c>
      <x:c r="T18" s="125" t="str">
        <x:f t="shared" si="2">IF(OR($B18="",$R18="",$S18=""),"",$R18-$S18)</x:f>
      </x:c>
      <x:c r="U18" s="7" t="str">
        <x:f t="shared" si="3">IF(OR($B18="",$R18="",$R18=0,$S18=""),"",$S18/$R18)</x:f>
      </x:c>
      <x:c r="V18" s="125" t="str">
        <x:f>IF($B18="","",IF(COUNTIFS(COST!$A$5:$A$104,$B18,COST!$D$5:$D$104,"Fees")=0,"",SUMIFS(COST!$E$5:$E$104,COST!$A$5:$A$104,$B18,COST!$D$5:$D$104,"Fees")))</x:f>
      </x:c>
      <x:c r="W18" s="125" t="str">
        <x:f>IF($B18="","",IF(COUNTIFS(COST!$A$5:$A$104,$B18,COST!$D$5:$D$104,"Fees")=0,"",SUMIFS(COST!$F$5:$F$104,COST!$A$5:$A$104,$B18,COST!$D$5:$D$104,"Fees")))</x:f>
      </x:c>
      <x:c r="X18" s="125" t="str">
        <x:f t="shared" si="4">IF($B18="","",IF(AND($V18="",$W18=""),"",N($V18)+N($W18)))</x:f>
      </x:c>
      <x:c r="Y18" s="125" t="str">
        <x:f>IF($B18="","",IF(COUNTIFS(COST!$A$5:$A$104,$B18,COST!$D$5:$D$104,"Fees")=0,"",SUMIFS(COST!$T$5:$T$104,COST!$A$5:$A$104,$B18,COST!$D$5:$D$104,"Fees")))</x:f>
      </x:c>
      <x:c r="Z18" s="125" t="str">
        <x:f t="shared" si="5">IF(OR($B18="",$X18="",$Y18=""),"",$X18-$Y18)</x:f>
      </x:c>
      <x:c r="AA18" s="127" t="str">
        <x:f t="shared" si="7">IFERROR(IF(OR($B18="",$U18="",$U18=0,$G18=""),"",($G18/100)/$U18),"")</x:f>
      </x:c>
      <x:c r="AB18" s="118" t="str">
        <x:f>IF($B18="","",IFERROR(INDEX(InitiativesTable[Delivery group],MATCH($B18,InitiativesTable[Initiative ID],0))&amp;"",""))</x:f>
      </x:c>
      <x:c r="AC18" s="118" t="str">
        <x:f>IF($B18="","",IFERROR(INDEX(InitiativesTable[Entry basis],MATCH($B18,InitiativesTable[Initiative ID],0))&amp;"",""))</x:f>
      </x:c>
      <x:c r="AD18" s="118" t="str">
        <x:f>IF($B18="","",IFERROR(INDEX(InitiativesTable[Delivery model],MATCH($B18,InitiativesTable[Initiative ID],0))&amp;"",""))</x:f>
      </x:c>
      <x:c r="AE18" s="118" t="str">
        <x:f>IF($B18="","",IFERROR(INDEX(InitiativesTable[Detailed plan owner],MATCH($B18,InitiativesTable[Initiative ID],0))&amp;"",""))</x:f>
      </x:c>
      <x:c r="AF18" s="118" t="str">
        <x:f>IF($B18="","",IFERROR(INDEX(InitiativesTable[Budget / cost owner],MATCH($B18,InitiativesTable[Initiative ID],0))&amp;"",""))</x:f>
      </x:c>
      <x:c r="AG18" s="118" t="str">
        <x:f>IF($B18="","",IFERROR(INDEX(InitiativesTable[Digital financial reporting basis],MATCH($B18,InitiativesTable[Initiative ID],0))&amp;"",""))</x:f>
      </x:c>
    </x:row>
    <x:row r="19" ht="20.049999237060547" customHeight="1">
      <x:c r="A19" s="121" t="str">
        <x:f t="shared" ca="1" si="0">IF($B19="","",TODAY())</x:f>
      </x:c>
      <x:c r="B19" s="6" t="str" cm="1">
        <x:f t="array" ref="B19">IFERROR(IF(INDEX(InitiativesTable[Initiative ID],15)="","",INDEX(InitiativesTable[Initiative ID],15)),"")</x:f>
      </x:c>
      <x:c r="C19" s="6" t="str">
        <x:f>IF($B19="","",IFERROR(INDEX(InitiativesTable[Initiative title],MATCH($B19,InitiativesTable[Initiative ID],0))&amp;"",""))</x:f>
      </x:c>
      <x:c r="D19" s="6" t="str">
        <x:f>IF($B19="","",IFERROR(INDEX(InitiativesTable[Lifecycle Status],MATCH($B19,InitiativesTable[Initiative ID],0))&amp;"",""))</x:f>
      </x:c>
      <x:c r="E19" s="6" t="str">
        <x:f>IF($B19="","",IFERROR(INDEX(InitiativesTable[Health],MATCH($B19,InitiativesTable[Initiative ID],0))&amp;"",""))</x:f>
      </x:c>
      <x:c r="F19" s="123" t="str">
        <x:f>IF($B19="","",IF(OR(COUNTIFS(PEP!$B$5:$B$204,$B19,PEP!$C$5:$C$204,"Initiative")&lt;&gt;1,COUNTIFS(PEP!$B$5:$B$204,$B19,PEP!$C$5:$C$204,"Activity")+COUNTIFS(PEP!$B$5:$B$204,$B19,PEP!$C$5:$C$204,"Variation")=0,COUNTIFS(PEP!$B$5:$B$204,$B19,PEP!$C$5:$C$204,"Activity")+COUNTIFS(PEP!$B$5:$B$204,$B19,PEP!$C$5:$C$204,"Variation")&lt;&gt;COUNTIFS(PEP!$B$5:$B$204,$B19,PEP!$C$5:$C$204,"Activity",PEP!$P$5:$P$204,"OK")+COUNTIFS(PEP!$B$5:$B$204,$B19,PEP!$C$5:$C$204,"Variation",PEP!$P$5:$P$204,"OK")),"",100*SUMIFS(PEP!$K$5:$K$204,PEP!$B$5:$B$204,$B19,PEP!$C$5:$C$204,"Initiative")))</x:f>
      </x:c>
      <x:c r="G19" s="123" t="str">
        <x:f>IF($B19="","",IF(OR(COUNTIFS(PEP!$B$5:$B$204,$B19,PEP!$C$5:$C$204,"Initiative")&lt;&gt;1,COUNTIFS(PEP!$B$5:$B$204,$B19,PEP!$C$5:$C$204,"Activity")+COUNTIFS(PEP!$B$5:$B$204,$B19,PEP!$C$5:$C$204,"Variation")=0,COUNTIFS(PEP!$B$5:$B$204,$B19,PEP!$C$5:$C$204,"Activity")+COUNTIFS(PEP!$B$5:$B$204,$B19,PEP!$C$5:$C$204,"Variation")&lt;&gt;COUNTIFS(PEP!$B$5:$B$204,$B19,PEP!$C$5:$C$204,"Activity",PEP!$P$5:$P$204,"OK")+COUNTIFS(PEP!$B$5:$B$204,$B19,PEP!$C$5:$C$204,"Variation",PEP!$P$5:$P$204,"OK")),"",100*SUMIFS(PEP!$L$5:$L$204,PEP!$B$5:$B$204,$B19,PEP!$C$5:$C$204,"Initiative")))</x:f>
      </x:c>
      <x:c r="H19" s="123" t="str">
        <x:f t="shared" si="6">IF(OR($F19="",$G19=""),"",$G19-$F19)</x:f>
      </x:c>
      <x:c r="I19" s="121" t="str">
        <x:f>IF($B19="","",IFERROR(IF(INDEX(InitiativesTable[Baseline finish],MATCH($B19,InitiativesTable[Initiative ID],0))=0,"",INDEX(InitiativesTable[Baseline finish],MATCH($B19,InitiativesTable[Initiative ID],0))),""))</x:f>
      </x:c>
      <x:c r="J19" s="121" t="str">
        <x:f>IF($B19="","",IFERROR(IF(INDEX(InitiativesTable[Forecast finish],MATCH($B19,InitiativesTable[Initiative ID],0))=0,"",INDEX(InitiativesTable[Forecast finish],MATCH($B19,InitiativesTable[Initiative ID],0))),""))</x:f>
      </x:c>
      <x:c r="K19" s="6" t="str">
        <x:f>IF($B19="","",COUNTIFS(PEP!$B$5:$B$204,$B19,PEP!$C$5:$C$204,"Activity",PEP!$N$5:$N$204,"Late")+COUNTIFS(PEP!$B$5:$B$204,$B19,PEP!$C$5:$C$204,"Variation",PEP!$N$5:$N$204,"Late"))</x:f>
      </x:c>
      <x:c r="L19" s="6" t="str">
        <x:f>IF($B19="","",COUNTIFS('CONTROL LOG'!$B$5:$B$204,$B19,'CONTROL LOG'!$H$5:$H$204,"&lt;&gt;",'CONTROL LOG'!$H$5:$H$204,"&lt;&gt;Closed",'CONTROL LOG'!$H$5:$H$204,"&lt;&gt;Superseded"))</x:f>
      </x:c>
      <x:c r="M19" s="6" t="str">
        <x:f>IF($B19="","",COUNTIFS(PEP!$B$5:$B$204,$B19,PEP!$P$5:$P$204,"&lt;&gt;OK",PEP!$P$5:$P$204,"&lt;&gt;"))</x:f>
      </x:c>
      <x:c r="N19" s="6" t="str">
        <x:f>IF($B19="","",IFERROR(INDEX(InitiativesTable[Proposed Status / Health change],MATCH($B19,InitiativesTable[Initiative ID],0))&amp;"",""))</x:f>
      </x:c>
      <x:c r="O19" s="6" t="str">
        <x:f>IF($B19="","",IFERROR(INDEX(InitiativesTable[Digital Lead confirmation],MATCH($B19,InitiativesTable[Initiative ID],0))&amp;"",""))</x:f>
      </x:c>
      <x:c r="P19" s="125" t="str">
        <x:f>IF($B19="","",IF(COUNTIFS(COST!$A$5:$A$104,$B19,COST!$D$5:$D$104,"Labour")=0,"",SUMIFS(COST!$E$5:$E$104,COST!$A$5:$A$104,$B19,COST!$D$5:$D$104,"Labour")))</x:f>
      </x:c>
      <x:c r="Q19" s="125" t="str">
        <x:f>IF($B19="","",IF(COUNTIFS(COST!$A$5:$A$104,$B19,COST!$D$5:$D$104,"Labour")=0,"",SUMIFS(COST!$F$5:$F$104,COST!$A$5:$A$104,$B19,COST!$D$5:$D$104,"Labour")))</x:f>
      </x:c>
      <x:c r="R19" s="125" t="str">
        <x:f t="shared" si="1">IF($B19="","",IF(AND($P19="",$Q19=""),"",N($P19)+N($Q19)))</x:f>
      </x:c>
      <x:c r="S19" s="125" t="str">
        <x:f>IF($B19="","",IF(COUNTIFS(COST!$A$5:$A$104,$B19,COST!$D$5:$D$104,"Labour")=0,"",SUMIFS(COST!$T$5:$T$104,COST!$A$5:$A$104,$B19,COST!$D$5:$D$104,"Labour")))</x:f>
      </x:c>
      <x:c r="T19" s="125" t="str">
        <x:f t="shared" si="2">IF(OR($B19="",$R19="",$S19=""),"",$R19-$S19)</x:f>
      </x:c>
      <x:c r="U19" s="7" t="str">
        <x:f t="shared" si="3">IF(OR($B19="",$R19="",$R19=0,$S19=""),"",$S19/$R19)</x:f>
      </x:c>
      <x:c r="V19" s="125" t="str">
        <x:f>IF($B19="","",IF(COUNTIFS(COST!$A$5:$A$104,$B19,COST!$D$5:$D$104,"Fees")=0,"",SUMIFS(COST!$E$5:$E$104,COST!$A$5:$A$104,$B19,COST!$D$5:$D$104,"Fees")))</x:f>
      </x:c>
      <x:c r="W19" s="125" t="str">
        <x:f>IF($B19="","",IF(COUNTIFS(COST!$A$5:$A$104,$B19,COST!$D$5:$D$104,"Fees")=0,"",SUMIFS(COST!$F$5:$F$104,COST!$A$5:$A$104,$B19,COST!$D$5:$D$104,"Fees")))</x:f>
      </x:c>
      <x:c r="X19" s="125" t="str">
        <x:f t="shared" si="4">IF($B19="","",IF(AND($V19="",$W19=""),"",N($V19)+N($W19)))</x:f>
      </x:c>
      <x:c r="Y19" s="125" t="str">
        <x:f>IF($B19="","",IF(COUNTIFS(COST!$A$5:$A$104,$B19,COST!$D$5:$D$104,"Fees")=0,"",SUMIFS(COST!$T$5:$T$104,COST!$A$5:$A$104,$B19,COST!$D$5:$D$104,"Fees")))</x:f>
      </x:c>
      <x:c r="Z19" s="125" t="str">
        <x:f t="shared" si="5">IF(OR($B19="",$X19="",$Y19=""),"",$X19-$Y19)</x:f>
      </x:c>
      <x:c r="AA19" s="127" t="str">
        <x:f t="shared" si="7">IFERROR(IF(OR($B19="",$U19="",$U19=0,$G19=""),"",($G19/100)/$U19),"")</x:f>
      </x:c>
      <x:c r="AB19" s="118" t="str">
        <x:f>IF($B19="","",IFERROR(INDEX(InitiativesTable[Delivery group],MATCH($B19,InitiativesTable[Initiative ID],0))&amp;"",""))</x:f>
      </x:c>
      <x:c r="AC19" s="118" t="str">
        <x:f>IF($B19="","",IFERROR(INDEX(InitiativesTable[Entry basis],MATCH($B19,InitiativesTable[Initiative ID],0))&amp;"",""))</x:f>
      </x:c>
      <x:c r="AD19" s="118" t="str">
        <x:f>IF($B19="","",IFERROR(INDEX(InitiativesTable[Delivery model],MATCH($B19,InitiativesTable[Initiative ID],0))&amp;"",""))</x:f>
      </x:c>
      <x:c r="AE19" s="118" t="str">
        <x:f>IF($B19="","",IFERROR(INDEX(InitiativesTable[Detailed plan owner],MATCH($B19,InitiativesTable[Initiative ID],0))&amp;"",""))</x:f>
      </x:c>
      <x:c r="AF19" s="118" t="str">
        <x:f>IF($B19="","",IFERROR(INDEX(InitiativesTable[Budget / cost owner],MATCH($B19,InitiativesTable[Initiative ID],0))&amp;"",""))</x:f>
      </x:c>
      <x:c r="AG19" s="118" t="str">
        <x:f>IF($B19="","",IFERROR(INDEX(InitiativesTable[Digital financial reporting basis],MATCH($B19,InitiativesTable[Initiative ID],0))&amp;"",""))</x:f>
      </x:c>
    </x:row>
    <x:row r="20" ht="20.049999237060547" customHeight="1">
      <x:c r="A20" s="121" t="str">
        <x:f t="shared" ca="1" si="0">IF($B20="","",TODAY())</x:f>
      </x:c>
      <x:c r="B20" s="6" t="str" cm="1">
        <x:f t="array" ref="B20">IFERROR(IF(INDEX(InitiativesTable[Initiative ID],16)="","",INDEX(InitiativesTable[Initiative ID],16)),"")</x:f>
      </x:c>
      <x:c r="C20" s="6" t="str">
        <x:f>IF($B20="","",IFERROR(INDEX(InitiativesTable[Initiative title],MATCH($B20,InitiativesTable[Initiative ID],0))&amp;"",""))</x:f>
      </x:c>
      <x:c r="D20" s="6" t="str">
        <x:f>IF($B20="","",IFERROR(INDEX(InitiativesTable[Lifecycle Status],MATCH($B20,InitiativesTable[Initiative ID],0))&amp;"",""))</x:f>
      </x:c>
      <x:c r="E20" s="6" t="str">
        <x:f>IF($B20="","",IFERROR(INDEX(InitiativesTable[Health],MATCH($B20,InitiativesTable[Initiative ID],0))&amp;"",""))</x:f>
      </x:c>
      <x:c r="F20" s="123" t="str">
        <x:f>IF($B20="","",IF(OR(COUNTIFS(PEP!$B$5:$B$204,$B20,PEP!$C$5:$C$204,"Initiative")&lt;&gt;1,COUNTIFS(PEP!$B$5:$B$204,$B20,PEP!$C$5:$C$204,"Activity")+COUNTIFS(PEP!$B$5:$B$204,$B20,PEP!$C$5:$C$204,"Variation")=0,COUNTIFS(PEP!$B$5:$B$204,$B20,PEP!$C$5:$C$204,"Activity")+COUNTIFS(PEP!$B$5:$B$204,$B20,PEP!$C$5:$C$204,"Variation")&lt;&gt;COUNTIFS(PEP!$B$5:$B$204,$B20,PEP!$C$5:$C$204,"Activity",PEP!$P$5:$P$204,"OK")+COUNTIFS(PEP!$B$5:$B$204,$B20,PEP!$C$5:$C$204,"Variation",PEP!$P$5:$P$204,"OK")),"",100*SUMIFS(PEP!$K$5:$K$204,PEP!$B$5:$B$204,$B20,PEP!$C$5:$C$204,"Initiative")))</x:f>
      </x:c>
      <x:c r="G20" s="123" t="str">
        <x:f>IF($B20="","",IF(OR(COUNTIFS(PEP!$B$5:$B$204,$B20,PEP!$C$5:$C$204,"Initiative")&lt;&gt;1,COUNTIFS(PEP!$B$5:$B$204,$B20,PEP!$C$5:$C$204,"Activity")+COUNTIFS(PEP!$B$5:$B$204,$B20,PEP!$C$5:$C$204,"Variation")=0,COUNTIFS(PEP!$B$5:$B$204,$B20,PEP!$C$5:$C$204,"Activity")+COUNTIFS(PEP!$B$5:$B$204,$B20,PEP!$C$5:$C$204,"Variation")&lt;&gt;COUNTIFS(PEP!$B$5:$B$204,$B20,PEP!$C$5:$C$204,"Activity",PEP!$P$5:$P$204,"OK")+COUNTIFS(PEP!$B$5:$B$204,$B20,PEP!$C$5:$C$204,"Variation",PEP!$P$5:$P$204,"OK")),"",100*SUMIFS(PEP!$L$5:$L$204,PEP!$B$5:$B$204,$B20,PEP!$C$5:$C$204,"Initiative")))</x:f>
      </x:c>
      <x:c r="H20" s="123" t="str">
        <x:f t="shared" si="6">IF(OR($F20="",$G20=""),"",$G20-$F20)</x:f>
      </x:c>
      <x:c r="I20" s="121" t="str">
        <x:f>IF($B20="","",IFERROR(IF(INDEX(InitiativesTable[Baseline finish],MATCH($B20,InitiativesTable[Initiative ID],0))=0,"",INDEX(InitiativesTable[Baseline finish],MATCH($B20,InitiativesTable[Initiative ID],0))),""))</x:f>
      </x:c>
      <x:c r="J20" s="121" t="str">
        <x:f>IF($B20="","",IFERROR(IF(INDEX(InitiativesTable[Forecast finish],MATCH($B20,InitiativesTable[Initiative ID],0))=0,"",INDEX(InitiativesTable[Forecast finish],MATCH($B20,InitiativesTable[Initiative ID],0))),""))</x:f>
      </x:c>
      <x:c r="K20" s="6" t="str">
        <x:f>IF($B20="","",COUNTIFS(PEP!$B$5:$B$204,$B20,PEP!$C$5:$C$204,"Activity",PEP!$N$5:$N$204,"Late")+COUNTIFS(PEP!$B$5:$B$204,$B20,PEP!$C$5:$C$204,"Variation",PEP!$N$5:$N$204,"Late"))</x:f>
      </x:c>
      <x:c r="L20" s="6" t="str">
        <x:f>IF($B20="","",COUNTIFS('CONTROL LOG'!$B$5:$B$204,$B20,'CONTROL LOG'!$H$5:$H$204,"&lt;&gt;",'CONTROL LOG'!$H$5:$H$204,"&lt;&gt;Closed",'CONTROL LOG'!$H$5:$H$204,"&lt;&gt;Superseded"))</x:f>
      </x:c>
      <x:c r="M20" s="6" t="str">
        <x:f>IF($B20="","",COUNTIFS(PEP!$B$5:$B$204,$B20,PEP!$P$5:$P$204,"&lt;&gt;OK",PEP!$P$5:$P$204,"&lt;&gt;"))</x:f>
      </x:c>
      <x:c r="N20" s="6" t="str">
        <x:f>IF($B20="","",IFERROR(INDEX(InitiativesTable[Proposed Status / Health change],MATCH($B20,InitiativesTable[Initiative ID],0))&amp;"",""))</x:f>
      </x:c>
      <x:c r="O20" s="6" t="str">
        <x:f>IF($B20="","",IFERROR(INDEX(InitiativesTable[Digital Lead confirmation],MATCH($B20,InitiativesTable[Initiative ID],0))&amp;"",""))</x:f>
      </x:c>
      <x:c r="P20" s="125" t="str">
        <x:f>IF($B20="","",IF(COUNTIFS(COST!$A$5:$A$104,$B20,COST!$D$5:$D$104,"Labour")=0,"",SUMIFS(COST!$E$5:$E$104,COST!$A$5:$A$104,$B20,COST!$D$5:$D$104,"Labour")))</x:f>
      </x:c>
      <x:c r="Q20" s="125" t="str">
        <x:f>IF($B20="","",IF(COUNTIFS(COST!$A$5:$A$104,$B20,COST!$D$5:$D$104,"Labour")=0,"",SUMIFS(COST!$F$5:$F$104,COST!$A$5:$A$104,$B20,COST!$D$5:$D$104,"Labour")))</x:f>
      </x:c>
      <x:c r="R20" s="125" t="str">
        <x:f t="shared" si="1">IF($B20="","",IF(AND($P20="",$Q20=""),"",N($P20)+N($Q20)))</x:f>
      </x:c>
      <x:c r="S20" s="125" t="str">
        <x:f>IF($B20="","",IF(COUNTIFS(COST!$A$5:$A$104,$B20,COST!$D$5:$D$104,"Labour")=0,"",SUMIFS(COST!$T$5:$T$104,COST!$A$5:$A$104,$B20,COST!$D$5:$D$104,"Labour")))</x:f>
      </x:c>
      <x:c r="T20" s="125" t="str">
        <x:f t="shared" si="2">IF(OR($B20="",$R20="",$S20=""),"",$R20-$S20)</x:f>
      </x:c>
      <x:c r="U20" s="7" t="str">
        <x:f t="shared" si="3">IF(OR($B20="",$R20="",$R20=0,$S20=""),"",$S20/$R20)</x:f>
      </x:c>
      <x:c r="V20" s="125" t="str">
        <x:f>IF($B20="","",IF(COUNTIFS(COST!$A$5:$A$104,$B20,COST!$D$5:$D$104,"Fees")=0,"",SUMIFS(COST!$E$5:$E$104,COST!$A$5:$A$104,$B20,COST!$D$5:$D$104,"Fees")))</x:f>
      </x:c>
      <x:c r="W20" s="125" t="str">
        <x:f>IF($B20="","",IF(COUNTIFS(COST!$A$5:$A$104,$B20,COST!$D$5:$D$104,"Fees")=0,"",SUMIFS(COST!$F$5:$F$104,COST!$A$5:$A$104,$B20,COST!$D$5:$D$104,"Fees")))</x:f>
      </x:c>
      <x:c r="X20" s="125" t="str">
        <x:f t="shared" si="4">IF($B20="","",IF(AND($V20="",$W20=""),"",N($V20)+N($W20)))</x:f>
      </x:c>
      <x:c r="Y20" s="125" t="str">
        <x:f>IF($B20="","",IF(COUNTIFS(COST!$A$5:$A$104,$B20,COST!$D$5:$D$104,"Fees")=0,"",SUMIFS(COST!$T$5:$T$104,COST!$A$5:$A$104,$B20,COST!$D$5:$D$104,"Fees")))</x:f>
      </x:c>
      <x:c r="Z20" s="125" t="str">
        <x:f t="shared" si="5">IF(OR($B20="",$X20="",$Y20=""),"",$X20-$Y20)</x:f>
      </x:c>
      <x:c r="AA20" s="127" t="str">
        <x:f t="shared" si="7">IFERROR(IF(OR($B20="",$U20="",$U20=0,$G20=""),"",($G20/100)/$U20),"")</x:f>
      </x:c>
      <x:c r="AB20" s="118" t="str">
        <x:f>IF($B20="","",IFERROR(INDEX(InitiativesTable[Delivery group],MATCH($B20,InitiativesTable[Initiative ID],0))&amp;"",""))</x:f>
      </x:c>
      <x:c r="AC20" s="118" t="str">
        <x:f>IF($B20="","",IFERROR(INDEX(InitiativesTable[Entry basis],MATCH($B20,InitiativesTable[Initiative ID],0))&amp;"",""))</x:f>
      </x:c>
      <x:c r="AD20" s="118" t="str">
        <x:f>IF($B20="","",IFERROR(INDEX(InitiativesTable[Delivery model],MATCH($B20,InitiativesTable[Initiative ID],0))&amp;"",""))</x:f>
      </x:c>
      <x:c r="AE20" s="118" t="str">
        <x:f>IF($B20="","",IFERROR(INDEX(InitiativesTable[Detailed plan owner],MATCH($B20,InitiativesTable[Initiative ID],0))&amp;"",""))</x:f>
      </x:c>
      <x:c r="AF20" s="118" t="str">
        <x:f>IF($B20="","",IFERROR(INDEX(InitiativesTable[Budget / cost owner],MATCH($B20,InitiativesTable[Initiative ID],0))&amp;"",""))</x:f>
      </x:c>
      <x:c r="AG20" s="118" t="str">
        <x:f>IF($B20="","",IFERROR(INDEX(InitiativesTable[Digital financial reporting basis],MATCH($B20,InitiativesTable[Initiative ID],0))&amp;"",""))</x:f>
      </x:c>
    </x:row>
    <x:row r="21" ht="20.049999237060547" customHeight="1">
      <x:c r="A21" s="121" t="str">
        <x:f t="shared" ca="1" si="0">IF($B21="","",TODAY())</x:f>
      </x:c>
      <x:c r="B21" s="6" t="str" cm="1">
        <x:f t="array" ref="B21">IFERROR(IF(INDEX(InitiativesTable[Initiative ID],17)="","",INDEX(InitiativesTable[Initiative ID],17)),"")</x:f>
      </x:c>
      <x:c r="C21" s="6" t="str">
        <x:f>IF($B21="","",IFERROR(INDEX(InitiativesTable[Initiative title],MATCH($B21,InitiativesTable[Initiative ID],0))&amp;"",""))</x:f>
      </x:c>
      <x:c r="D21" s="6" t="str">
        <x:f>IF($B21="","",IFERROR(INDEX(InitiativesTable[Lifecycle Status],MATCH($B21,InitiativesTable[Initiative ID],0))&amp;"",""))</x:f>
      </x:c>
      <x:c r="E21" s="6" t="str">
        <x:f>IF($B21="","",IFERROR(INDEX(InitiativesTable[Health],MATCH($B21,InitiativesTable[Initiative ID],0))&amp;"",""))</x:f>
      </x:c>
      <x:c r="F21" s="123" t="str">
        <x:f>IF($B21="","",IF(OR(COUNTIFS(PEP!$B$5:$B$204,$B21,PEP!$C$5:$C$204,"Initiative")&lt;&gt;1,COUNTIFS(PEP!$B$5:$B$204,$B21,PEP!$C$5:$C$204,"Activity")+COUNTIFS(PEP!$B$5:$B$204,$B21,PEP!$C$5:$C$204,"Variation")=0,COUNTIFS(PEP!$B$5:$B$204,$B21,PEP!$C$5:$C$204,"Activity")+COUNTIFS(PEP!$B$5:$B$204,$B21,PEP!$C$5:$C$204,"Variation")&lt;&gt;COUNTIFS(PEP!$B$5:$B$204,$B21,PEP!$C$5:$C$204,"Activity",PEP!$P$5:$P$204,"OK")+COUNTIFS(PEP!$B$5:$B$204,$B21,PEP!$C$5:$C$204,"Variation",PEP!$P$5:$P$204,"OK")),"",100*SUMIFS(PEP!$K$5:$K$204,PEP!$B$5:$B$204,$B21,PEP!$C$5:$C$204,"Initiative")))</x:f>
      </x:c>
      <x:c r="G21" s="123" t="str">
        <x:f>IF($B21="","",IF(OR(COUNTIFS(PEP!$B$5:$B$204,$B21,PEP!$C$5:$C$204,"Initiative")&lt;&gt;1,COUNTIFS(PEP!$B$5:$B$204,$B21,PEP!$C$5:$C$204,"Activity")+COUNTIFS(PEP!$B$5:$B$204,$B21,PEP!$C$5:$C$204,"Variation")=0,COUNTIFS(PEP!$B$5:$B$204,$B21,PEP!$C$5:$C$204,"Activity")+COUNTIFS(PEP!$B$5:$B$204,$B21,PEP!$C$5:$C$204,"Variation")&lt;&gt;COUNTIFS(PEP!$B$5:$B$204,$B21,PEP!$C$5:$C$204,"Activity",PEP!$P$5:$P$204,"OK")+COUNTIFS(PEP!$B$5:$B$204,$B21,PEP!$C$5:$C$204,"Variation",PEP!$P$5:$P$204,"OK")),"",100*SUMIFS(PEP!$L$5:$L$204,PEP!$B$5:$B$204,$B21,PEP!$C$5:$C$204,"Initiative")))</x:f>
      </x:c>
      <x:c r="H21" s="123" t="str">
        <x:f t="shared" si="6">IF(OR($F21="",$G21=""),"",$G21-$F21)</x:f>
      </x:c>
      <x:c r="I21" s="121" t="str">
        <x:f>IF($B21="","",IFERROR(IF(INDEX(InitiativesTable[Baseline finish],MATCH($B21,InitiativesTable[Initiative ID],0))=0,"",INDEX(InitiativesTable[Baseline finish],MATCH($B21,InitiativesTable[Initiative ID],0))),""))</x:f>
      </x:c>
      <x:c r="J21" s="121" t="str">
        <x:f>IF($B21="","",IFERROR(IF(INDEX(InitiativesTable[Forecast finish],MATCH($B21,InitiativesTable[Initiative ID],0))=0,"",INDEX(InitiativesTable[Forecast finish],MATCH($B21,InitiativesTable[Initiative ID],0))),""))</x:f>
      </x:c>
      <x:c r="K21" s="6" t="str">
        <x:f>IF($B21="","",COUNTIFS(PEP!$B$5:$B$204,$B21,PEP!$C$5:$C$204,"Activity",PEP!$N$5:$N$204,"Late")+COUNTIFS(PEP!$B$5:$B$204,$B21,PEP!$C$5:$C$204,"Variation",PEP!$N$5:$N$204,"Late"))</x:f>
      </x:c>
      <x:c r="L21" s="6" t="str">
        <x:f>IF($B21="","",COUNTIFS('CONTROL LOG'!$B$5:$B$204,$B21,'CONTROL LOG'!$H$5:$H$204,"&lt;&gt;",'CONTROL LOG'!$H$5:$H$204,"&lt;&gt;Closed",'CONTROL LOG'!$H$5:$H$204,"&lt;&gt;Superseded"))</x:f>
      </x:c>
      <x:c r="M21" s="6" t="str">
        <x:f>IF($B21="","",COUNTIFS(PEP!$B$5:$B$204,$B21,PEP!$P$5:$P$204,"&lt;&gt;OK",PEP!$P$5:$P$204,"&lt;&gt;"))</x:f>
      </x:c>
      <x:c r="N21" s="6" t="str">
        <x:f>IF($B21="","",IFERROR(INDEX(InitiativesTable[Proposed Status / Health change],MATCH($B21,InitiativesTable[Initiative ID],0))&amp;"",""))</x:f>
      </x:c>
      <x:c r="O21" s="6" t="str">
        <x:f>IF($B21="","",IFERROR(INDEX(InitiativesTable[Digital Lead confirmation],MATCH($B21,InitiativesTable[Initiative ID],0))&amp;"",""))</x:f>
      </x:c>
      <x:c r="P21" s="125" t="str">
        <x:f>IF($B21="","",IF(COUNTIFS(COST!$A$5:$A$104,$B21,COST!$D$5:$D$104,"Labour")=0,"",SUMIFS(COST!$E$5:$E$104,COST!$A$5:$A$104,$B21,COST!$D$5:$D$104,"Labour")))</x:f>
      </x:c>
      <x:c r="Q21" s="125" t="str">
        <x:f>IF($B21="","",IF(COUNTIFS(COST!$A$5:$A$104,$B21,COST!$D$5:$D$104,"Labour")=0,"",SUMIFS(COST!$F$5:$F$104,COST!$A$5:$A$104,$B21,COST!$D$5:$D$104,"Labour")))</x:f>
      </x:c>
      <x:c r="R21" s="125" t="str">
        <x:f t="shared" si="1">IF($B21="","",IF(AND($P21="",$Q21=""),"",N($P21)+N($Q21)))</x:f>
      </x:c>
      <x:c r="S21" s="125" t="str">
        <x:f>IF($B21="","",IF(COUNTIFS(COST!$A$5:$A$104,$B21,COST!$D$5:$D$104,"Labour")=0,"",SUMIFS(COST!$T$5:$T$104,COST!$A$5:$A$104,$B21,COST!$D$5:$D$104,"Labour")))</x:f>
      </x:c>
      <x:c r="T21" s="125" t="str">
        <x:f t="shared" si="2">IF(OR($B21="",$R21="",$S21=""),"",$R21-$S21)</x:f>
      </x:c>
      <x:c r="U21" s="7" t="str">
        <x:f t="shared" si="3">IF(OR($B21="",$R21="",$R21=0,$S21=""),"",$S21/$R21)</x:f>
      </x:c>
      <x:c r="V21" s="125" t="str">
        <x:f>IF($B21="","",IF(COUNTIFS(COST!$A$5:$A$104,$B21,COST!$D$5:$D$104,"Fees")=0,"",SUMIFS(COST!$E$5:$E$104,COST!$A$5:$A$104,$B21,COST!$D$5:$D$104,"Fees")))</x:f>
      </x:c>
      <x:c r="W21" s="125" t="str">
        <x:f>IF($B21="","",IF(COUNTIFS(COST!$A$5:$A$104,$B21,COST!$D$5:$D$104,"Fees")=0,"",SUMIFS(COST!$F$5:$F$104,COST!$A$5:$A$104,$B21,COST!$D$5:$D$104,"Fees")))</x:f>
      </x:c>
      <x:c r="X21" s="125" t="str">
        <x:f t="shared" si="4">IF($B21="","",IF(AND($V21="",$W21=""),"",N($V21)+N($W21)))</x:f>
      </x:c>
      <x:c r="Y21" s="125" t="str">
        <x:f>IF($B21="","",IF(COUNTIFS(COST!$A$5:$A$104,$B21,COST!$D$5:$D$104,"Fees")=0,"",SUMIFS(COST!$T$5:$T$104,COST!$A$5:$A$104,$B21,COST!$D$5:$D$104,"Fees")))</x:f>
      </x:c>
      <x:c r="Z21" s="125" t="str">
        <x:f t="shared" si="5">IF(OR($B21="",$X21="",$Y21=""),"",$X21-$Y21)</x:f>
      </x:c>
      <x:c r="AA21" s="127" t="str">
        <x:f t="shared" si="7">IFERROR(IF(OR($B21="",$U21="",$U21=0,$G21=""),"",($G21/100)/$U21),"")</x:f>
      </x:c>
      <x:c r="AB21" s="118" t="str">
        <x:f>IF($B21="","",IFERROR(INDEX(InitiativesTable[Delivery group],MATCH($B21,InitiativesTable[Initiative ID],0))&amp;"",""))</x:f>
      </x:c>
      <x:c r="AC21" s="118" t="str">
        <x:f>IF($B21="","",IFERROR(INDEX(InitiativesTable[Entry basis],MATCH($B21,InitiativesTable[Initiative ID],0))&amp;"",""))</x:f>
      </x:c>
      <x:c r="AD21" s="118" t="str">
        <x:f>IF($B21="","",IFERROR(INDEX(InitiativesTable[Delivery model],MATCH($B21,InitiativesTable[Initiative ID],0))&amp;"",""))</x:f>
      </x:c>
      <x:c r="AE21" s="118" t="str">
        <x:f>IF($B21="","",IFERROR(INDEX(InitiativesTable[Detailed plan owner],MATCH($B21,InitiativesTable[Initiative ID],0))&amp;"",""))</x:f>
      </x:c>
      <x:c r="AF21" s="118" t="str">
        <x:f>IF($B21="","",IFERROR(INDEX(InitiativesTable[Budget / cost owner],MATCH($B21,InitiativesTable[Initiative ID],0))&amp;"",""))</x:f>
      </x:c>
      <x:c r="AG21" s="118" t="str">
        <x:f>IF($B21="","",IFERROR(INDEX(InitiativesTable[Digital financial reporting basis],MATCH($B21,InitiativesTable[Initiative ID],0))&amp;"",""))</x:f>
      </x:c>
    </x:row>
    <x:row r="22" ht="20.049999237060547" customHeight="1">
      <x:c r="A22" s="121" t="str">
        <x:f t="shared" ca="1" si="0">IF($B22="","",TODAY())</x:f>
      </x:c>
      <x:c r="B22" s="6" t="str" cm="1">
        <x:f t="array" ref="B22">IFERROR(IF(INDEX(InitiativesTable[Initiative ID],18)="","",INDEX(InitiativesTable[Initiative ID],18)),"")</x:f>
      </x:c>
      <x:c r="C22" s="6" t="str">
        <x:f>IF($B22="","",IFERROR(INDEX(InitiativesTable[Initiative title],MATCH($B22,InitiativesTable[Initiative ID],0))&amp;"",""))</x:f>
      </x:c>
      <x:c r="D22" s="6" t="str">
        <x:f>IF($B22="","",IFERROR(INDEX(InitiativesTable[Lifecycle Status],MATCH($B22,InitiativesTable[Initiative ID],0))&amp;"",""))</x:f>
      </x:c>
      <x:c r="E22" s="6" t="str">
        <x:f>IF($B22="","",IFERROR(INDEX(InitiativesTable[Health],MATCH($B22,InitiativesTable[Initiative ID],0))&amp;"",""))</x:f>
      </x:c>
      <x:c r="F22" s="123" t="str">
        <x:f>IF($B22="","",IF(OR(COUNTIFS(PEP!$B$5:$B$204,$B22,PEP!$C$5:$C$204,"Initiative")&lt;&gt;1,COUNTIFS(PEP!$B$5:$B$204,$B22,PEP!$C$5:$C$204,"Activity")+COUNTIFS(PEP!$B$5:$B$204,$B22,PEP!$C$5:$C$204,"Variation")=0,COUNTIFS(PEP!$B$5:$B$204,$B22,PEP!$C$5:$C$204,"Activity")+COUNTIFS(PEP!$B$5:$B$204,$B22,PEP!$C$5:$C$204,"Variation")&lt;&gt;COUNTIFS(PEP!$B$5:$B$204,$B22,PEP!$C$5:$C$204,"Activity",PEP!$P$5:$P$204,"OK")+COUNTIFS(PEP!$B$5:$B$204,$B22,PEP!$C$5:$C$204,"Variation",PEP!$P$5:$P$204,"OK")),"",100*SUMIFS(PEP!$K$5:$K$204,PEP!$B$5:$B$204,$B22,PEP!$C$5:$C$204,"Initiative")))</x:f>
      </x:c>
      <x:c r="G22" s="123" t="str">
        <x:f>IF($B22="","",IF(OR(COUNTIFS(PEP!$B$5:$B$204,$B22,PEP!$C$5:$C$204,"Initiative")&lt;&gt;1,COUNTIFS(PEP!$B$5:$B$204,$B22,PEP!$C$5:$C$204,"Activity")+COUNTIFS(PEP!$B$5:$B$204,$B22,PEP!$C$5:$C$204,"Variation")=0,COUNTIFS(PEP!$B$5:$B$204,$B22,PEP!$C$5:$C$204,"Activity")+COUNTIFS(PEP!$B$5:$B$204,$B22,PEP!$C$5:$C$204,"Variation")&lt;&gt;COUNTIFS(PEP!$B$5:$B$204,$B22,PEP!$C$5:$C$204,"Activity",PEP!$P$5:$P$204,"OK")+COUNTIFS(PEP!$B$5:$B$204,$B22,PEP!$C$5:$C$204,"Variation",PEP!$P$5:$P$204,"OK")),"",100*SUMIFS(PEP!$L$5:$L$204,PEP!$B$5:$B$204,$B22,PEP!$C$5:$C$204,"Initiative")))</x:f>
      </x:c>
      <x:c r="H22" s="123" t="str">
        <x:f t="shared" si="6">IF(OR($F22="",$G22=""),"",$G22-$F22)</x:f>
      </x:c>
      <x:c r="I22" s="121" t="str">
        <x:f>IF($B22="","",IFERROR(IF(INDEX(InitiativesTable[Baseline finish],MATCH($B22,InitiativesTable[Initiative ID],0))=0,"",INDEX(InitiativesTable[Baseline finish],MATCH($B22,InitiativesTable[Initiative ID],0))),""))</x:f>
      </x:c>
      <x:c r="J22" s="121" t="str">
        <x:f>IF($B22="","",IFERROR(IF(INDEX(InitiativesTable[Forecast finish],MATCH($B22,InitiativesTable[Initiative ID],0))=0,"",INDEX(InitiativesTable[Forecast finish],MATCH($B22,InitiativesTable[Initiative ID],0))),""))</x:f>
      </x:c>
      <x:c r="K22" s="6" t="str">
        <x:f>IF($B22="","",COUNTIFS(PEP!$B$5:$B$204,$B22,PEP!$C$5:$C$204,"Activity",PEP!$N$5:$N$204,"Late")+COUNTIFS(PEP!$B$5:$B$204,$B22,PEP!$C$5:$C$204,"Variation",PEP!$N$5:$N$204,"Late"))</x:f>
      </x:c>
      <x:c r="L22" s="6" t="str">
        <x:f>IF($B22="","",COUNTIFS('CONTROL LOG'!$B$5:$B$204,$B22,'CONTROL LOG'!$H$5:$H$204,"&lt;&gt;",'CONTROL LOG'!$H$5:$H$204,"&lt;&gt;Closed",'CONTROL LOG'!$H$5:$H$204,"&lt;&gt;Superseded"))</x:f>
      </x:c>
      <x:c r="M22" s="6" t="str">
        <x:f>IF($B22="","",COUNTIFS(PEP!$B$5:$B$204,$B22,PEP!$P$5:$P$204,"&lt;&gt;OK",PEP!$P$5:$P$204,"&lt;&gt;"))</x:f>
      </x:c>
      <x:c r="N22" s="6" t="str">
        <x:f>IF($B22="","",IFERROR(INDEX(InitiativesTable[Proposed Status / Health change],MATCH($B22,InitiativesTable[Initiative ID],0))&amp;"",""))</x:f>
      </x:c>
      <x:c r="O22" s="6" t="str">
        <x:f>IF($B22="","",IFERROR(INDEX(InitiativesTable[Digital Lead confirmation],MATCH($B22,InitiativesTable[Initiative ID],0))&amp;"",""))</x:f>
      </x:c>
      <x:c r="P22" s="125" t="str">
        <x:f>IF($B22="","",IF(COUNTIFS(COST!$A$5:$A$104,$B22,COST!$D$5:$D$104,"Labour")=0,"",SUMIFS(COST!$E$5:$E$104,COST!$A$5:$A$104,$B22,COST!$D$5:$D$104,"Labour")))</x:f>
      </x:c>
      <x:c r="Q22" s="125" t="str">
        <x:f>IF($B22="","",IF(COUNTIFS(COST!$A$5:$A$104,$B22,COST!$D$5:$D$104,"Labour")=0,"",SUMIFS(COST!$F$5:$F$104,COST!$A$5:$A$104,$B22,COST!$D$5:$D$104,"Labour")))</x:f>
      </x:c>
      <x:c r="R22" s="125" t="str">
        <x:f t="shared" si="1">IF($B22="","",IF(AND($P22="",$Q22=""),"",N($P22)+N($Q22)))</x:f>
      </x:c>
      <x:c r="S22" s="125" t="str">
        <x:f>IF($B22="","",IF(COUNTIFS(COST!$A$5:$A$104,$B22,COST!$D$5:$D$104,"Labour")=0,"",SUMIFS(COST!$T$5:$T$104,COST!$A$5:$A$104,$B22,COST!$D$5:$D$104,"Labour")))</x:f>
      </x:c>
      <x:c r="T22" s="125" t="str">
        <x:f t="shared" si="2">IF(OR($B22="",$R22="",$S22=""),"",$R22-$S22)</x:f>
      </x:c>
      <x:c r="U22" s="7" t="str">
        <x:f t="shared" si="3">IF(OR($B22="",$R22="",$R22=0,$S22=""),"",$S22/$R22)</x:f>
      </x:c>
      <x:c r="V22" s="125" t="str">
        <x:f>IF($B22="","",IF(COUNTIFS(COST!$A$5:$A$104,$B22,COST!$D$5:$D$104,"Fees")=0,"",SUMIFS(COST!$E$5:$E$104,COST!$A$5:$A$104,$B22,COST!$D$5:$D$104,"Fees")))</x:f>
      </x:c>
      <x:c r="W22" s="125" t="str">
        <x:f>IF($B22="","",IF(COUNTIFS(COST!$A$5:$A$104,$B22,COST!$D$5:$D$104,"Fees")=0,"",SUMIFS(COST!$F$5:$F$104,COST!$A$5:$A$104,$B22,COST!$D$5:$D$104,"Fees")))</x:f>
      </x:c>
      <x:c r="X22" s="125" t="str">
        <x:f t="shared" si="4">IF($B22="","",IF(AND($V22="",$W22=""),"",N($V22)+N($W22)))</x:f>
      </x:c>
      <x:c r="Y22" s="125" t="str">
        <x:f>IF($B22="","",IF(COUNTIFS(COST!$A$5:$A$104,$B22,COST!$D$5:$D$104,"Fees")=0,"",SUMIFS(COST!$T$5:$T$104,COST!$A$5:$A$104,$B22,COST!$D$5:$D$104,"Fees")))</x:f>
      </x:c>
      <x:c r="Z22" s="125" t="str">
        <x:f t="shared" si="5">IF(OR($B22="",$X22="",$Y22=""),"",$X22-$Y22)</x:f>
      </x:c>
      <x:c r="AA22" s="127" t="str">
        <x:f t="shared" si="7">IFERROR(IF(OR($B22="",$U22="",$U22=0,$G22=""),"",($G22/100)/$U22),"")</x:f>
      </x:c>
      <x:c r="AB22" s="118" t="str">
        <x:f>IF($B22="","",IFERROR(INDEX(InitiativesTable[Delivery group],MATCH($B22,InitiativesTable[Initiative ID],0))&amp;"",""))</x:f>
      </x:c>
      <x:c r="AC22" s="118" t="str">
        <x:f>IF($B22="","",IFERROR(INDEX(InitiativesTable[Entry basis],MATCH($B22,InitiativesTable[Initiative ID],0))&amp;"",""))</x:f>
      </x:c>
      <x:c r="AD22" s="118" t="str">
        <x:f>IF($B22="","",IFERROR(INDEX(InitiativesTable[Delivery model],MATCH($B22,InitiativesTable[Initiative ID],0))&amp;"",""))</x:f>
      </x:c>
      <x:c r="AE22" s="118" t="str">
        <x:f>IF($B22="","",IFERROR(INDEX(InitiativesTable[Detailed plan owner],MATCH($B22,InitiativesTable[Initiative ID],0))&amp;"",""))</x:f>
      </x:c>
      <x:c r="AF22" s="118" t="str">
        <x:f>IF($B22="","",IFERROR(INDEX(InitiativesTable[Budget / cost owner],MATCH($B22,InitiativesTable[Initiative ID],0))&amp;"",""))</x:f>
      </x:c>
      <x:c r="AG22" s="118" t="str">
        <x:f>IF($B22="","",IFERROR(INDEX(InitiativesTable[Digital financial reporting basis],MATCH($B22,InitiativesTable[Initiative ID],0))&amp;"",""))</x:f>
      </x:c>
    </x:row>
    <x:row r="23" ht="20.049999237060547" customHeight="1">
      <x:c r="A23" s="121" t="str">
        <x:f t="shared" ca="1" si="0">IF($B23="","",TODAY())</x:f>
      </x:c>
      <x:c r="B23" s="6" t="str" cm="1">
        <x:f t="array" ref="B23">IFERROR(IF(INDEX(InitiativesTable[Initiative ID],19)="","",INDEX(InitiativesTable[Initiative ID],19)),"")</x:f>
      </x:c>
      <x:c r="C23" s="6" t="str">
        <x:f>IF($B23="","",IFERROR(INDEX(InitiativesTable[Initiative title],MATCH($B23,InitiativesTable[Initiative ID],0))&amp;"",""))</x:f>
      </x:c>
      <x:c r="D23" s="6" t="str">
        <x:f>IF($B23="","",IFERROR(INDEX(InitiativesTable[Lifecycle Status],MATCH($B23,InitiativesTable[Initiative ID],0))&amp;"",""))</x:f>
      </x:c>
      <x:c r="E23" s="6" t="str">
        <x:f>IF($B23="","",IFERROR(INDEX(InitiativesTable[Health],MATCH($B23,InitiativesTable[Initiative ID],0))&amp;"",""))</x:f>
      </x:c>
      <x:c r="F23" s="123" t="str">
        <x:f>IF($B23="","",IF(OR(COUNTIFS(PEP!$B$5:$B$204,$B23,PEP!$C$5:$C$204,"Initiative")&lt;&gt;1,COUNTIFS(PEP!$B$5:$B$204,$B23,PEP!$C$5:$C$204,"Activity")+COUNTIFS(PEP!$B$5:$B$204,$B23,PEP!$C$5:$C$204,"Variation")=0,COUNTIFS(PEP!$B$5:$B$204,$B23,PEP!$C$5:$C$204,"Activity")+COUNTIFS(PEP!$B$5:$B$204,$B23,PEP!$C$5:$C$204,"Variation")&lt;&gt;COUNTIFS(PEP!$B$5:$B$204,$B23,PEP!$C$5:$C$204,"Activity",PEP!$P$5:$P$204,"OK")+COUNTIFS(PEP!$B$5:$B$204,$B23,PEP!$C$5:$C$204,"Variation",PEP!$P$5:$P$204,"OK")),"",100*SUMIFS(PEP!$K$5:$K$204,PEP!$B$5:$B$204,$B23,PEP!$C$5:$C$204,"Initiative")))</x:f>
      </x:c>
      <x:c r="G23" s="123" t="str">
        <x:f>IF($B23="","",IF(OR(COUNTIFS(PEP!$B$5:$B$204,$B23,PEP!$C$5:$C$204,"Initiative")&lt;&gt;1,COUNTIFS(PEP!$B$5:$B$204,$B23,PEP!$C$5:$C$204,"Activity")+COUNTIFS(PEP!$B$5:$B$204,$B23,PEP!$C$5:$C$204,"Variation")=0,COUNTIFS(PEP!$B$5:$B$204,$B23,PEP!$C$5:$C$204,"Activity")+COUNTIFS(PEP!$B$5:$B$204,$B23,PEP!$C$5:$C$204,"Variation")&lt;&gt;COUNTIFS(PEP!$B$5:$B$204,$B23,PEP!$C$5:$C$204,"Activity",PEP!$P$5:$P$204,"OK")+COUNTIFS(PEP!$B$5:$B$204,$B23,PEP!$C$5:$C$204,"Variation",PEP!$P$5:$P$204,"OK")),"",100*SUMIFS(PEP!$L$5:$L$204,PEP!$B$5:$B$204,$B23,PEP!$C$5:$C$204,"Initiative")))</x:f>
      </x:c>
      <x:c r="H23" s="123" t="str">
        <x:f t="shared" si="6">IF(OR($F23="",$G23=""),"",$G23-$F23)</x:f>
      </x:c>
      <x:c r="I23" s="121" t="str">
        <x:f>IF($B23="","",IFERROR(IF(INDEX(InitiativesTable[Baseline finish],MATCH($B23,InitiativesTable[Initiative ID],0))=0,"",INDEX(InitiativesTable[Baseline finish],MATCH($B23,InitiativesTable[Initiative ID],0))),""))</x:f>
      </x:c>
      <x:c r="J23" s="121" t="str">
        <x:f>IF($B23="","",IFERROR(IF(INDEX(InitiativesTable[Forecast finish],MATCH($B23,InitiativesTable[Initiative ID],0))=0,"",INDEX(InitiativesTable[Forecast finish],MATCH($B23,InitiativesTable[Initiative ID],0))),""))</x:f>
      </x:c>
      <x:c r="K23" s="6" t="str">
        <x:f>IF($B23="","",COUNTIFS(PEP!$B$5:$B$204,$B23,PEP!$C$5:$C$204,"Activity",PEP!$N$5:$N$204,"Late")+COUNTIFS(PEP!$B$5:$B$204,$B23,PEP!$C$5:$C$204,"Variation",PEP!$N$5:$N$204,"Late"))</x:f>
      </x:c>
      <x:c r="L23" s="6" t="str">
        <x:f>IF($B23="","",COUNTIFS('CONTROL LOG'!$B$5:$B$204,$B23,'CONTROL LOG'!$H$5:$H$204,"&lt;&gt;",'CONTROL LOG'!$H$5:$H$204,"&lt;&gt;Closed",'CONTROL LOG'!$H$5:$H$204,"&lt;&gt;Superseded"))</x:f>
      </x:c>
      <x:c r="M23" s="6" t="str">
        <x:f>IF($B23="","",COUNTIFS(PEP!$B$5:$B$204,$B23,PEP!$P$5:$P$204,"&lt;&gt;OK",PEP!$P$5:$P$204,"&lt;&gt;"))</x:f>
      </x:c>
      <x:c r="N23" s="6" t="str">
        <x:f>IF($B23="","",IFERROR(INDEX(InitiativesTable[Proposed Status / Health change],MATCH($B23,InitiativesTable[Initiative ID],0))&amp;"",""))</x:f>
      </x:c>
      <x:c r="O23" s="6" t="str">
        <x:f>IF($B23="","",IFERROR(INDEX(InitiativesTable[Digital Lead confirmation],MATCH($B23,InitiativesTable[Initiative ID],0))&amp;"",""))</x:f>
      </x:c>
      <x:c r="P23" s="125" t="str">
        <x:f>IF($B23="","",IF(COUNTIFS(COST!$A$5:$A$104,$B23,COST!$D$5:$D$104,"Labour")=0,"",SUMIFS(COST!$E$5:$E$104,COST!$A$5:$A$104,$B23,COST!$D$5:$D$104,"Labour")))</x:f>
      </x:c>
      <x:c r="Q23" s="125" t="str">
        <x:f>IF($B23="","",IF(COUNTIFS(COST!$A$5:$A$104,$B23,COST!$D$5:$D$104,"Labour")=0,"",SUMIFS(COST!$F$5:$F$104,COST!$A$5:$A$104,$B23,COST!$D$5:$D$104,"Labour")))</x:f>
      </x:c>
      <x:c r="R23" s="125" t="str">
        <x:f t="shared" si="1">IF($B23="","",IF(AND($P23="",$Q23=""),"",N($P23)+N($Q23)))</x:f>
      </x:c>
      <x:c r="S23" s="125" t="str">
        <x:f>IF($B23="","",IF(COUNTIFS(COST!$A$5:$A$104,$B23,COST!$D$5:$D$104,"Labour")=0,"",SUMIFS(COST!$T$5:$T$104,COST!$A$5:$A$104,$B23,COST!$D$5:$D$104,"Labour")))</x:f>
      </x:c>
      <x:c r="T23" s="125" t="str">
        <x:f t="shared" si="2">IF(OR($B23="",$R23="",$S23=""),"",$R23-$S23)</x:f>
      </x:c>
      <x:c r="U23" s="7" t="str">
        <x:f t="shared" si="3">IF(OR($B23="",$R23="",$R23=0,$S23=""),"",$S23/$R23)</x:f>
      </x:c>
      <x:c r="V23" s="125" t="str">
        <x:f>IF($B23="","",IF(COUNTIFS(COST!$A$5:$A$104,$B23,COST!$D$5:$D$104,"Fees")=0,"",SUMIFS(COST!$E$5:$E$104,COST!$A$5:$A$104,$B23,COST!$D$5:$D$104,"Fees")))</x:f>
      </x:c>
      <x:c r="W23" s="125" t="str">
        <x:f>IF($B23="","",IF(COUNTIFS(COST!$A$5:$A$104,$B23,COST!$D$5:$D$104,"Fees")=0,"",SUMIFS(COST!$F$5:$F$104,COST!$A$5:$A$104,$B23,COST!$D$5:$D$104,"Fees")))</x:f>
      </x:c>
      <x:c r="X23" s="125" t="str">
        <x:f t="shared" si="4">IF($B23="","",IF(AND($V23="",$W23=""),"",N($V23)+N($W23)))</x:f>
      </x:c>
      <x:c r="Y23" s="125" t="str">
        <x:f>IF($B23="","",IF(COUNTIFS(COST!$A$5:$A$104,$B23,COST!$D$5:$D$104,"Fees")=0,"",SUMIFS(COST!$T$5:$T$104,COST!$A$5:$A$104,$B23,COST!$D$5:$D$104,"Fees")))</x:f>
      </x:c>
      <x:c r="Z23" s="125" t="str">
        <x:f t="shared" si="5">IF(OR($B23="",$X23="",$Y23=""),"",$X23-$Y23)</x:f>
      </x:c>
      <x:c r="AA23" s="127" t="str">
        <x:f t="shared" si="7">IFERROR(IF(OR($B23="",$U23="",$U23=0,$G23=""),"",($G23/100)/$U23),"")</x:f>
      </x:c>
      <x:c r="AB23" s="118" t="str">
        <x:f>IF($B23="","",IFERROR(INDEX(InitiativesTable[Delivery group],MATCH($B23,InitiativesTable[Initiative ID],0))&amp;"",""))</x:f>
      </x:c>
      <x:c r="AC23" s="118" t="str">
        <x:f>IF($B23="","",IFERROR(INDEX(InitiativesTable[Entry basis],MATCH($B23,InitiativesTable[Initiative ID],0))&amp;"",""))</x:f>
      </x:c>
      <x:c r="AD23" s="118" t="str">
        <x:f>IF($B23="","",IFERROR(INDEX(InitiativesTable[Delivery model],MATCH($B23,InitiativesTable[Initiative ID],0))&amp;"",""))</x:f>
      </x:c>
      <x:c r="AE23" s="118" t="str">
        <x:f>IF($B23="","",IFERROR(INDEX(InitiativesTable[Detailed plan owner],MATCH($B23,InitiativesTable[Initiative ID],0))&amp;"",""))</x:f>
      </x:c>
      <x:c r="AF23" s="118" t="str">
        <x:f>IF($B23="","",IFERROR(INDEX(InitiativesTable[Budget / cost owner],MATCH($B23,InitiativesTable[Initiative ID],0))&amp;"",""))</x:f>
      </x:c>
      <x:c r="AG23" s="118" t="str">
        <x:f>IF($B23="","",IFERROR(INDEX(InitiativesTable[Digital financial reporting basis],MATCH($B23,InitiativesTable[Initiative ID],0))&amp;"",""))</x:f>
      </x:c>
    </x:row>
    <x:row r="24" ht="20.049999237060547" customHeight="1">
      <x:c r="A24" s="121" t="str">
        <x:f t="shared" ca="1" si="0">IF($B24="","",TODAY())</x:f>
      </x:c>
      <x:c r="B24" s="6" t="str" cm="1">
        <x:f t="array" ref="B24">IFERROR(IF(INDEX(InitiativesTable[Initiative ID],20)="","",INDEX(InitiativesTable[Initiative ID],20)),"")</x:f>
      </x:c>
      <x:c r="C24" s="6" t="str">
        <x:f>IF($B24="","",IFERROR(INDEX(InitiativesTable[Initiative title],MATCH($B24,InitiativesTable[Initiative ID],0))&amp;"",""))</x:f>
      </x:c>
      <x:c r="D24" s="6" t="str">
        <x:f>IF($B24="","",IFERROR(INDEX(InitiativesTable[Lifecycle Status],MATCH($B24,InitiativesTable[Initiative ID],0))&amp;"",""))</x:f>
      </x:c>
      <x:c r="E24" s="6" t="str">
        <x:f>IF($B24="","",IFERROR(INDEX(InitiativesTable[Health],MATCH($B24,InitiativesTable[Initiative ID],0))&amp;"",""))</x:f>
      </x:c>
      <x:c r="F24" s="123" t="str">
        <x:f>IF($B24="","",IF(OR(COUNTIFS(PEP!$B$5:$B$204,$B24,PEP!$C$5:$C$204,"Initiative")&lt;&gt;1,COUNTIFS(PEP!$B$5:$B$204,$B24,PEP!$C$5:$C$204,"Activity")+COUNTIFS(PEP!$B$5:$B$204,$B24,PEP!$C$5:$C$204,"Variation")=0,COUNTIFS(PEP!$B$5:$B$204,$B24,PEP!$C$5:$C$204,"Activity")+COUNTIFS(PEP!$B$5:$B$204,$B24,PEP!$C$5:$C$204,"Variation")&lt;&gt;COUNTIFS(PEP!$B$5:$B$204,$B24,PEP!$C$5:$C$204,"Activity",PEP!$P$5:$P$204,"OK")+COUNTIFS(PEP!$B$5:$B$204,$B24,PEP!$C$5:$C$204,"Variation",PEP!$P$5:$P$204,"OK")),"",100*SUMIFS(PEP!$K$5:$K$204,PEP!$B$5:$B$204,$B24,PEP!$C$5:$C$204,"Initiative")))</x:f>
      </x:c>
      <x:c r="G24" s="123" t="str">
        <x:f>IF($B24="","",IF(OR(COUNTIFS(PEP!$B$5:$B$204,$B24,PEP!$C$5:$C$204,"Initiative")&lt;&gt;1,COUNTIFS(PEP!$B$5:$B$204,$B24,PEP!$C$5:$C$204,"Activity")+COUNTIFS(PEP!$B$5:$B$204,$B24,PEP!$C$5:$C$204,"Variation")=0,COUNTIFS(PEP!$B$5:$B$204,$B24,PEP!$C$5:$C$204,"Activity")+COUNTIFS(PEP!$B$5:$B$204,$B24,PEP!$C$5:$C$204,"Variation")&lt;&gt;COUNTIFS(PEP!$B$5:$B$204,$B24,PEP!$C$5:$C$204,"Activity",PEP!$P$5:$P$204,"OK")+COUNTIFS(PEP!$B$5:$B$204,$B24,PEP!$C$5:$C$204,"Variation",PEP!$P$5:$P$204,"OK")),"",100*SUMIFS(PEP!$L$5:$L$204,PEP!$B$5:$B$204,$B24,PEP!$C$5:$C$204,"Initiative")))</x:f>
      </x:c>
      <x:c r="H24" s="123" t="str">
        <x:f t="shared" si="6">IF(OR($F24="",$G24=""),"",$G24-$F24)</x:f>
      </x:c>
      <x:c r="I24" s="121" t="str">
        <x:f>IF($B24="","",IFERROR(IF(INDEX(InitiativesTable[Baseline finish],MATCH($B24,InitiativesTable[Initiative ID],0))=0,"",INDEX(InitiativesTable[Baseline finish],MATCH($B24,InitiativesTable[Initiative ID],0))),""))</x:f>
      </x:c>
      <x:c r="J24" s="121" t="str">
        <x:f>IF($B24="","",IFERROR(IF(INDEX(InitiativesTable[Forecast finish],MATCH($B24,InitiativesTable[Initiative ID],0))=0,"",INDEX(InitiativesTable[Forecast finish],MATCH($B24,InitiativesTable[Initiative ID],0))),""))</x:f>
      </x:c>
      <x:c r="K24" s="6" t="str">
        <x:f>IF($B24="","",COUNTIFS(PEP!$B$5:$B$204,$B24,PEP!$C$5:$C$204,"Activity",PEP!$N$5:$N$204,"Late")+COUNTIFS(PEP!$B$5:$B$204,$B24,PEP!$C$5:$C$204,"Variation",PEP!$N$5:$N$204,"Late"))</x:f>
      </x:c>
      <x:c r="L24" s="6" t="str">
        <x:f>IF($B24="","",COUNTIFS('CONTROL LOG'!$B$5:$B$204,$B24,'CONTROL LOG'!$H$5:$H$204,"&lt;&gt;",'CONTROL LOG'!$H$5:$H$204,"&lt;&gt;Closed",'CONTROL LOG'!$H$5:$H$204,"&lt;&gt;Superseded"))</x:f>
      </x:c>
      <x:c r="M24" s="6" t="str">
        <x:f>IF($B24="","",COUNTIFS(PEP!$B$5:$B$204,$B24,PEP!$P$5:$P$204,"&lt;&gt;OK",PEP!$P$5:$P$204,"&lt;&gt;"))</x:f>
      </x:c>
      <x:c r="N24" s="6" t="str">
        <x:f>IF($B24="","",IFERROR(INDEX(InitiativesTable[Proposed Status / Health change],MATCH($B24,InitiativesTable[Initiative ID],0))&amp;"",""))</x:f>
      </x:c>
      <x:c r="O24" s="6" t="str">
        <x:f>IF($B24="","",IFERROR(INDEX(InitiativesTable[Digital Lead confirmation],MATCH($B24,InitiativesTable[Initiative ID],0))&amp;"",""))</x:f>
      </x:c>
      <x:c r="P24" s="125" t="str">
        <x:f>IF($B24="","",IF(COUNTIFS(COST!$A$5:$A$104,$B24,COST!$D$5:$D$104,"Labour")=0,"",SUMIFS(COST!$E$5:$E$104,COST!$A$5:$A$104,$B24,COST!$D$5:$D$104,"Labour")))</x:f>
      </x:c>
      <x:c r="Q24" s="125" t="str">
        <x:f>IF($B24="","",IF(COUNTIFS(COST!$A$5:$A$104,$B24,COST!$D$5:$D$104,"Labour")=0,"",SUMIFS(COST!$F$5:$F$104,COST!$A$5:$A$104,$B24,COST!$D$5:$D$104,"Labour")))</x:f>
      </x:c>
      <x:c r="R24" s="125" t="str">
        <x:f t="shared" si="1">IF($B24="","",IF(AND($P24="",$Q24=""),"",N($P24)+N($Q24)))</x:f>
      </x:c>
      <x:c r="S24" s="125" t="str">
        <x:f>IF($B24="","",IF(COUNTIFS(COST!$A$5:$A$104,$B24,COST!$D$5:$D$104,"Labour")=0,"",SUMIFS(COST!$T$5:$T$104,COST!$A$5:$A$104,$B24,COST!$D$5:$D$104,"Labour")))</x:f>
      </x:c>
      <x:c r="T24" s="125" t="str">
        <x:f t="shared" si="2">IF(OR($B24="",$R24="",$S24=""),"",$R24-$S24)</x:f>
      </x:c>
      <x:c r="U24" s="7" t="str">
        <x:f t="shared" si="3">IF(OR($B24="",$R24="",$R24=0,$S24=""),"",$S24/$R24)</x:f>
      </x:c>
      <x:c r="V24" s="125" t="str">
        <x:f>IF($B24="","",IF(COUNTIFS(COST!$A$5:$A$104,$B24,COST!$D$5:$D$104,"Fees")=0,"",SUMIFS(COST!$E$5:$E$104,COST!$A$5:$A$104,$B24,COST!$D$5:$D$104,"Fees")))</x:f>
      </x:c>
      <x:c r="W24" s="125" t="str">
        <x:f>IF($B24="","",IF(COUNTIFS(COST!$A$5:$A$104,$B24,COST!$D$5:$D$104,"Fees")=0,"",SUMIFS(COST!$F$5:$F$104,COST!$A$5:$A$104,$B24,COST!$D$5:$D$104,"Fees")))</x:f>
      </x:c>
      <x:c r="X24" s="125" t="str">
        <x:f t="shared" si="4">IF($B24="","",IF(AND($V24="",$W24=""),"",N($V24)+N($W24)))</x:f>
      </x:c>
      <x:c r="Y24" s="125" t="str">
        <x:f>IF($B24="","",IF(COUNTIFS(COST!$A$5:$A$104,$B24,COST!$D$5:$D$104,"Fees")=0,"",SUMIFS(COST!$T$5:$T$104,COST!$A$5:$A$104,$B24,COST!$D$5:$D$104,"Fees")))</x:f>
      </x:c>
      <x:c r="Z24" s="125" t="str">
        <x:f t="shared" si="5">IF(OR($B24="",$X24="",$Y24=""),"",$X24-$Y24)</x:f>
      </x:c>
      <x:c r="AA24" s="127" t="str">
        <x:f t="shared" si="7">IFERROR(IF(OR($B24="",$U24="",$U24=0,$G24=""),"",($G24/100)/$U24),"")</x:f>
      </x:c>
      <x:c r="AB24" s="118" t="str">
        <x:f>IF($B24="","",IFERROR(INDEX(InitiativesTable[Delivery group],MATCH($B24,InitiativesTable[Initiative ID],0))&amp;"",""))</x:f>
      </x:c>
      <x:c r="AC24" s="118" t="str">
        <x:f>IF($B24="","",IFERROR(INDEX(InitiativesTable[Entry basis],MATCH($B24,InitiativesTable[Initiative ID],0))&amp;"",""))</x:f>
      </x:c>
      <x:c r="AD24" s="118" t="str">
        <x:f>IF($B24="","",IFERROR(INDEX(InitiativesTable[Delivery model],MATCH($B24,InitiativesTable[Initiative ID],0))&amp;"",""))</x:f>
      </x:c>
      <x:c r="AE24" s="118" t="str">
        <x:f>IF($B24="","",IFERROR(INDEX(InitiativesTable[Detailed plan owner],MATCH($B24,InitiativesTable[Initiative ID],0))&amp;"",""))</x:f>
      </x:c>
      <x:c r="AF24" s="118" t="str">
        <x:f>IF($B24="","",IFERROR(INDEX(InitiativesTable[Budget / cost owner],MATCH($B24,InitiativesTable[Initiative ID],0))&amp;"",""))</x:f>
      </x:c>
      <x:c r="AG24" s="118" t="str">
        <x:f>IF($B24="","",IFERROR(INDEX(InitiativesTable[Digital financial reporting basis],MATCH($B24,InitiativesTable[Initiative ID],0))&amp;"",""))</x:f>
      </x:c>
    </x:row>
    <x:row r="25" ht="20.049999237060547" customHeight="1">
      <x:c r="A25" s="121" t="str">
        <x:f t="shared" ca="1" si="0">IF($B25="","",TODAY())</x:f>
      </x:c>
      <x:c r="B25" s="6" t="str" cm="1">
        <x:f t="array" ref="B25">IFERROR(IF(INDEX(InitiativesTable[Initiative ID],21)="","",INDEX(InitiativesTable[Initiative ID],21)),"")</x:f>
      </x:c>
      <x:c r="C25" s="6" t="str">
        <x:f>IF($B25="","",IFERROR(INDEX(InitiativesTable[Initiative title],MATCH($B25,InitiativesTable[Initiative ID],0))&amp;"",""))</x:f>
      </x:c>
      <x:c r="D25" s="6" t="str">
        <x:f>IF($B25="","",IFERROR(INDEX(InitiativesTable[Lifecycle Status],MATCH($B25,InitiativesTable[Initiative ID],0))&amp;"",""))</x:f>
      </x:c>
      <x:c r="E25" s="6" t="str">
        <x:f>IF($B25="","",IFERROR(INDEX(InitiativesTable[Health],MATCH($B25,InitiativesTable[Initiative ID],0))&amp;"",""))</x:f>
      </x:c>
      <x:c r="F25" s="123" t="str">
        <x:f>IF($B25="","",IF(OR(COUNTIFS(PEP!$B$5:$B$204,$B25,PEP!$C$5:$C$204,"Initiative")&lt;&gt;1,COUNTIFS(PEP!$B$5:$B$204,$B25,PEP!$C$5:$C$204,"Activity")+COUNTIFS(PEP!$B$5:$B$204,$B25,PEP!$C$5:$C$204,"Variation")=0,COUNTIFS(PEP!$B$5:$B$204,$B25,PEP!$C$5:$C$204,"Activity")+COUNTIFS(PEP!$B$5:$B$204,$B25,PEP!$C$5:$C$204,"Variation")&lt;&gt;COUNTIFS(PEP!$B$5:$B$204,$B25,PEP!$C$5:$C$204,"Activity",PEP!$P$5:$P$204,"OK")+COUNTIFS(PEP!$B$5:$B$204,$B25,PEP!$C$5:$C$204,"Variation",PEP!$P$5:$P$204,"OK")),"",100*SUMIFS(PEP!$K$5:$K$204,PEP!$B$5:$B$204,$B25,PEP!$C$5:$C$204,"Initiative")))</x:f>
      </x:c>
      <x:c r="G25" s="123" t="str">
        <x:f>IF($B25="","",IF(OR(COUNTIFS(PEP!$B$5:$B$204,$B25,PEP!$C$5:$C$204,"Initiative")&lt;&gt;1,COUNTIFS(PEP!$B$5:$B$204,$B25,PEP!$C$5:$C$204,"Activity")+COUNTIFS(PEP!$B$5:$B$204,$B25,PEP!$C$5:$C$204,"Variation")=0,COUNTIFS(PEP!$B$5:$B$204,$B25,PEP!$C$5:$C$204,"Activity")+COUNTIFS(PEP!$B$5:$B$204,$B25,PEP!$C$5:$C$204,"Variation")&lt;&gt;COUNTIFS(PEP!$B$5:$B$204,$B25,PEP!$C$5:$C$204,"Activity",PEP!$P$5:$P$204,"OK")+COUNTIFS(PEP!$B$5:$B$204,$B25,PEP!$C$5:$C$204,"Variation",PEP!$P$5:$P$204,"OK")),"",100*SUMIFS(PEP!$L$5:$L$204,PEP!$B$5:$B$204,$B25,PEP!$C$5:$C$204,"Initiative")))</x:f>
      </x:c>
      <x:c r="H25" s="123" t="str">
        <x:f t="shared" si="6">IF(OR($F25="",$G25=""),"",$G25-$F25)</x:f>
      </x:c>
      <x:c r="I25" s="121" t="str">
        <x:f>IF($B25="","",IFERROR(IF(INDEX(InitiativesTable[Baseline finish],MATCH($B25,InitiativesTable[Initiative ID],0))=0,"",INDEX(InitiativesTable[Baseline finish],MATCH($B25,InitiativesTable[Initiative ID],0))),""))</x:f>
      </x:c>
      <x:c r="J25" s="121" t="str">
        <x:f>IF($B25="","",IFERROR(IF(INDEX(InitiativesTable[Forecast finish],MATCH($B25,InitiativesTable[Initiative ID],0))=0,"",INDEX(InitiativesTable[Forecast finish],MATCH($B25,InitiativesTable[Initiative ID],0))),""))</x:f>
      </x:c>
      <x:c r="K25" s="6" t="str">
        <x:f>IF($B25="","",COUNTIFS(PEP!$B$5:$B$204,$B25,PEP!$C$5:$C$204,"Activity",PEP!$N$5:$N$204,"Late")+COUNTIFS(PEP!$B$5:$B$204,$B25,PEP!$C$5:$C$204,"Variation",PEP!$N$5:$N$204,"Late"))</x:f>
      </x:c>
      <x:c r="L25" s="6" t="str">
        <x:f>IF($B25="","",COUNTIFS('CONTROL LOG'!$B$5:$B$204,$B25,'CONTROL LOG'!$H$5:$H$204,"&lt;&gt;",'CONTROL LOG'!$H$5:$H$204,"&lt;&gt;Closed",'CONTROL LOG'!$H$5:$H$204,"&lt;&gt;Superseded"))</x:f>
      </x:c>
      <x:c r="M25" s="6" t="str">
        <x:f>IF($B25="","",COUNTIFS(PEP!$B$5:$B$204,$B25,PEP!$P$5:$P$204,"&lt;&gt;OK",PEP!$P$5:$P$204,"&lt;&gt;"))</x:f>
      </x:c>
      <x:c r="N25" s="6" t="str">
        <x:f>IF($B25="","",IFERROR(INDEX(InitiativesTable[Proposed Status / Health change],MATCH($B25,InitiativesTable[Initiative ID],0))&amp;"",""))</x:f>
      </x:c>
      <x:c r="O25" s="6" t="str">
        <x:f>IF($B25="","",IFERROR(INDEX(InitiativesTable[Digital Lead confirmation],MATCH($B25,InitiativesTable[Initiative ID],0))&amp;"",""))</x:f>
      </x:c>
      <x:c r="P25" s="125" t="str">
        <x:f>IF($B25="","",IF(COUNTIFS(COST!$A$5:$A$104,$B25,COST!$D$5:$D$104,"Labour")=0,"",SUMIFS(COST!$E$5:$E$104,COST!$A$5:$A$104,$B25,COST!$D$5:$D$104,"Labour")))</x:f>
      </x:c>
      <x:c r="Q25" s="125" t="str">
        <x:f>IF($B25="","",IF(COUNTIFS(COST!$A$5:$A$104,$B25,COST!$D$5:$D$104,"Labour")=0,"",SUMIFS(COST!$F$5:$F$104,COST!$A$5:$A$104,$B25,COST!$D$5:$D$104,"Labour")))</x:f>
      </x:c>
      <x:c r="R25" s="125" t="str">
        <x:f t="shared" si="1">IF($B25="","",IF(AND($P25="",$Q25=""),"",N($P25)+N($Q25)))</x:f>
      </x:c>
      <x:c r="S25" s="125" t="str">
        <x:f>IF($B25="","",IF(COUNTIFS(COST!$A$5:$A$104,$B25,COST!$D$5:$D$104,"Labour")=0,"",SUMIFS(COST!$T$5:$T$104,COST!$A$5:$A$104,$B25,COST!$D$5:$D$104,"Labour")))</x:f>
      </x:c>
      <x:c r="T25" s="125" t="str">
        <x:f t="shared" si="2">IF(OR($B25="",$R25="",$S25=""),"",$R25-$S25)</x:f>
      </x:c>
      <x:c r="U25" s="7" t="str">
        <x:f t="shared" si="3">IF(OR($B25="",$R25="",$R25=0,$S25=""),"",$S25/$R25)</x:f>
      </x:c>
      <x:c r="V25" s="125" t="str">
        <x:f>IF($B25="","",IF(COUNTIFS(COST!$A$5:$A$104,$B25,COST!$D$5:$D$104,"Fees")=0,"",SUMIFS(COST!$E$5:$E$104,COST!$A$5:$A$104,$B25,COST!$D$5:$D$104,"Fees")))</x:f>
      </x:c>
      <x:c r="W25" s="125" t="str">
        <x:f>IF($B25="","",IF(COUNTIFS(COST!$A$5:$A$104,$B25,COST!$D$5:$D$104,"Fees")=0,"",SUMIFS(COST!$F$5:$F$104,COST!$A$5:$A$104,$B25,COST!$D$5:$D$104,"Fees")))</x:f>
      </x:c>
      <x:c r="X25" s="125" t="str">
        <x:f t="shared" si="4">IF($B25="","",IF(AND($V25="",$W25=""),"",N($V25)+N($W25)))</x:f>
      </x:c>
      <x:c r="Y25" s="125" t="str">
        <x:f>IF($B25="","",IF(COUNTIFS(COST!$A$5:$A$104,$B25,COST!$D$5:$D$104,"Fees")=0,"",SUMIFS(COST!$T$5:$T$104,COST!$A$5:$A$104,$B25,COST!$D$5:$D$104,"Fees")))</x:f>
      </x:c>
      <x:c r="Z25" s="125" t="str">
        <x:f t="shared" si="5">IF(OR($B25="",$X25="",$Y25=""),"",$X25-$Y25)</x:f>
      </x:c>
      <x:c r="AA25" s="127" t="str">
        <x:f t="shared" si="7">IFERROR(IF(OR($B25="",$U25="",$U25=0,$G25=""),"",($G25/100)/$U25),"")</x:f>
      </x:c>
      <x:c r="AB25" s="118" t="str">
        <x:f>IF($B25="","",IFERROR(INDEX(InitiativesTable[Delivery group],MATCH($B25,InitiativesTable[Initiative ID],0))&amp;"",""))</x:f>
      </x:c>
      <x:c r="AC25" s="118" t="str">
        <x:f>IF($B25="","",IFERROR(INDEX(InitiativesTable[Entry basis],MATCH($B25,InitiativesTable[Initiative ID],0))&amp;"",""))</x:f>
      </x:c>
      <x:c r="AD25" s="118" t="str">
        <x:f>IF($B25="","",IFERROR(INDEX(InitiativesTable[Delivery model],MATCH($B25,InitiativesTable[Initiative ID],0))&amp;"",""))</x:f>
      </x:c>
      <x:c r="AE25" s="118" t="str">
        <x:f>IF($B25="","",IFERROR(INDEX(InitiativesTable[Detailed plan owner],MATCH($B25,InitiativesTable[Initiative ID],0))&amp;"",""))</x:f>
      </x:c>
      <x:c r="AF25" s="118" t="str">
        <x:f>IF($B25="","",IFERROR(INDEX(InitiativesTable[Budget / cost owner],MATCH($B25,InitiativesTable[Initiative ID],0))&amp;"",""))</x:f>
      </x:c>
      <x:c r="AG25" s="118" t="str">
        <x:f>IF($B25="","",IFERROR(INDEX(InitiativesTable[Digital financial reporting basis],MATCH($B25,InitiativesTable[Initiative ID],0))&amp;"",""))</x:f>
      </x:c>
    </x:row>
    <x:row r="26" ht="20.049999237060547" customHeight="1">
      <x:c r="A26" s="121" t="str">
        <x:f t="shared" ca="1" si="0">IF($B26="","",TODAY())</x:f>
      </x:c>
      <x:c r="B26" s="6" t="str" cm="1">
        <x:f t="array" ref="B26">IFERROR(IF(INDEX(InitiativesTable[Initiative ID],22)="","",INDEX(InitiativesTable[Initiative ID],22)),"")</x:f>
      </x:c>
      <x:c r="C26" s="6" t="str">
        <x:f>IF($B26="","",IFERROR(INDEX(InitiativesTable[Initiative title],MATCH($B26,InitiativesTable[Initiative ID],0))&amp;"",""))</x:f>
      </x:c>
      <x:c r="D26" s="6" t="str">
        <x:f>IF($B26="","",IFERROR(INDEX(InitiativesTable[Lifecycle Status],MATCH($B26,InitiativesTable[Initiative ID],0))&amp;"",""))</x:f>
      </x:c>
      <x:c r="E26" s="6" t="str">
        <x:f>IF($B26="","",IFERROR(INDEX(InitiativesTable[Health],MATCH($B26,InitiativesTable[Initiative ID],0))&amp;"",""))</x:f>
      </x:c>
      <x:c r="F26" s="123" t="str">
        <x:f>IF($B26="","",IF(OR(COUNTIFS(PEP!$B$5:$B$204,$B26,PEP!$C$5:$C$204,"Initiative")&lt;&gt;1,COUNTIFS(PEP!$B$5:$B$204,$B26,PEP!$C$5:$C$204,"Activity")+COUNTIFS(PEP!$B$5:$B$204,$B26,PEP!$C$5:$C$204,"Variation")=0,COUNTIFS(PEP!$B$5:$B$204,$B26,PEP!$C$5:$C$204,"Activity")+COUNTIFS(PEP!$B$5:$B$204,$B26,PEP!$C$5:$C$204,"Variation")&lt;&gt;COUNTIFS(PEP!$B$5:$B$204,$B26,PEP!$C$5:$C$204,"Activity",PEP!$P$5:$P$204,"OK")+COUNTIFS(PEP!$B$5:$B$204,$B26,PEP!$C$5:$C$204,"Variation",PEP!$P$5:$P$204,"OK")),"",100*SUMIFS(PEP!$K$5:$K$204,PEP!$B$5:$B$204,$B26,PEP!$C$5:$C$204,"Initiative")))</x:f>
      </x:c>
      <x:c r="G26" s="123" t="str">
        <x:f>IF($B26="","",IF(OR(COUNTIFS(PEP!$B$5:$B$204,$B26,PEP!$C$5:$C$204,"Initiative")&lt;&gt;1,COUNTIFS(PEP!$B$5:$B$204,$B26,PEP!$C$5:$C$204,"Activity")+COUNTIFS(PEP!$B$5:$B$204,$B26,PEP!$C$5:$C$204,"Variation")=0,COUNTIFS(PEP!$B$5:$B$204,$B26,PEP!$C$5:$C$204,"Activity")+COUNTIFS(PEP!$B$5:$B$204,$B26,PEP!$C$5:$C$204,"Variation")&lt;&gt;COUNTIFS(PEP!$B$5:$B$204,$B26,PEP!$C$5:$C$204,"Activity",PEP!$P$5:$P$204,"OK")+COUNTIFS(PEP!$B$5:$B$204,$B26,PEP!$C$5:$C$204,"Variation",PEP!$P$5:$P$204,"OK")),"",100*SUMIFS(PEP!$L$5:$L$204,PEP!$B$5:$B$204,$B26,PEP!$C$5:$C$204,"Initiative")))</x:f>
      </x:c>
      <x:c r="H26" s="123" t="str">
        <x:f t="shared" si="6">IF(OR($F26="",$G26=""),"",$G26-$F26)</x:f>
      </x:c>
      <x:c r="I26" s="121" t="str">
        <x:f>IF($B26="","",IFERROR(IF(INDEX(InitiativesTable[Baseline finish],MATCH($B26,InitiativesTable[Initiative ID],0))=0,"",INDEX(InitiativesTable[Baseline finish],MATCH($B26,InitiativesTable[Initiative ID],0))),""))</x:f>
      </x:c>
      <x:c r="J26" s="121" t="str">
        <x:f>IF($B26="","",IFERROR(IF(INDEX(InitiativesTable[Forecast finish],MATCH($B26,InitiativesTable[Initiative ID],0))=0,"",INDEX(InitiativesTable[Forecast finish],MATCH($B26,InitiativesTable[Initiative ID],0))),""))</x:f>
      </x:c>
      <x:c r="K26" s="6" t="str">
        <x:f>IF($B26="","",COUNTIFS(PEP!$B$5:$B$204,$B26,PEP!$C$5:$C$204,"Activity",PEP!$N$5:$N$204,"Late")+COUNTIFS(PEP!$B$5:$B$204,$B26,PEP!$C$5:$C$204,"Variation",PEP!$N$5:$N$204,"Late"))</x:f>
      </x:c>
      <x:c r="L26" s="6" t="str">
        <x:f>IF($B26="","",COUNTIFS('CONTROL LOG'!$B$5:$B$204,$B26,'CONTROL LOG'!$H$5:$H$204,"&lt;&gt;",'CONTROL LOG'!$H$5:$H$204,"&lt;&gt;Closed",'CONTROL LOG'!$H$5:$H$204,"&lt;&gt;Superseded"))</x:f>
      </x:c>
      <x:c r="M26" s="6" t="str">
        <x:f>IF($B26="","",COUNTIFS(PEP!$B$5:$B$204,$B26,PEP!$P$5:$P$204,"&lt;&gt;OK",PEP!$P$5:$P$204,"&lt;&gt;"))</x:f>
      </x:c>
      <x:c r="N26" s="6" t="str">
        <x:f>IF($B26="","",IFERROR(INDEX(InitiativesTable[Proposed Status / Health change],MATCH($B26,InitiativesTable[Initiative ID],0))&amp;"",""))</x:f>
      </x:c>
      <x:c r="O26" s="6" t="str">
        <x:f>IF($B26="","",IFERROR(INDEX(InitiativesTable[Digital Lead confirmation],MATCH($B26,InitiativesTable[Initiative ID],0))&amp;"",""))</x:f>
      </x:c>
      <x:c r="P26" s="125" t="str">
        <x:f>IF($B26="","",IF(COUNTIFS(COST!$A$5:$A$104,$B26,COST!$D$5:$D$104,"Labour")=0,"",SUMIFS(COST!$E$5:$E$104,COST!$A$5:$A$104,$B26,COST!$D$5:$D$104,"Labour")))</x:f>
      </x:c>
      <x:c r="Q26" s="125" t="str">
        <x:f>IF($B26="","",IF(COUNTIFS(COST!$A$5:$A$104,$B26,COST!$D$5:$D$104,"Labour")=0,"",SUMIFS(COST!$F$5:$F$104,COST!$A$5:$A$104,$B26,COST!$D$5:$D$104,"Labour")))</x:f>
      </x:c>
      <x:c r="R26" s="125" t="str">
        <x:f t="shared" si="1">IF($B26="","",IF(AND($P26="",$Q26=""),"",N($P26)+N($Q26)))</x:f>
      </x:c>
      <x:c r="S26" s="125" t="str">
        <x:f>IF($B26="","",IF(COUNTIFS(COST!$A$5:$A$104,$B26,COST!$D$5:$D$104,"Labour")=0,"",SUMIFS(COST!$T$5:$T$104,COST!$A$5:$A$104,$B26,COST!$D$5:$D$104,"Labour")))</x:f>
      </x:c>
      <x:c r="T26" s="125" t="str">
        <x:f t="shared" si="2">IF(OR($B26="",$R26="",$S26=""),"",$R26-$S26)</x:f>
      </x:c>
      <x:c r="U26" s="7" t="str">
        <x:f t="shared" si="3">IF(OR($B26="",$R26="",$R26=0,$S26=""),"",$S26/$R26)</x:f>
      </x:c>
      <x:c r="V26" s="125" t="str">
        <x:f>IF($B26="","",IF(COUNTIFS(COST!$A$5:$A$104,$B26,COST!$D$5:$D$104,"Fees")=0,"",SUMIFS(COST!$E$5:$E$104,COST!$A$5:$A$104,$B26,COST!$D$5:$D$104,"Fees")))</x:f>
      </x:c>
      <x:c r="W26" s="125" t="str">
        <x:f>IF($B26="","",IF(COUNTIFS(COST!$A$5:$A$104,$B26,COST!$D$5:$D$104,"Fees")=0,"",SUMIFS(COST!$F$5:$F$104,COST!$A$5:$A$104,$B26,COST!$D$5:$D$104,"Fees")))</x:f>
      </x:c>
      <x:c r="X26" s="125" t="str">
        <x:f t="shared" si="4">IF($B26="","",IF(AND($V26="",$W26=""),"",N($V26)+N($W26)))</x:f>
      </x:c>
      <x:c r="Y26" s="125" t="str">
        <x:f>IF($B26="","",IF(COUNTIFS(COST!$A$5:$A$104,$B26,COST!$D$5:$D$104,"Fees")=0,"",SUMIFS(COST!$T$5:$T$104,COST!$A$5:$A$104,$B26,COST!$D$5:$D$104,"Fees")))</x:f>
      </x:c>
      <x:c r="Z26" s="125" t="str">
        <x:f t="shared" si="5">IF(OR($B26="",$X26="",$Y26=""),"",$X26-$Y26)</x:f>
      </x:c>
      <x:c r="AA26" s="127" t="str">
        <x:f t="shared" si="7">IFERROR(IF(OR($B26="",$U26="",$U26=0,$G26=""),"",($G26/100)/$U26),"")</x:f>
      </x:c>
      <x:c r="AB26" s="118" t="str">
        <x:f>IF($B26="","",IFERROR(INDEX(InitiativesTable[Delivery group],MATCH($B26,InitiativesTable[Initiative ID],0))&amp;"",""))</x:f>
      </x:c>
      <x:c r="AC26" s="118" t="str">
        <x:f>IF($B26="","",IFERROR(INDEX(InitiativesTable[Entry basis],MATCH($B26,InitiativesTable[Initiative ID],0))&amp;"",""))</x:f>
      </x:c>
      <x:c r="AD26" s="118" t="str">
        <x:f>IF($B26="","",IFERROR(INDEX(InitiativesTable[Delivery model],MATCH($B26,InitiativesTable[Initiative ID],0))&amp;"",""))</x:f>
      </x:c>
      <x:c r="AE26" s="118" t="str">
        <x:f>IF($B26="","",IFERROR(INDEX(InitiativesTable[Detailed plan owner],MATCH($B26,InitiativesTable[Initiative ID],0))&amp;"",""))</x:f>
      </x:c>
      <x:c r="AF26" s="118" t="str">
        <x:f>IF($B26="","",IFERROR(INDEX(InitiativesTable[Budget / cost owner],MATCH($B26,InitiativesTable[Initiative ID],0))&amp;"",""))</x:f>
      </x:c>
      <x:c r="AG26" s="118" t="str">
        <x:f>IF($B26="","",IFERROR(INDEX(InitiativesTable[Digital financial reporting basis],MATCH($B26,InitiativesTable[Initiative ID],0))&amp;"",""))</x:f>
      </x:c>
    </x:row>
    <x:row r="27" ht="20.049999237060547" customHeight="1">
      <x:c r="A27" s="121" t="str">
        <x:f t="shared" ca="1" si="0">IF($B27="","",TODAY())</x:f>
      </x:c>
      <x:c r="B27" s="6" t="str" cm="1">
        <x:f t="array" ref="B27">IFERROR(IF(INDEX(InitiativesTable[Initiative ID],23)="","",INDEX(InitiativesTable[Initiative ID],23)),"")</x:f>
      </x:c>
      <x:c r="C27" s="6" t="str">
        <x:f>IF($B27="","",IFERROR(INDEX(InitiativesTable[Initiative title],MATCH($B27,InitiativesTable[Initiative ID],0))&amp;"",""))</x:f>
      </x:c>
      <x:c r="D27" s="6" t="str">
        <x:f>IF($B27="","",IFERROR(INDEX(InitiativesTable[Lifecycle Status],MATCH($B27,InitiativesTable[Initiative ID],0))&amp;"",""))</x:f>
      </x:c>
      <x:c r="E27" s="6" t="str">
        <x:f>IF($B27="","",IFERROR(INDEX(InitiativesTable[Health],MATCH($B27,InitiativesTable[Initiative ID],0))&amp;"",""))</x:f>
      </x:c>
      <x:c r="F27" s="123" t="str">
        <x:f>IF($B27="","",IF(OR(COUNTIFS(PEP!$B$5:$B$204,$B27,PEP!$C$5:$C$204,"Initiative")&lt;&gt;1,COUNTIFS(PEP!$B$5:$B$204,$B27,PEP!$C$5:$C$204,"Activity")+COUNTIFS(PEP!$B$5:$B$204,$B27,PEP!$C$5:$C$204,"Variation")=0,COUNTIFS(PEP!$B$5:$B$204,$B27,PEP!$C$5:$C$204,"Activity")+COUNTIFS(PEP!$B$5:$B$204,$B27,PEP!$C$5:$C$204,"Variation")&lt;&gt;COUNTIFS(PEP!$B$5:$B$204,$B27,PEP!$C$5:$C$204,"Activity",PEP!$P$5:$P$204,"OK")+COUNTIFS(PEP!$B$5:$B$204,$B27,PEP!$C$5:$C$204,"Variation",PEP!$P$5:$P$204,"OK")),"",100*SUMIFS(PEP!$K$5:$K$204,PEP!$B$5:$B$204,$B27,PEP!$C$5:$C$204,"Initiative")))</x:f>
      </x:c>
      <x:c r="G27" s="123" t="str">
        <x:f>IF($B27="","",IF(OR(COUNTIFS(PEP!$B$5:$B$204,$B27,PEP!$C$5:$C$204,"Initiative")&lt;&gt;1,COUNTIFS(PEP!$B$5:$B$204,$B27,PEP!$C$5:$C$204,"Activity")+COUNTIFS(PEP!$B$5:$B$204,$B27,PEP!$C$5:$C$204,"Variation")=0,COUNTIFS(PEP!$B$5:$B$204,$B27,PEP!$C$5:$C$204,"Activity")+COUNTIFS(PEP!$B$5:$B$204,$B27,PEP!$C$5:$C$204,"Variation")&lt;&gt;COUNTIFS(PEP!$B$5:$B$204,$B27,PEP!$C$5:$C$204,"Activity",PEP!$P$5:$P$204,"OK")+COUNTIFS(PEP!$B$5:$B$204,$B27,PEP!$C$5:$C$204,"Variation",PEP!$P$5:$P$204,"OK")),"",100*SUMIFS(PEP!$L$5:$L$204,PEP!$B$5:$B$204,$B27,PEP!$C$5:$C$204,"Initiative")))</x:f>
      </x:c>
      <x:c r="H27" s="123" t="str">
        <x:f t="shared" si="6">IF(OR($F27="",$G27=""),"",$G27-$F27)</x:f>
      </x:c>
      <x:c r="I27" s="121" t="str">
        <x:f>IF($B27="","",IFERROR(IF(INDEX(InitiativesTable[Baseline finish],MATCH($B27,InitiativesTable[Initiative ID],0))=0,"",INDEX(InitiativesTable[Baseline finish],MATCH($B27,InitiativesTable[Initiative ID],0))),""))</x:f>
      </x:c>
      <x:c r="J27" s="121" t="str">
        <x:f>IF($B27="","",IFERROR(IF(INDEX(InitiativesTable[Forecast finish],MATCH($B27,InitiativesTable[Initiative ID],0))=0,"",INDEX(InitiativesTable[Forecast finish],MATCH($B27,InitiativesTable[Initiative ID],0))),""))</x:f>
      </x:c>
      <x:c r="K27" s="6" t="str">
        <x:f>IF($B27="","",COUNTIFS(PEP!$B$5:$B$204,$B27,PEP!$C$5:$C$204,"Activity",PEP!$N$5:$N$204,"Late")+COUNTIFS(PEP!$B$5:$B$204,$B27,PEP!$C$5:$C$204,"Variation",PEP!$N$5:$N$204,"Late"))</x:f>
      </x:c>
      <x:c r="L27" s="6" t="str">
        <x:f>IF($B27="","",COUNTIFS('CONTROL LOG'!$B$5:$B$204,$B27,'CONTROL LOG'!$H$5:$H$204,"&lt;&gt;",'CONTROL LOG'!$H$5:$H$204,"&lt;&gt;Closed",'CONTROL LOG'!$H$5:$H$204,"&lt;&gt;Superseded"))</x:f>
      </x:c>
      <x:c r="M27" s="6" t="str">
        <x:f>IF($B27="","",COUNTIFS(PEP!$B$5:$B$204,$B27,PEP!$P$5:$P$204,"&lt;&gt;OK",PEP!$P$5:$P$204,"&lt;&gt;"))</x:f>
      </x:c>
      <x:c r="N27" s="6" t="str">
        <x:f>IF($B27="","",IFERROR(INDEX(InitiativesTable[Proposed Status / Health change],MATCH($B27,InitiativesTable[Initiative ID],0))&amp;"",""))</x:f>
      </x:c>
      <x:c r="O27" s="6" t="str">
        <x:f>IF($B27="","",IFERROR(INDEX(InitiativesTable[Digital Lead confirmation],MATCH($B27,InitiativesTable[Initiative ID],0))&amp;"",""))</x:f>
      </x:c>
      <x:c r="P27" s="125" t="str">
        <x:f>IF($B27="","",IF(COUNTIFS(COST!$A$5:$A$104,$B27,COST!$D$5:$D$104,"Labour")=0,"",SUMIFS(COST!$E$5:$E$104,COST!$A$5:$A$104,$B27,COST!$D$5:$D$104,"Labour")))</x:f>
      </x:c>
      <x:c r="Q27" s="125" t="str">
        <x:f>IF($B27="","",IF(COUNTIFS(COST!$A$5:$A$104,$B27,COST!$D$5:$D$104,"Labour")=0,"",SUMIFS(COST!$F$5:$F$104,COST!$A$5:$A$104,$B27,COST!$D$5:$D$104,"Labour")))</x:f>
      </x:c>
      <x:c r="R27" s="125" t="str">
        <x:f t="shared" si="1">IF($B27="","",IF(AND($P27="",$Q27=""),"",N($P27)+N($Q27)))</x:f>
      </x:c>
      <x:c r="S27" s="125" t="str">
        <x:f>IF($B27="","",IF(COUNTIFS(COST!$A$5:$A$104,$B27,COST!$D$5:$D$104,"Labour")=0,"",SUMIFS(COST!$T$5:$T$104,COST!$A$5:$A$104,$B27,COST!$D$5:$D$104,"Labour")))</x:f>
      </x:c>
      <x:c r="T27" s="125" t="str">
        <x:f t="shared" si="2">IF(OR($B27="",$R27="",$S27=""),"",$R27-$S27)</x:f>
      </x:c>
      <x:c r="U27" s="7" t="str">
        <x:f t="shared" si="3">IF(OR($B27="",$R27="",$R27=0,$S27=""),"",$S27/$R27)</x:f>
      </x:c>
      <x:c r="V27" s="125" t="str">
        <x:f>IF($B27="","",IF(COUNTIFS(COST!$A$5:$A$104,$B27,COST!$D$5:$D$104,"Fees")=0,"",SUMIFS(COST!$E$5:$E$104,COST!$A$5:$A$104,$B27,COST!$D$5:$D$104,"Fees")))</x:f>
      </x:c>
      <x:c r="W27" s="125" t="str">
        <x:f>IF($B27="","",IF(COUNTIFS(COST!$A$5:$A$104,$B27,COST!$D$5:$D$104,"Fees")=0,"",SUMIFS(COST!$F$5:$F$104,COST!$A$5:$A$104,$B27,COST!$D$5:$D$104,"Fees")))</x:f>
      </x:c>
      <x:c r="X27" s="125" t="str">
        <x:f t="shared" si="4">IF($B27="","",IF(AND($V27="",$W27=""),"",N($V27)+N($W27)))</x:f>
      </x:c>
      <x:c r="Y27" s="125" t="str">
        <x:f>IF($B27="","",IF(COUNTIFS(COST!$A$5:$A$104,$B27,COST!$D$5:$D$104,"Fees")=0,"",SUMIFS(COST!$T$5:$T$104,COST!$A$5:$A$104,$B27,COST!$D$5:$D$104,"Fees")))</x:f>
      </x:c>
      <x:c r="Z27" s="125" t="str">
        <x:f t="shared" si="5">IF(OR($B27="",$X27="",$Y27=""),"",$X27-$Y27)</x:f>
      </x:c>
      <x:c r="AA27" s="127" t="str">
        <x:f t="shared" si="7">IFERROR(IF(OR($B27="",$U27="",$U27=0,$G27=""),"",($G27/100)/$U27),"")</x:f>
      </x:c>
      <x:c r="AB27" s="118" t="str">
        <x:f>IF($B27="","",IFERROR(INDEX(InitiativesTable[Delivery group],MATCH($B27,InitiativesTable[Initiative ID],0))&amp;"",""))</x:f>
      </x:c>
      <x:c r="AC27" s="118" t="str">
        <x:f>IF($B27="","",IFERROR(INDEX(InitiativesTable[Entry basis],MATCH($B27,InitiativesTable[Initiative ID],0))&amp;"",""))</x:f>
      </x:c>
      <x:c r="AD27" s="118" t="str">
        <x:f>IF($B27="","",IFERROR(INDEX(InitiativesTable[Delivery model],MATCH($B27,InitiativesTable[Initiative ID],0))&amp;"",""))</x:f>
      </x:c>
      <x:c r="AE27" s="118" t="str">
        <x:f>IF($B27="","",IFERROR(INDEX(InitiativesTable[Detailed plan owner],MATCH($B27,InitiativesTable[Initiative ID],0))&amp;"",""))</x:f>
      </x:c>
      <x:c r="AF27" s="118" t="str">
        <x:f>IF($B27="","",IFERROR(INDEX(InitiativesTable[Budget / cost owner],MATCH($B27,InitiativesTable[Initiative ID],0))&amp;"",""))</x:f>
      </x:c>
      <x:c r="AG27" s="118" t="str">
        <x:f>IF($B27="","",IFERROR(INDEX(InitiativesTable[Digital financial reporting basis],MATCH($B27,InitiativesTable[Initiative ID],0))&amp;"",""))</x:f>
      </x:c>
    </x:row>
    <x:row r="28" ht="20.049999237060547" customHeight="1">
      <x:c r="A28" s="121" t="str">
        <x:f t="shared" ca="1" si="0">IF($B28="","",TODAY())</x:f>
      </x:c>
      <x:c r="B28" s="6" t="str" cm="1">
        <x:f t="array" ref="B28">IFERROR(IF(INDEX(InitiativesTable[Initiative ID],24)="","",INDEX(InitiativesTable[Initiative ID],24)),"")</x:f>
      </x:c>
      <x:c r="C28" s="6" t="str">
        <x:f>IF($B28="","",IFERROR(INDEX(InitiativesTable[Initiative title],MATCH($B28,InitiativesTable[Initiative ID],0))&amp;"",""))</x:f>
      </x:c>
      <x:c r="D28" s="6" t="str">
        <x:f>IF($B28="","",IFERROR(INDEX(InitiativesTable[Lifecycle Status],MATCH($B28,InitiativesTable[Initiative ID],0))&amp;"",""))</x:f>
      </x:c>
      <x:c r="E28" s="6" t="str">
        <x:f>IF($B28="","",IFERROR(INDEX(InitiativesTable[Health],MATCH($B28,InitiativesTable[Initiative ID],0))&amp;"",""))</x:f>
      </x:c>
      <x:c r="F28" s="123" t="str">
        <x:f>IF($B28="","",IF(OR(COUNTIFS(PEP!$B$5:$B$204,$B28,PEP!$C$5:$C$204,"Initiative")&lt;&gt;1,COUNTIFS(PEP!$B$5:$B$204,$B28,PEP!$C$5:$C$204,"Activity")+COUNTIFS(PEP!$B$5:$B$204,$B28,PEP!$C$5:$C$204,"Variation")=0,COUNTIFS(PEP!$B$5:$B$204,$B28,PEP!$C$5:$C$204,"Activity")+COUNTIFS(PEP!$B$5:$B$204,$B28,PEP!$C$5:$C$204,"Variation")&lt;&gt;COUNTIFS(PEP!$B$5:$B$204,$B28,PEP!$C$5:$C$204,"Activity",PEP!$P$5:$P$204,"OK")+COUNTIFS(PEP!$B$5:$B$204,$B28,PEP!$C$5:$C$204,"Variation",PEP!$P$5:$P$204,"OK")),"",100*SUMIFS(PEP!$K$5:$K$204,PEP!$B$5:$B$204,$B28,PEP!$C$5:$C$204,"Initiative")))</x:f>
      </x:c>
      <x:c r="G28" s="123" t="str">
        <x:f>IF($B28="","",IF(OR(COUNTIFS(PEP!$B$5:$B$204,$B28,PEP!$C$5:$C$204,"Initiative")&lt;&gt;1,COUNTIFS(PEP!$B$5:$B$204,$B28,PEP!$C$5:$C$204,"Activity")+COUNTIFS(PEP!$B$5:$B$204,$B28,PEP!$C$5:$C$204,"Variation")=0,COUNTIFS(PEP!$B$5:$B$204,$B28,PEP!$C$5:$C$204,"Activity")+COUNTIFS(PEP!$B$5:$B$204,$B28,PEP!$C$5:$C$204,"Variation")&lt;&gt;COUNTIFS(PEP!$B$5:$B$204,$B28,PEP!$C$5:$C$204,"Activity",PEP!$P$5:$P$204,"OK")+COUNTIFS(PEP!$B$5:$B$204,$B28,PEP!$C$5:$C$204,"Variation",PEP!$P$5:$P$204,"OK")),"",100*SUMIFS(PEP!$L$5:$L$204,PEP!$B$5:$B$204,$B28,PEP!$C$5:$C$204,"Initiative")))</x:f>
      </x:c>
      <x:c r="H28" s="123" t="str">
        <x:f t="shared" si="6">IF(OR($F28="",$G28=""),"",$G28-$F28)</x:f>
      </x:c>
      <x:c r="I28" s="121" t="str">
        <x:f>IF($B28="","",IFERROR(IF(INDEX(InitiativesTable[Baseline finish],MATCH($B28,InitiativesTable[Initiative ID],0))=0,"",INDEX(InitiativesTable[Baseline finish],MATCH($B28,InitiativesTable[Initiative ID],0))),""))</x:f>
      </x:c>
      <x:c r="J28" s="121" t="str">
        <x:f>IF($B28="","",IFERROR(IF(INDEX(InitiativesTable[Forecast finish],MATCH($B28,InitiativesTable[Initiative ID],0))=0,"",INDEX(InitiativesTable[Forecast finish],MATCH($B28,InitiativesTable[Initiative ID],0))),""))</x:f>
      </x:c>
      <x:c r="K28" s="6" t="str">
        <x:f>IF($B28="","",COUNTIFS(PEP!$B$5:$B$204,$B28,PEP!$C$5:$C$204,"Activity",PEP!$N$5:$N$204,"Late")+COUNTIFS(PEP!$B$5:$B$204,$B28,PEP!$C$5:$C$204,"Variation",PEP!$N$5:$N$204,"Late"))</x:f>
      </x:c>
      <x:c r="L28" s="6" t="str">
        <x:f>IF($B28="","",COUNTIFS('CONTROL LOG'!$B$5:$B$204,$B28,'CONTROL LOG'!$H$5:$H$204,"&lt;&gt;",'CONTROL LOG'!$H$5:$H$204,"&lt;&gt;Closed",'CONTROL LOG'!$H$5:$H$204,"&lt;&gt;Superseded"))</x:f>
      </x:c>
      <x:c r="M28" s="6" t="str">
        <x:f>IF($B28="","",COUNTIFS(PEP!$B$5:$B$204,$B28,PEP!$P$5:$P$204,"&lt;&gt;OK",PEP!$P$5:$P$204,"&lt;&gt;"))</x:f>
      </x:c>
      <x:c r="N28" s="6" t="str">
        <x:f>IF($B28="","",IFERROR(INDEX(InitiativesTable[Proposed Status / Health change],MATCH($B28,InitiativesTable[Initiative ID],0))&amp;"",""))</x:f>
      </x:c>
      <x:c r="O28" s="6" t="str">
        <x:f>IF($B28="","",IFERROR(INDEX(InitiativesTable[Digital Lead confirmation],MATCH($B28,InitiativesTable[Initiative ID],0))&amp;"",""))</x:f>
      </x:c>
      <x:c r="P28" s="125" t="str">
        <x:f>IF($B28="","",IF(COUNTIFS(COST!$A$5:$A$104,$B28,COST!$D$5:$D$104,"Labour")=0,"",SUMIFS(COST!$E$5:$E$104,COST!$A$5:$A$104,$B28,COST!$D$5:$D$104,"Labour")))</x:f>
      </x:c>
      <x:c r="Q28" s="125" t="str">
        <x:f>IF($B28="","",IF(COUNTIFS(COST!$A$5:$A$104,$B28,COST!$D$5:$D$104,"Labour")=0,"",SUMIFS(COST!$F$5:$F$104,COST!$A$5:$A$104,$B28,COST!$D$5:$D$104,"Labour")))</x:f>
      </x:c>
      <x:c r="R28" s="125" t="str">
        <x:f t="shared" si="1">IF($B28="","",IF(AND($P28="",$Q28=""),"",N($P28)+N($Q28)))</x:f>
      </x:c>
      <x:c r="S28" s="125" t="str">
        <x:f>IF($B28="","",IF(COUNTIFS(COST!$A$5:$A$104,$B28,COST!$D$5:$D$104,"Labour")=0,"",SUMIFS(COST!$T$5:$T$104,COST!$A$5:$A$104,$B28,COST!$D$5:$D$104,"Labour")))</x:f>
      </x:c>
      <x:c r="T28" s="125" t="str">
        <x:f t="shared" si="2">IF(OR($B28="",$R28="",$S28=""),"",$R28-$S28)</x:f>
      </x:c>
      <x:c r="U28" s="7" t="str">
        <x:f t="shared" si="3">IF(OR($B28="",$R28="",$R28=0,$S28=""),"",$S28/$R28)</x:f>
      </x:c>
      <x:c r="V28" s="125" t="str">
        <x:f>IF($B28="","",IF(COUNTIFS(COST!$A$5:$A$104,$B28,COST!$D$5:$D$104,"Fees")=0,"",SUMIFS(COST!$E$5:$E$104,COST!$A$5:$A$104,$B28,COST!$D$5:$D$104,"Fees")))</x:f>
      </x:c>
      <x:c r="W28" s="125" t="str">
        <x:f>IF($B28="","",IF(COUNTIFS(COST!$A$5:$A$104,$B28,COST!$D$5:$D$104,"Fees")=0,"",SUMIFS(COST!$F$5:$F$104,COST!$A$5:$A$104,$B28,COST!$D$5:$D$104,"Fees")))</x:f>
      </x:c>
      <x:c r="X28" s="125" t="str">
        <x:f t="shared" si="4">IF($B28="","",IF(AND($V28="",$W28=""),"",N($V28)+N($W28)))</x:f>
      </x:c>
      <x:c r="Y28" s="125" t="str">
        <x:f>IF($B28="","",IF(COUNTIFS(COST!$A$5:$A$104,$B28,COST!$D$5:$D$104,"Fees")=0,"",SUMIFS(COST!$T$5:$T$104,COST!$A$5:$A$104,$B28,COST!$D$5:$D$104,"Fees")))</x:f>
      </x:c>
      <x:c r="Z28" s="125" t="str">
        <x:f t="shared" si="5">IF(OR($B28="",$X28="",$Y28=""),"",$X28-$Y28)</x:f>
      </x:c>
      <x:c r="AA28" s="127" t="str">
        <x:f t="shared" si="7">IFERROR(IF(OR($B28="",$U28="",$U28=0,$G28=""),"",($G28/100)/$U28),"")</x:f>
      </x:c>
      <x:c r="AB28" s="118" t="str">
        <x:f>IF($B28="","",IFERROR(INDEX(InitiativesTable[Delivery group],MATCH($B28,InitiativesTable[Initiative ID],0))&amp;"",""))</x:f>
      </x:c>
      <x:c r="AC28" s="118" t="str">
        <x:f>IF($B28="","",IFERROR(INDEX(InitiativesTable[Entry basis],MATCH($B28,InitiativesTable[Initiative ID],0))&amp;"",""))</x:f>
      </x:c>
      <x:c r="AD28" s="118" t="str">
        <x:f>IF($B28="","",IFERROR(INDEX(InitiativesTable[Delivery model],MATCH($B28,InitiativesTable[Initiative ID],0))&amp;"",""))</x:f>
      </x:c>
      <x:c r="AE28" s="118" t="str">
        <x:f>IF($B28="","",IFERROR(INDEX(InitiativesTable[Detailed plan owner],MATCH($B28,InitiativesTable[Initiative ID],0))&amp;"",""))</x:f>
      </x:c>
      <x:c r="AF28" s="118" t="str">
        <x:f>IF($B28="","",IFERROR(INDEX(InitiativesTable[Budget / cost owner],MATCH($B28,InitiativesTable[Initiative ID],0))&amp;"",""))</x:f>
      </x:c>
      <x:c r="AG28" s="118" t="str">
        <x:f>IF($B28="","",IFERROR(INDEX(InitiativesTable[Digital financial reporting basis],MATCH($B28,InitiativesTable[Initiative ID],0))&amp;"",""))</x:f>
      </x:c>
    </x:row>
    <x:row r="29" ht="20.049999237060547" customHeight="1">
      <x:c r="A29" s="121" t="str">
        <x:f t="shared" ca="1" si="0">IF($B29="","",TODAY())</x:f>
      </x:c>
      <x:c r="B29" s="6" t="str" cm="1">
        <x:f t="array" ref="B29">IFERROR(IF(INDEX(InitiativesTable[Initiative ID],25)="","",INDEX(InitiativesTable[Initiative ID],25)),"")</x:f>
      </x:c>
      <x:c r="C29" s="6" t="str">
        <x:f>IF($B29="","",IFERROR(INDEX(InitiativesTable[Initiative title],MATCH($B29,InitiativesTable[Initiative ID],0))&amp;"",""))</x:f>
      </x:c>
      <x:c r="D29" s="6" t="str">
        <x:f>IF($B29="","",IFERROR(INDEX(InitiativesTable[Lifecycle Status],MATCH($B29,InitiativesTable[Initiative ID],0))&amp;"",""))</x:f>
      </x:c>
      <x:c r="E29" s="6" t="str">
        <x:f>IF($B29="","",IFERROR(INDEX(InitiativesTable[Health],MATCH($B29,InitiativesTable[Initiative ID],0))&amp;"",""))</x:f>
      </x:c>
      <x:c r="F29" s="123" t="str">
        <x:f>IF($B29="","",IF(OR(COUNTIFS(PEP!$B$5:$B$204,$B29,PEP!$C$5:$C$204,"Initiative")&lt;&gt;1,COUNTIFS(PEP!$B$5:$B$204,$B29,PEP!$C$5:$C$204,"Activity")+COUNTIFS(PEP!$B$5:$B$204,$B29,PEP!$C$5:$C$204,"Variation")=0,COUNTIFS(PEP!$B$5:$B$204,$B29,PEP!$C$5:$C$204,"Activity")+COUNTIFS(PEP!$B$5:$B$204,$B29,PEP!$C$5:$C$204,"Variation")&lt;&gt;COUNTIFS(PEP!$B$5:$B$204,$B29,PEP!$C$5:$C$204,"Activity",PEP!$P$5:$P$204,"OK")+COUNTIFS(PEP!$B$5:$B$204,$B29,PEP!$C$5:$C$204,"Variation",PEP!$P$5:$P$204,"OK")),"",100*SUMIFS(PEP!$K$5:$K$204,PEP!$B$5:$B$204,$B29,PEP!$C$5:$C$204,"Initiative")))</x:f>
      </x:c>
      <x:c r="G29" s="123" t="str">
        <x:f>IF($B29="","",IF(OR(COUNTIFS(PEP!$B$5:$B$204,$B29,PEP!$C$5:$C$204,"Initiative")&lt;&gt;1,COUNTIFS(PEP!$B$5:$B$204,$B29,PEP!$C$5:$C$204,"Activity")+COUNTIFS(PEP!$B$5:$B$204,$B29,PEP!$C$5:$C$204,"Variation")=0,COUNTIFS(PEP!$B$5:$B$204,$B29,PEP!$C$5:$C$204,"Activity")+COUNTIFS(PEP!$B$5:$B$204,$B29,PEP!$C$5:$C$204,"Variation")&lt;&gt;COUNTIFS(PEP!$B$5:$B$204,$B29,PEP!$C$5:$C$204,"Activity",PEP!$P$5:$P$204,"OK")+COUNTIFS(PEP!$B$5:$B$204,$B29,PEP!$C$5:$C$204,"Variation",PEP!$P$5:$P$204,"OK")),"",100*SUMIFS(PEP!$L$5:$L$204,PEP!$B$5:$B$204,$B29,PEP!$C$5:$C$204,"Initiative")))</x:f>
      </x:c>
      <x:c r="H29" s="123" t="str">
        <x:f t="shared" si="6">IF(OR($F29="",$G29=""),"",$G29-$F29)</x:f>
      </x:c>
      <x:c r="I29" s="121" t="str">
        <x:f>IF($B29="","",IFERROR(IF(INDEX(InitiativesTable[Baseline finish],MATCH($B29,InitiativesTable[Initiative ID],0))=0,"",INDEX(InitiativesTable[Baseline finish],MATCH($B29,InitiativesTable[Initiative ID],0))),""))</x:f>
      </x:c>
      <x:c r="J29" s="121" t="str">
        <x:f>IF($B29="","",IFERROR(IF(INDEX(InitiativesTable[Forecast finish],MATCH($B29,InitiativesTable[Initiative ID],0))=0,"",INDEX(InitiativesTable[Forecast finish],MATCH($B29,InitiativesTable[Initiative ID],0))),""))</x:f>
      </x:c>
      <x:c r="K29" s="6" t="str">
        <x:f>IF($B29="","",COUNTIFS(PEP!$B$5:$B$204,$B29,PEP!$C$5:$C$204,"Activity",PEP!$N$5:$N$204,"Late")+COUNTIFS(PEP!$B$5:$B$204,$B29,PEP!$C$5:$C$204,"Variation",PEP!$N$5:$N$204,"Late"))</x:f>
      </x:c>
      <x:c r="L29" s="6" t="str">
        <x:f>IF($B29="","",COUNTIFS('CONTROL LOG'!$B$5:$B$204,$B29,'CONTROL LOG'!$H$5:$H$204,"&lt;&gt;",'CONTROL LOG'!$H$5:$H$204,"&lt;&gt;Closed",'CONTROL LOG'!$H$5:$H$204,"&lt;&gt;Superseded"))</x:f>
      </x:c>
      <x:c r="M29" s="6" t="str">
        <x:f>IF($B29="","",COUNTIFS(PEP!$B$5:$B$204,$B29,PEP!$P$5:$P$204,"&lt;&gt;OK",PEP!$P$5:$P$204,"&lt;&gt;"))</x:f>
      </x:c>
      <x:c r="N29" s="6" t="str">
        <x:f>IF($B29="","",IFERROR(INDEX(InitiativesTable[Proposed Status / Health change],MATCH($B29,InitiativesTable[Initiative ID],0))&amp;"",""))</x:f>
      </x:c>
      <x:c r="O29" s="6" t="str">
        <x:f>IF($B29="","",IFERROR(INDEX(InitiativesTable[Digital Lead confirmation],MATCH($B29,InitiativesTable[Initiative ID],0))&amp;"",""))</x:f>
      </x:c>
      <x:c r="P29" s="125" t="str">
        <x:f>IF($B29="","",IF(COUNTIFS(COST!$A$5:$A$104,$B29,COST!$D$5:$D$104,"Labour")=0,"",SUMIFS(COST!$E$5:$E$104,COST!$A$5:$A$104,$B29,COST!$D$5:$D$104,"Labour")))</x:f>
      </x:c>
      <x:c r="Q29" s="125" t="str">
        <x:f>IF($B29="","",IF(COUNTIFS(COST!$A$5:$A$104,$B29,COST!$D$5:$D$104,"Labour")=0,"",SUMIFS(COST!$F$5:$F$104,COST!$A$5:$A$104,$B29,COST!$D$5:$D$104,"Labour")))</x:f>
      </x:c>
      <x:c r="R29" s="125" t="str">
        <x:f t="shared" si="1">IF($B29="","",IF(AND($P29="",$Q29=""),"",N($P29)+N($Q29)))</x:f>
      </x:c>
      <x:c r="S29" s="125" t="str">
        <x:f>IF($B29="","",IF(COUNTIFS(COST!$A$5:$A$104,$B29,COST!$D$5:$D$104,"Labour")=0,"",SUMIFS(COST!$T$5:$T$104,COST!$A$5:$A$104,$B29,COST!$D$5:$D$104,"Labour")))</x:f>
      </x:c>
      <x:c r="T29" s="125" t="str">
        <x:f t="shared" si="2">IF(OR($B29="",$R29="",$S29=""),"",$R29-$S29)</x:f>
      </x:c>
      <x:c r="U29" s="7" t="str">
        <x:f t="shared" si="3">IF(OR($B29="",$R29="",$R29=0,$S29=""),"",$S29/$R29)</x:f>
      </x:c>
      <x:c r="V29" s="125" t="str">
        <x:f>IF($B29="","",IF(COUNTIFS(COST!$A$5:$A$104,$B29,COST!$D$5:$D$104,"Fees")=0,"",SUMIFS(COST!$E$5:$E$104,COST!$A$5:$A$104,$B29,COST!$D$5:$D$104,"Fees")))</x:f>
      </x:c>
      <x:c r="W29" s="125" t="str">
        <x:f>IF($B29="","",IF(COUNTIFS(COST!$A$5:$A$104,$B29,COST!$D$5:$D$104,"Fees")=0,"",SUMIFS(COST!$F$5:$F$104,COST!$A$5:$A$104,$B29,COST!$D$5:$D$104,"Fees")))</x:f>
      </x:c>
      <x:c r="X29" s="125" t="str">
        <x:f t="shared" si="4">IF($B29="","",IF(AND($V29="",$W29=""),"",N($V29)+N($W29)))</x:f>
      </x:c>
      <x:c r="Y29" s="125" t="str">
        <x:f>IF($B29="","",IF(COUNTIFS(COST!$A$5:$A$104,$B29,COST!$D$5:$D$104,"Fees")=0,"",SUMIFS(COST!$T$5:$T$104,COST!$A$5:$A$104,$B29,COST!$D$5:$D$104,"Fees")))</x:f>
      </x:c>
      <x:c r="Z29" s="125" t="str">
        <x:f t="shared" si="5">IF(OR($B29="",$X29="",$Y29=""),"",$X29-$Y29)</x:f>
      </x:c>
      <x:c r="AA29" s="127" t="str">
        <x:f t="shared" si="7">IFERROR(IF(OR($B29="",$U29="",$U29=0,$G29=""),"",($G29/100)/$U29),"")</x:f>
      </x:c>
      <x:c r="AB29" s="118" t="str">
        <x:f>IF($B29="","",IFERROR(INDEX(InitiativesTable[Delivery group],MATCH($B29,InitiativesTable[Initiative ID],0))&amp;"",""))</x:f>
      </x:c>
      <x:c r="AC29" s="118" t="str">
        <x:f>IF($B29="","",IFERROR(INDEX(InitiativesTable[Entry basis],MATCH($B29,InitiativesTable[Initiative ID],0))&amp;"",""))</x:f>
      </x:c>
      <x:c r="AD29" s="118" t="str">
        <x:f>IF($B29="","",IFERROR(INDEX(InitiativesTable[Delivery model],MATCH($B29,InitiativesTable[Initiative ID],0))&amp;"",""))</x:f>
      </x:c>
      <x:c r="AE29" s="118" t="str">
        <x:f>IF($B29="","",IFERROR(INDEX(InitiativesTable[Detailed plan owner],MATCH($B29,InitiativesTable[Initiative ID],0))&amp;"",""))</x:f>
      </x:c>
      <x:c r="AF29" s="118" t="str">
        <x:f>IF($B29="","",IFERROR(INDEX(InitiativesTable[Budget / cost owner],MATCH($B29,InitiativesTable[Initiative ID],0))&amp;"",""))</x:f>
      </x:c>
      <x:c r="AG29" s="118" t="str">
        <x:f>IF($B29="","",IFERROR(INDEX(InitiativesTable[Digital financial reporting basis],MATCH($B29,InitiativesTable[Initiative ID],0))&amp;"",""))</x:f>
      </x:c>
    </x:row>
    <x:row r="30" ht="20.049999237060547" customHeight="1">
      <x:c r="A30" s="121" t="str">
        <x:f t="shared" ca="1" si="0">IF($B30="","",TODAY())</x:f>
      </x:c>
      <x:c r="B30" s="6" t="str" cm="1">
        <x:f t="array" ref="B30">IFERROR(IF(INDEX(InitiativesTable[Initiative ID],26)="","",INDEX(InitiativesTable[Initiative ID],26)),"")</x:f>
      </x:c>
      <x:c r="C30" s="6" t="str">
        <x:f>IF($B30="","",IFERROR(INDEX(InitiativesTable[Initiative title],MATCH($B30,InitiativesTable[Initiative ID],0))&amp;"",""))</x:f>
      </x:c>
      <x:c r="D30" s="6" t="str">
        <x:f>IF($B30="","",IFERROR(INDEX(InitiativesTable[Lifecycle Status],MATCH($B30,InitiativesTable[Initiative ID],0))&amp;"",""))</x:f>
      </x:c>
      <x:c r="E30" s="6" t="str">
        <x:f>IF($B30="","",IFERROR(INDEX(InitiativesTable[Health],MATCH($B30,InitiativesTable[Initiative ID],0))&amp;"",""))</x:f>
      </x:c>
      <x:c r="F30" s="123" t="str">
        <x:f>IF($B30="","",IF(OR(COUNTIFS(PEP!$B$5:$B$204,$B30,PEP!$C$5:$C$204,"Initiative")&lt;&gt;1,COUNTIFS(PEP!$B$5:$B$204,$B30,PEP!$C$5:$C$204,"Activity")+COUNTIFS(PEP!$B$5:$B$204,$B30,PEP!$C$5:$C$204,"Variation")=0,COUNTIFS(PEP!$B$5:$B$204,$B30,PEP!$C$5:$C$204,"Activity")+COUNTIFS(PEP!$B$5:$B$204,$B30,PEP!$C$5:$C$204,"Variation")&lt;&gt;COUNTIFS(PEP!$B$5:$B$204,$B30,PEP!$C$5:$C$204,"Activity",PEP!$P$5:$P$204,"OK")+COUNTIFS(PEP!$B$5:$B$204,$B30,PEP!$C$5:$C$204,"Variation",PEP!$P$5:$P$204,"OK")),"",100*SUMIFS(PEP!$K$5:$K$204,PEP!$B$5:$B$204,$B30,PEP!$C$5:$C$204,"Initiative")))</x:f>
      </x:c>
      <x:c r="G30" s="123" t="str">
        <x:f>IF($B30="","",IF(OR(COUNTIFS(PEP!$B$5:$B$204,$B30,PEP!$C$5:$C$204,"Initiative")&lt;&gt;1,COUNTIFS(PEP!$B$5:$B$204,$B30,PEP!$C$5:$C$204,"Activity")+COUNTIFS(PEP!$B$5:$B$204,$B30,PEP!$C$5:$C$204,"Variation")=0,COUNTIFS(PEP!$B$5:$B$204,$B30,PEP!$C$5:$C$204,"Activity")+COUNTIFS(PEP!$B$5:$B$204,$B30,PEP!$C$5:$C$204,"Variation")&lt;&gt;COUNTIFS(PEP!$B$5:$B$204,$B30,PEP!$C$5:$C$204,"Activity",PEP!$P$5:$P$204,"OK")+COUNTIFS(PEP!$B$5:$B$204,$B30,PEP!$C$5:$C$204,"Variation",PEP!$P$5:$P$204,"OK")),"",100*SUMIFS(PEP!$L$5:$L$204,PEP!$B$5:$B$204,$B30,PEP!$C$5:$C$204,"Initiative")))</x:f>
      </x:c>
      <x:c r="H30" s="123" t="str">
        <x:f t="shared" si="6">IF(OR($F30="",$G30=""),"",$G30-$F30)</x:f>
      </x:c>
      <x:c r="I30" s="121" t="str">
        <x:f>IF($B30="","",IFERROR(IF(INDEX(InitiativesTable[Baseline finish],MATCH($B30,InitiativesTable[Initiative ID],0))=0,"",INDEX(InitiativesTable[Baseline finish],MATCH($B30,InitiativesTable[Initiative ID],0))),""))</x:f>
      </x:c>
      <x:c r="J30" s="121" t="str">
        <x:f>IF($B30="","",IFERROR(IF(INDEX(InitiativesTable[Forecast finish],MATCH($B30,InitiativesTable[Initiative ID],0))=0,"",INDEX(InitiativesTable[Forecast finish],MATCH($B30,InitiativesTable[Initiative ID],0))),""))</x:f>
      </x:c>
      <x:c r="K30" s="6" t="str">
        <x:f>IF($B30="","",COUNTIFS(PEP!$B$5:$B$204,$B30,PEP!$C$5:$C$204,"Activity",PEP!$N$5:$N$204,"Late")+COUNTIFS(PEP!$B$5:$B$204,$B30,PEP!$C$5:$C$204,"Variation",PEP!$N$5:$N$204,"Late"))</x:f>
      </x:c>
      <x:c r="L30" s="6" t="str">
        <x:f>IF($B30="","",COUNTIFS('CONTROL LOG'!$B$5:$B$204,$B30,'CONTROL LOG'!$H$5:$H$204,"&lt;&gt;",'CONTROL LOG'!$H$5:$H$204,"&lt;&gt;Closed",'CONTROL LOG'!$H$5:$H$204,"&lt;&gt;Superseded"))</x:f>
      </x:c>
      <x:c r="M30" s="6" t="str">
        <x:f>IF($B30="","",COUNTIFS(PEP!$B$5:$B$204,$B30,PEP!$P$5:$P$204,"&lt;&gt;OK",PEP!$P$5:$P$204,"&lt;&gt;"))</x:f>
      </x:c>
      <x:c r="N30" s="6" t="str">
        <x:f>IF($B30="","",IFERROR(INDEX(InitiativesTable[Proposed Status / Health change],MATCH($B30,InitiativesTable[Initiative ID],0))&amp;"",""))</x:f>
      </x:c>
      <x:c r="O30" s="6" t="str">
        <x:f>IF($B30="","",IFERROR(INDEX(InitiativesTable[Digital Lead confirmation],MATCH($B30,InitiativesTable[Initiative ID],0))&amp;"",""))</x:f>
      </x:c>
      <x:c r="P30" s="125" t="str">
        <x:f>IF($B30="","",IF(COUNTIFS(COST!$A$5:$A$104,$B30,COST!$D$5:$D$104,"Labour")=0,"",SUMIFS(COST!$E$5:$E$104,COST!$A$5:$A$104,$B30,COST!$D$5:$D$104,"Labour")))</x:f>
      </x:c>
      <x:c r="Q30" s="125" t="str">
        <x:f>IF($B30="","",IF(COUNTIFS(COST!$A$5:$A$104,$B30,COST!$D$5:$D$104,"Labour")=0,"",SUMIFS(COST!$F$5:$F$104,COST!$A$5:$A$104,$B30,COST!$D$5:$D$104,"Labour")))</x:f>
      </x:c>
      <x:c r="R30" s="125" t="str">
        <x:f t="shared" si="1">IF($B30="","",IF(AND($P30="",$Q30=""),"",N($P30)+N($Q30)))</x:f>
      </x:c>
      <x:c r="S30" s="125" t="str">
        <x:f>IF($B30="","",IF(COUNTIFS(COST!$A$5:$A$104,$B30,COST!$D$5:$D$104,"Labour")=0,"",SUMIFS(COST!$T$5:$T$104,COST!$A$5:$A$104,$B30,COST!$D$5:$D$104,"Labour")))</x:f>
      </x:c>
      <x:c r="T30" s="125" t="str">
        <x:f t="shared" si="2">IF(OR($B30="",$R30="",$S30=""),"",$R30-$S30)</x:f>
      </x:c>
      <x:c r="U30" s="7" t="str">
        <x:f t="shared" si="3">IF(OR($B30="",$R30="",$R30=0,$S30=""),"",$S30/$R30)</x:f>
      </x:c>
      <x:c r="V30" s="125" t="str">
        <x:f>IF($B30="","",IF(COUNTIFS(COST!$A$5:$A$104,$B30,COST!$D$5:$D$104,"Fees")=0,"",SUMIFS(COST!$E$5:$E$104,COST!$A$5:$A$104,$B30,COST!$D$5:$D$104,"Fees")))</x:f>
      </x:c>
      <x:c r="W30" s="125" t="str">
        <x:f>IF($B30="","",IF(COUNTIFS(COST!$A$5:$A$104,$B30,COST!$D$5:$D$104,"Fees")=0,"",SUMIFS(COST!$F$5:$F$104,COST!$A$5:$A$104,$B30,COST!$D$5:$D$104,"Fees")))</x:f>
      </x:c>
      <x:c r="X30" s="125" t="str">
        <x:f t="shared" si="4">IF($B30="","",IF(AND($V30="",$W30=""),"",N($V30)+N($W30)))</x:f>
      </x:c>
      <x:c r="Y30" s="125" t="str">
        <x:f>IF($B30="","",IF(COUNTIFS(COST!$A$5:$A$104,$B30,COST!$D$5:$D$104,"Fees")=0,"",SUMIFS(COST!$T$5:$T$104,COST!$A$5:$A$104,$B30,COST!$D$5:$D$104,"Fees")))</x:f>
      </x:c>
      <x:c r="Z30" s="125" t="str">
        <x:f t="shared" si="5">IF(OR($B30="",$X30="",$Y30=""),"",$X30-$Y30)</x:f>
      </x:c>
      <x:c r="AA30" s="127" t="str">
        <x:f t="shared" si="7">IFERROR(IF(OR($B30="",$U30="",$U30=0,$G30=""),"",($G30/100)/$U30),"")</x:f>
      </x:c>
      <x:c r="AB30" s="118" t="str">
        <x:f>IF($B30="","",IFERROR(INDEX(InitiativesTable[Delivery group],MATCH($B30,InitiativesTable[Initiative ID],0))&amp;"",""))</x:f>
      </x:c>
      <x:c r="AC30" s="118" t="str">
        <x:f>IF($B30="","",IFERROR(INDEX(InitiativesTable[Entry basis],MATCH($B30,InitiativesTable[Initiative ID],0))&amp;"",""))</x:f>
      </x:c>
      <x:c r="AD30" s="118" t="str">
        <x:f>IF($B30="","",IFERROR(INDEX(InitiativesTable[Delivery model],MATCH($B30,InitiativesTable[Initiative ID],0))&amp;"",""))</x:f>
      </x:c>
      <x:c r="AE30" s="118" t="str">
        <x:f>IF($B30="","",IFERROR(INDEX(InitiativesTable[Detailed plan owner],MATCH($B30,InitiativesTable[Initiative ID],0))&amp;"",""))</x:f>
      </x:c>
      <x:c r="AF30" s="118" t="str">
        <x:f>IF($B30="","",IFERROR(INDEX(InitiativesTable[Budget / cost owner],MATCH($B30,InitiativesTable[Initiative ID],0))&amp;"",""))</x:f>
      </x:c>
      <x:c r="AG30" s="118" t="str">
        <x:f>IF($B30="","",IFERROR(INDEX(InitiativesTable[Digital financial reporting basis],MATCH($B30,InitiativesTable[Initiative ID],0))&amp;"",""))</x:f>
      </x:c>
    </x:row>
    <x:row r="31" ht="20.049999237060547" customHeight="1">
      <x:c r="A31" s="121" t="str">
        <x:f t="shared" ca="1" si="0">IF($B31="","",TODAY())</x:f>
      </x:c>
      <x:c r="B31" s="6" t="str" cm="1">
        <x:f t="array" ref="B31">IFERROR(IF(INDEX(InitiativesTable[Initiative ID],27)="","",INDEX(InitiativesTable[Initiative ID],27)),"")</x:f>
      </x:c>
      <x:c r="C31" s="6" t="str">
        <x:f>IF($B31="","",IFERROR(INDEX(InitiativesTable[Initiative title],MATCH($B31,InitiativesTable[Initiative ID],0))&amp;"",""))</x:f>
      </x:c>
      <x:c r="D31" s="6" t="str">
        <x:f>IF($B31="","",IFERROR(INDEX(InitiativesTable[Lifecycle Status],MATCH($B31,InitiativesTable[Initiative ID],0))&amp;"",""))</x:f>
      </x:c>
      <x:c r="E31" s="6" t="str">
        <x:f>IF($B31="","",IFERROR(INDEX(InitiativesTable[Health],MATCH($B31,InitiativesTable[Initiative ID],0))&amp;"",""))</x:f>
      </x:c>
      <x:c r="F31" s="123" t="str">
        <x:f>IF($B31="","",IF(OR(COUNTIFS(PEP!$B$5:$B$204,$B31,PEP!$C$5:$C$204,"Initiative")&lt;&gt;1,COUNTIFS(PEP!$B$5:$B$204,$B31,PEP!$C$5:$C$204,"Activity")+COUNTIFS(PEP!$B$5:$B$204,$B31,PEP!$C$5:$C$204,"Variation")=0,COUNTIFS(PEP!$B$5:$B$204,$B31,PEP!$C$5:$C$204,"Activity")+COUNTIFS(PEP!$B$5:$B$204,$B31,PEP!$C$5:$C$204,"Variation")&lt;&gt;COUNTIFS(PEP!$B$5:$B$204,$B31,PEP!$C$5:$C$204,"Activity",PEP!$P$5:$P$204,"OK")+COUNTIFS(PEP!$B$5:$B$204,$B31,PEP!$C$5:$C$204,"Variation",PEP!$P$5:$P$204,"OK")),"",100*SUMIFS(PEP!$K$5:$K$204,PEP!$B$5:$B$204,$B31,PEP!$C$5:$C$204,"Initiative")))</x:f>
      </x:c>
      <x:c r="G31" s="123" t="str">
        <x:f>IF($B31="","",IF(OR(COUNTIFS(PEP!$B$5:$B$204,$B31,PEP!$C$5:$C$204,"Initiative")&lt;&gt;1,COUNTIFS(PEP!$B$5:$B$204,$B31,PEP!$C$5:$C$204,"Activity")+COUNTIFS(PEP!$B$5:$B$204,$B31,PEP!$C$5:$C$204,"Variation")=0,COUNTIFS(PEP!$B$5:$B$204,$B31,PEP!$C$5:$C$204,"Activity")+COUNTIFS(PEP!$B$5:$B$204,$B31,PEP!$C$5:$C$204,"Variation")&lt;&gt;COUNTIFS(PEP!$B$5:$B$204,$B31,PEP!$C$5:$C$204,"Activity",PEP!$P$5:$P$204,"OK")+COUNTIFS(PEP!$B$5:$B$204,$B31,PEP!$C$5:$C$204,"Variation",PEP!$P$5:$P$204,"OK")),"",100*SUMIFS(PEP!$L$5:$L$204,PEP!$B$5:$B$204,$B31,PEP!$C$5:$C$204,"Initiative")))</x:f>
      </x:c>
      <x:c r="H31" s="123" t="str">
        <x:f t="shared" si="6">IF(OR($F31="",$G31=""),"",$G31-$F31)</x:f>
      </x:c>
      <x:c r="I31" s="121" t="str">
        <x:f>IF($B31="","",IFERROR(IF(INDEX(InitiativesTable[Baseline finish],MATCH($B31,InitiativesTable[Initiative ID],0))=0,"",INDEX(InitiativesTable[Baseline finish],MATCH($B31,InitiativesTable[Initiative ID],0))),""))</x:f>
      </x:c>
      <x:c r="J31" s="121" t="str">
        <x:f>IF($B31="","",IFERROR(IF(INDEX(InitiativesTable[Forecast finish],MATCH($B31,InitiativesTable[Initiative ID],0))=0,"",INDEX(InitiativesTable[Forecast finish],MATCH($B31,InitiativesTable[Initiative ID],0))),""))</x:f>
      </x:c>
      <x:c r="K31" s="6" t="str">
        <x:f>IF($B31="","",COUNTIFS(PEP!$B$5:$B$204,$B31,PEP!$C$5:$C$204,"Activity",PEP!$N$5:$N$204,"Late")+COUNTIFS(PEP!$B$5:$B$204,$B31,PEP!$C$5:$C$204,"Variation",PEP!$N$5:$N$204,"Late"))</x:f>
      </x:c>
      <x:c r="L31" s="6" t="str">
        <x:f>IF($B31="","",COUNTIFS('CONTROL LOG'!$B$5:$B$204,$B31,'CONTROL LOG'!$H$5:$H$204,"&lt;&gt;",'CONTROL LOG'!$H$5:$H$204,"&lt;&gt;Closed",'CONTROL LOG'!$H$5:$H$204,"&lt;&gt;Superseded"))</x:f>
      </x:c>
      <x:c r="M31" s="6" t="str">
        <x:f>IF($B31="","",COUNTIFS(PEP!$B$5:$B$204,$B31,PEP!$P$5:$P$204,"&lt;&gt;OK",PEP!$P$5:$P$204,"&lt;&gt;"))</x:f>
      </x:c>
      <x:c r="N31" s="6" t="str">
        <x:f>IF($B31="","",IFERROR(INDEX(InitiativesTable[Proposed Status / Health change],MATCH($B31,InitiativesTable[Initiative ID],0))&amp;"",""))</x:f>
      </x:c>
      <x:c r="O31" s="6" t="str">
        <x:f>IF($B31="","",IFERROR(INDEX(InitiativesTable[Digital Lead confirmation],MATCH($B31,InitiativesTable[Initiative ID],0))&amp;"",""))</x:f>
      </x:c>
      <x:c r="P31" s="125" t="str">
        <x:f>IF($B31="","",IF(COUNTIFS(COST!$A$5:$A$104,$B31,COST!$D$5:$D$104,"Labour")=0,"",SUMIFS(COST!$E$5:$E$104,COST!$A$5:$A$104,$B31,COST!$D$5:$D$104,"Labour")))</x:f>
      </x:c>
      <x:c r="Q31" s="125" t="str">
        <x:f>IF($B31="","",IF(COUNTIFS(COST!$A$5:$A$104,$B31,COST!$D$5:$D$104,"Labour")=0,"",SUMIFS(COST!$F$5:$F$104,COST!$A$5:$A$104,$B31,COST!$D$5:$D$104,"Labour")))</x:f>
      </x:c>
      <x:c r="R31" s="125" t="str">
        <x:f t="shared" si="1">IF($B31="","",IF(AND($P31="",$Q31=""),"",N($P31)+N($Q31)))</x:f>
      </x:c>
      <x:c r="S31" s="125" t="str">
        <x:f>IF($B31="","",IF(COUNTIFS(COST!$A$5:$A$104,$B31,COST!$D$5:$D$104,"Labour")=0,"",SUMIFS(COST!$T$5:$T$104,COST!$A$5:$A$104,$B31,COST!$D$5:$D$104,"Labour")))</x:f>
      </x:c>
      <x:c r="T31" s="125" t="str">
        <x:f t="shared" si="2">IF(OR($B31="",$R31="",$S31=""),"",$R31-$S31)</x:f>
      </x:c>
      <x:c r="U31" s="7" t="str">
        <x:f t="shared" si="3">IF(OR($B31="",$R31="",$R31=0,$S31=""),"",$S31/$R31)</x:f>
      </x:c>
      <x:c r="V31" s="125" t="str">
        <x:f>IF($B31="","",IF(COUNTIFS(COST!$A$5:$A$104,$B31,COST!$D$5:$D$104,"Fees")=0,"",SUMIFS(COST!$E$5:$E$104,COST!$A$5:$A$104,$B31,COST!$D$5:$D$104,"Fees")))</x:f>
      </x:c>
      <x:c r="W31" s="125" t="str">
        <x:f>IF($B31="","",IF(COUNTIFS(COST!$A$5:$A$104,$B31,COST!$D$5:$D$104,"Fees")=0,"",SUMIFS(COST!$F$5:$F$104,COST!$A$5:$A$104,$B31,COST!$D$5:$D$104,"Fees")))</x:f>
      </x:c>
      <x:c r="X31" s="125" t="str">
        <x:f t="shared" si="4">IF($B31="","",IF(AND($V31="",$W31=""),"",N($V31)+N($W31)))</x:f>
      </x:c>
      <x:c r="Y31" s="125" t="str">
        <x:f>IF($B31="","",IF(COUNTIFS(COST!$A$5:$A$104,$B31,COST!$D$5:$D$104,"Fees")=0,"",SUMIFS(COST!$T$5:$T$104,COST!$A$5:$A$104,$B31,COST!$D$5:$D$104,"Fees")))</x:f>
      </x:c>
      <x:c r="Z31" s="125" t="str">
        <x:f t="shared" si="5">IF(OR($B31="",$X31="",$Y31=""),"",$X31-$Y31)</x:f>
      </x:c>
      <x:c r="AA31" s="127" t="str">
        <x:f t="shared" si="7">IFERROR(IF(OR($B31="",$U31="",$U31=0,$G31=""),"",($G31/100)/$U31),"")</x:f>
      </x:c>
      <x:c r="AB31" s="118" t="str">
        <x:f>IF($B31="","",IFERROR(INDEX(InitiativesTable[Delivery group],MATCH($B31,InitiativesTable[Initiative ID],0))&amp;"",""))</x:f>
      </x:c>
      <x:c r="AC31" s="118" t="str">
        <x:f>IF($B31="","",IFERROR(INDEX(InitiativesTable[Entry basis],MATCH($B31,InitiativesTable[Initiative ID],0))&amp;"",""))</x:f>
      </x:c>
      <x:c r="AD31" s="118" t="str">
        <x:f>IF($B31="","",IFERROR(INDEX(InitiativesTable[Delivery model],MATCH($B31,InitiativesTable[Initiative ID],0))&amp;"",""))</x:f>
      </x:c>
      <x:c r="AE31" s="118" t="str">
        <x:f>IF($B31="","",IFERROR(INDEX(InitiativesTable[Detailed plan owner],MATCH($B31,InitiativesTable[Initiative ID],0))&amp;"",""))</x:f>
      </x:c>
      <x:c r="AF31" s="118" t="str">
        <x:f>IF($B31="","",IFERROR(INDEX(InitiativesTable[Budget / cost owner],MATCH($B31,InitiativesTable[Initiative ID],0))&amp;"",""))</x:f>
      </x:c>
      <x:c r="AG31" s="118" t="str">
        <x:f>IF($B31="","",IFERROR(INDEX(InitiativesTable[Digital financial reporting basis],MATCH($B31,InitiativesTable[Initiative ID],0))&amp;"",""))</x:f>
      </x:c>
    </x:row>
    <x:row r="32" ht="20.049999237060547" customHeight="1">
      <x:c r="A32" s="121" t="str">
        <x:f t="shared" ca="1" si="0">IF($B32="","",TODAY())</x:f>
      </x:c>
      <x:c r="B32" s="6" t="str" cm="1">
        <x:f t="array" ref="B32">IFERROR(IF(INDEX(InitiativesTable[Initiative ID],28)="","",INDEX(InitiativesTable[Initiative ID],28)),"")</x:f>
      </x:c>
      <x:c r="C32" s="6" t="str">
        <x:f>IF($B32="","",IFERROR(INDEX(InitiativesTable[Initiative title],MATCH($B32,InitiativesTable[Initiative ID],0))&amp;"",""))</x:f>
      </x:c>
      <x:c r="D32" s="6" t="str">
        <x:f>IF($B32="","",IFERROR(INDEX(InitiativesTable[Lifecycle Status],MATCH($B32,InitiativesTable[Initiative ID],0))&amp;"",""))</x:f>
      </x:c>
      <x:c r="E32" s="6" t="str">
        <x:f>IF($B32="","",IFERROR(INDEX(InitiativesTable[Health],MATCH($B32,InitiativesTable[Initiative ID],0))&amp;"",""))</x:f>
      </x:c>
      <x:c r="F32" s="123" t="str">
        <x:f>IF($B32="","",IF(OR(COUNTIFS(PEP!$B$5:$B$204,$B32,PEP!$C$5:$C$204,"Initiative")&lt;&gt;1,COUNTIFS(PEP!$B$5:$B$204,$B32,PEP!$C$5:$C$204,"Activity")+COUNTIFS(PEP!$B$5:$B$204,$B32,PEP!$C$5:$C$204,"Variation")=0,COUNTIFS(PEP!$B$5:$B$204,$B32,PEP!$C$5:$C$204,"Activity")+COUNTIFS(PEP!$B$5:$B$204,$B32,PEP!$C$5:$C$204,"Variation")&lt;&gt;COUNTIFS(PEP!$B$5:$B$204,$B32,PEP!$C$5:$C$204,"Activity",PEP!$P$5:$P$204,"OK")+COUNTIFS(PEP!$B$5:$B$204,$B32,PEP!$C$5:$C$204,"Variation",PEP!$P$5:$P$204,"OK")),"",100*SUMIFS(PEP!$K$5:$K$204,PEP!$B$5:$B$204,$B32,PEP!$C$5:$C$204,"Initiative")))</x:f>
      </x:c>
      <x:c r="G32" s="123" t="str">
        <x:f>IF($B32="","",IF(OR(COUNTIFS(PEP!$B$5:$B$204,$B32,PEP!$C$5:$C$204,"Initiative")&lt;&gt;1,COUNTIFS(PEP!$B$5:$B$204,$B32,PEP!$C$5:$C$204,"Activity")+COUNTIFS(PEP!$B$5:$B$204,$B32,PEP!$C$5:$C$204,"Variation")=0,COUNTIFS(PEP!$B$5:$B$204,$B32,PEP!$C$5:$C$204,"Activity")+COUNTIFS(PEP!$B$5:$B$204,$B32,PEP!$C$5:$C$204,"Variation")&lt;&gt;COUNTIFS(PEP!$B$5:$B$204,$B32,PEP!$C$5:$C$204,"Activity",PEP!$P$5:$P$204,"OK")+COUNTIFS(PEP!$B$5:$B$204,$B32,PEP!$C$5:$C$204,"Variation",PEP!$P$5:$P$204,"OK")),"",100*SUMIFS(PEP!$L$5:$L$204,PEP!$B$5:$B$204,$B32,PEP!$C$5:$C$204,"Initiative")))</x:f>
      </x:c>
      <x:c r="H32" s="123" t="str">
        <x:f t="shared" si="6">IF(OR($F32="",$G32=""),"",$G32-$F32)</x:f>
      </x:c>
      <x:c r="I32" s="121" t="str">
        <x:f>IF($B32="","",IFERROR(IF(INDEX(InitiativesTable[Baseline finish],MATCH($B32,InitiativesTable[Initiative ID],0))=0,"",INDEX(InitiativesTable[Baseline finish],MATCH($B32,InitiativesTable[Initiative ID],0))),""))</x:f>
      </x:c>
      <x:c r="J32" s="121" t="str">
        <x:f>IF($B32="","",IFERROR(IF(INDEX(InitiativesTable[Forecast finish],MATCH($B32,InitiativesTable[Initiative ID],0))=0,"",INDEX(InitiativesTable[Forecast finish],MATCH($B32,InitiativesTable[Initiative ID],0))),""))</x:f>
      </x:c>
      <x:c r="K32" s="6" t="str">
        <x:f>IF($B32="","",COUNTIFS(PEP!$B$5:$B$204,$B32,PEP!$C$5:$C$204,"Activity",PEP!$N$5:$N$204,"Late")+COUNTIFS(PEP!$B$5:$B$204,$B32,PEP!$C$5:$C$204,"Variation",PEP!$N$5:$N$204,"Late"))</x:f>
      </x:c>
      <x:c r="L32" s="6" t="str">
        <x:f>IF($B32="","",COUNTIFS('CONTROL LOG'!$B$5:$B$204,$B32,'CONTROL LOG'!$H$5:$H$204,"&lt;&gt;",'CONTROL LOG'!$H$5:$H$204,"&lt;&gt;Closed",'CONTROL LOG'!$H$5:$H$204,"&lt;&gt;Superseded"))</x:f>
      </x:c>
      <x:c r="M32" s="6" t="str">
        <x:f>IF($B32="","",COUNTIFS(PEP!$B$5:$B$204,$B32,PEP!$P$5:$P$204,"&lt;&gt;OK",PEP!$P$5:$P$204,"&lt;&gt;"))</x:f>
      </x:c>
      <x:c r="N32" s="6" t="str">
        <x:f>IF($B32="","",IFERROR(INDEX(InitiativesTable[Proposed Status / Health change],MATCH($B32,InitiativesTable[Initiative ID],0))&amp;"",""))</x:f>
      </x:c>
      <x:c r="O32" s="6" t="str">
        <x:f>IF($B32="","",IFERROR(INDEX(InitiativesTable[Digital Lead confirmation],MATCH($B32,InitiativesTable[Initiative ID],0))&amp;"",""))</x:f>
      </x:c>
      <x:c r="P32" s="125" t="str">
        <x:f>IF($B32="","",IF(COUNTIFS(COST!$A$5:$A$104,$B32,COST!$D$5:$D$104,"Labour")=0,"",SUMIFS(COST!$E$5:$E$104,COST!$A$5:$A$104,$B32,COST!$D$5:$D$104,"Labour")))</x:f>
      </x:c>
      <x:c r="Q32" s="125" t="str">
        <x:f>IF($B32="","",IF(COUNTIFS(COST!$A$5:$A$104,$B32,COST!$D$5:$D$104,"Labour")=0,"",SUMIFS(COST!$F$5:$F$104,COST!$A$5:$A$104,$B32,COST!$D$5:$D$104,"Labour")))</x:f>
      </x:c>
      <x:c r="R32" s="125" t="str">
        <x:f t="shared" si="1">IF($B32="","",IF(AND($P32="",$Q32=""),"",N($P32)+N($Q32)))</x:f>
      </x:c>
      <x:c r="S32" s="125" t="str">
        <x:f>IF($B32="","",IF(COUNTIFS(COST!$A$5:$A$104,$B32,COST!$D$5:$D$104,"Labour")=0,"",SUMIFS(COST!$T$5:$T$104,COST!$A$5:$A$104,$B32,COST!$D$5:$D$104,"Labour")))</x:f>
      </x:c>
      <x:c r="T32" s="125" t="str">
        <x:f t="shared" si="2">IF(OR($B32="",$R32="",$S32=""),"",$R32-$S32)</x:f>
      </x:c>
      <x:c r="U32" s="7" t="str">
        <x:f t="shared" si="3">IF(OR($B32="",$R32="",$R32=0,$S32=""),"",$S32/$R32)</x:f>
      </x:c>
      <x:c r="V32" s="125" t="str">
        <x:f>IF($B32="","",IF(COUNTIFS(COST!$A$5:$A$104,$B32,COST!$D$5:$D$104,"Fees")=0,"",SUMIFS(COST!$E$5:$E$104,COST!$A$5:$A$104,$B32,COST!$D$5:$D$104,"Fees")))</x:f>
      </x:c>
      <x:c r="W32" s="125" t="str">
        <x:f>IF($B32="","",IF(COUNTIFS(COST!$A$5:$A$104,$B32,COST!$D$5:$D$104,"Fees")=0,"",SUMIFS(COST!$F$5:$F$104,COST!$A$5:$A$104,$B32,COST!$D$5:$D$104,"Fees")))</x:f>
      </x:c>
      <x:c r="X32" s="125" t="str">
        <x:f t="shared" si="4">IF($B32="","",IF(AND($V32="",$W32=""),"",N($V32)+N($W32)))</x:f>
      </x:c>
      <x:c r="Y32" s="125" t="str">
        <x:f>IF($B32="","",IF(COUNTIFS(COST!$A$5:$A$104,$B32,COST!$D$5:$D$104,"Fees")=0,"",SUMIFS(COST!$T$5:$T$104,COST!$A$5:$A$104,$B32,COST!$D$5:$D$104,"Fees")))</x:f>
      </x:c>
      <x:c r="Z32" s="125" t="str">
        <x:f t="shared" si="5">IF(OR($B32="",$X32="",$Y32=""),"",$X32-$Y32)</x:f>
      </x:c>
      <x:c r="AA32" s="127" t="str">
        <x:f t="shared" si="7">IFERROR(IF(OR($B32="",$U32="",$U32=0,$G32=""),"",($G32/100)/$U32),"")</x:f>
      </x:c>
      <x:c r="AB32" s="118" t="str">
        <x:f>IF($B32="","",IFERROR(INDEX(InitiativesTable[Delivery group],MATCH($B32,InitiativesTable[Initiative ID],0))&amp;"",""))</x:f>
      </x:c>
      <x:c r="AC32" s="118" t="str">
        <x:f>IF($B32="","",IFERROR(INDEX(InitiativesTable[Entry basis],MATCH($B32,InitiativesTable[Initiative ID],0))&amp;"",""))</x:f>
      </x:c>
      <x:c r="AD32" s="118" t="str">
        <x:f>IF($B32="","",IFERROR(INDEX(InitiativesTable[Delivery model],MATCH($B32,InitiativesTable[Initiative ID],0))&amp;"",""))</x:f>
      </x:c>
      <x:c r="AE32" s="118" t="str">
        <x:f>IF($B32="","",IFERROR(INDEX(InitiativesTable[Detailed plan owner],MATCH($B32,InitiativesTable[Initiative ID],0))&amp;"",""))</x:f>
      </x:c>
      <x:c r="AF32" s="118" t="str">
        <x:f>IF($B32="","",IFERROR(INDEX(InitiativesTable[Budget / cost owner],MATCH($B32,InitiativesTable[Initiative ID],0))&amp;"",""))</x:f>
      </x:c>
      <x:c r="AG32" s="118" t="str">
        <x:f>IF($B32="","",IFERROR(INDEX(InitiativesTable[Digital financial reporting basis],MATCH($B32,InitiativesTable[Initiative ID],0))&amp;"",""))</x:f>
      </x:c>
    </x:row>
    <x:row r="33" ht="20.049999237060547" customHeight="1">
      <x:c r="A33" s="121" t="str">
        <x:f t="shared" ca="1" si="0">IF($B33="","",TODAY())</x:f>
      </x:c>
      <x:c r="B33" s="6" t="str" cm="1">
        <x:f t="array" ref="B33">IFERROR(IF(INDEX(InitiativesTable[Initiative ID],29)="","",INDEX(InitiativesTable[Initiative ID],29)),"")</x:f>
      </x:c>
      <x:c r="C33" s="6" t="str">
        <x:f>IF($B33="","",IFERROR(INDEX(InitiativesTable[Initiative title],MATCH($B33,InitiativesTable[Initiative ID],0))&amp;"",""))</x:f>
      </x:c>
      <x:c r="D33" s="6" t="str">
        <x:f>IF($B33="","",IFERROR(INDEX(InitiativesTable[Lifecycle Status],MATCH($B33,InitiativesTable[Initiative ID],0))&amp;"",""))</x:f>
      </x:c>
      <x:c r="E33" s="6" t="str">
        <x:f>IF($B33="","",IFERROR(INDEX(InitiativesTable[Health],MATCH($B33,InitiativesTable[Initiative ID],0))&amp;"",""))</x:f>
      </x:c>
      <x:c r="F33" s="123" t="str">
        <x:f>IF($B33="","",IF(OR(COUNTIFS(PEP!$B$5:$B$204,$B33,PEP!$C$5:$C$204,"Initiative")&lt;&gt;1,COUNTIFS(PEP!$B$5:$B$204,$B33,PEP!$C$5:$C$204,"Activity")+COUNTIFS(PEP!$B$5:$B$204,$B33,PEP!$C$5:$C$204,"Variation")=0,COUNTIFS(PEP!$B$5:$B$204,$B33,PEP!$C$5:$C$204,"Activity")+COUNTIFS(PEP!$B$5:$B$204,$B33,PEP!$C$5:$C$204,"Variation")&lt;&gt;COUNTIFS(PEP!$B$5:$B$204,$B33,PEP!$C$5:$C$204,"Activity",PEP!$P$5:$P$204,"OK")+COUNTIFS(PEP!$B$5:$B$204,$B33,PEP!$C$5:$C$204,"Variation",PEP!$P$5:$P$204,"OK")),"",100*SUMIFS(PEP!$K$5:$K$204,PEP!$B$5:$B$204,$B33,PEP!$C$5:$C$204,"Initiative")))</x:f>
      </x:c>
      <x:c r="G33" s="123" t="str">
        <x:f>IF($B33="","",IF(OR(COUNTIFS(PEP!$B$5:$B$204,$B33,PEP!$C$5:$C$204,"Initiative")&lt;&gt;1,COUNTIFS(PEP!$B$5:$B$204,$B33,PEP!$C$5:$C$204,"Activity")+COUNTIFS(PEP!$B$5:$B$204,$B33,PEP!$C$5:$C$204,"Variation")=0,COUNTIFS(PEP!$B$5:$B$204,$B33,PEP!$C$5:$C$204,"Activity")+COUNTIFS(PEP!$B$5:$B$204,$B33,PEP!$C$5:$C$204,"Variation")&lt;&gt;COUNTIFS(PEP!$B$5:$B$204,$B33,PEP!$C$5:$C$204,"Activity",PEP!$P$5:$P$204,"OK")+COUNTIFS(PEP!$B$5:$B$204,$B33,PEP!$C$5:$C$204,"Variation",PEP!$P$5:$P$204,"OK")),"",100*SUMIFS(PEP!$L$5:$L$204,PEP!$B$5:$B$204,$B33,PEP!$C$5:$C$204,"Initiative")))</x:f>
      </x:c>
      <x:c r="H33" s="123" t="str">
        <x:f t="shared" si="6">IF(OR($F33="",$G33=""),"",$G33-$F33)</x:f>
      </x:c>
      <x:c r="I33" s="121" t="str">
        <x:f>IF($B33="","",IFERROR(IF(INDEX(InitiativesTable[Baseline finish],MATCH($B33,InitiativesTable[Initiative ID],0))=0,"",INDEX(InitiativesTable[Baseline finish],MATCH($B33,InitiativesTable[Initiative ID],0))),""))</x:f>
      </x:c>
      <x:c r="J33" s="121" t="str">
        <x:f>IF($B33="","",IFERROR(IF(INDEX(InitiativesTable[Forecast finish],MATCH($B33,InitiativesTable[Initiative ID],0))=0,"",INDEX(InitiativesTable[Forecast finish],MATCH($B33,InitiativesTable[Initiative ID],0))),""))</x:f>
      </x:c>
      <x:c r="K33" s="6" t="str">
        <x:f>IF($B33="","",COUNTIFS(PEP!$B$5:$B$204,$B33,PEP!$C$5:$C$204,"Activity",PEP!$N$5:$N$204,"Late")+COUNTIFS(PEP!$B$5:$B$204,$B33,PEP!$C$5:$C$204,"Variation",PEP!$N$5:$N$204,"Late"))</x:f>
      </x:c>
      <x:c r="L33" s="6" t="str">
        <x:f>IF($B33="","",COUNTIFS('CONTROL LOG'!$B$5:$B$204,$B33,'CONTROL LOG'!$H$5:$H$204,"&lt;&gt;",'CONTROL LOG'!$H$5:$H$204,"&lt;&gt;Closed",'CONTROL LOG'!$H$5:$H$204,"&lt;&gt;Superseded"))</x:f>
      </x:c>
      <x:c r="M33" s="6" t="str">
        <x:f>IF($B33="","",COUNTIFS(PEP!$B$5:$B$204,$B33,PEP!$P$5:$P$204,"&lt;&gt;OK",PEP!$P$5:$P$204,"&lt;&gt;"))</x:f>
      </x:c>
      <x:c r="N33" s="6" t="str">
        <x:f>IF($B33="","",IFERROR(INDEX(InitiativesTable[Proposed Status / Health change],MATCH($B33,InitiativesTable[Initiative ID],0))&amp;"",""))</x:f>
      </x:c>
      <x:c r="O33" s="6" t="str">
        <x:f>IF($B33="","",IFERROR(INDEX(InitiativesTable[Digital Lead confirmation],MATCH($B33,InitiativesTable[Initiative ID],0))&amp;"",""))</x:f>
      </x:c>
      <x:c r="P33" s="125" t="str">
        <x:f>IF($B33="","",IF(COUNTIFS(COST!$A$5:$A$104,$B33,COST!$D$5:$D$104,"Labour")=0,"",SUMIFS(COST!$E$5:$E$104,COST!$A$5:$A$104,$B33,COST!$D$5:$D$104,"Labour")))</x:f>
      </x:c>
      <x:c r="Q33" s="125" t="str">
        <x:f>IF($B33="","",IF(COUNTIFS(COST!$A$5:$A$104,$B33,COST!$D$5:$D$104,"Labour")=0,"",SUMIFS(COST!$F$5:$F$104,COST!$A$5:$A$104,$B33,COST!$D$5:$D$104,"Labour")))</x:f>
      </x:c>
      <x:c r="R33" s="125" t="str">
        <x:f t="shared" si="1">IF($B33="","",IF(AND($P33="",$Q33=""),"",N($P33)+N($Q33)))</x:f>
      </x:c>
      <x:c r="S33" s="125" t="str">
        <x:f>IF($B33="","",IF(COUNTIFS(COST!$A$5:$A$104,$B33,COST!$D$5:$D$104,"Labour")=0,"",SUMIFS(COST!$T$5:$T$104,COST!$A$5:$A$104,$B33,COST!$D$5:$D$104,"Labour")))</x:f>
      </x:c>
      <x:c r="T33" s="125" t="str">
        <x:f t="shared" si="2">IF(OR($B33="",$R33="",$S33=""),"",$R33-$S33)</x:f>
      </x:c>
      <x:c r="U33" s="7" t="str">
        <x:f t="shared" si="3">IF(OR($B33="",$R33="",$R33=0,$S33=""),"",$S33/$R33)</x:f>
      </x:c>
      <x:c r="V33" s="125" t="str">
        <x:f>IF($B33="","",IF(COUNTIFS(COST!$A$5:$A$104,$B33,COST!$D$5:$D$104,"Fees")=0,"",SUMIFS(COST!$E$5:$E$104,COST!$A$5:$A$104,$B33,COST!$D$5:$D$104,"Fees")))</x:f>
      </x:c>
      <x:c r="W33" s="125" t="str">
        <x:f>IF($B33="","",IF(COUNTIFS(COST!$A$5:$A$104,$B33,COST!$D$5:$D$104,"Fees")=0,"",SUMIFS(COST!$F$5:$F$104,COST!$A$5:$A$104,$B33,COST!$D$5:$D$104,"Fees")))</x:f>
      </x:c>
      <x:c r="X33" s="125" t="str">
        <x:f t="shared" si="4">IF($B33="","",IF(AND($V33="",$W33=""),"",N($V33)+N($W33)))</x:f>
      </x:c>
      <x:c r="Y33" s="125" t="str">
        <x:f>IF($B33="","",IF(COUNTIFS(COST!$A$5:$A$104,$B33,COST!$D$5:$D$104,"Fees")=0,"",SUMIFS(COST!$T$5:$T$104,COST!$A$5:$A$104,$B33,COST!$D$5:$D$104,"Fees")))</x:f>
      </x:c>
      <x:c r="Z33" s="125" t="str">
        <x:f t="shared" si="5">IF(OR($B33="",$X33="",$Y33=""),"",$X33-$Y33)</x:f>
      </x:c>
      <x:c r="AA33" s="127" t="str">
        <x:f t="shared" si="7">IFERROR(IF(OR($B33="",$U33="",$U33=0,$G33=""),"",($G33/100)/$U33),"")</x:f>
      </x:c>
      <x:c r="AB33" s="118" t="str">
        <x:f>IF($B33="","",IFERROR(INDEX(InitiativesTable[Delivery group],MATCH($B33,InitiativesTable[Initiative ID],0))&amp;"",""))</x:f>
      </x:c>
      <x:c r="AC33" s="118" t="str">
        <x:f>IF($B33="","",IFERROR(INDEX(InitiativesTable[Entry basis],MATCH($B33,InitiativesTable[Initiative ID],0))&amp;"",""))</x:f>
      </x:c>
      <x:c r="AD33" s="118" t="str">
        <x:f>IF($B33="","",IFERROR(INDEX(InitiativesTable[Delivery model],MATCH($B33,InitiativesTable[Initiative ID],0))&amp;"",""))</x:f>
      </x:c>
      <x:c r="AE33" s="118" t="str">
        <x:f>IF($B33="","",IFERROR(INDEX(InitiativesTable[Detailed plan owner],MATCH($B33,InitiativesTable[Initiative ID],0))&amp;"",""))</x:f>
      </x:c>
      <x:c r="AF33" s="118" t="str">
        <x:f>IF($B33="","",IFERROR(INDEX(InitiativesTable[Budget / cost owner],MATCH($B33,InitiativesTable[Initiative ID],0))&amp;"",""))</x:f>
      </x:c>
      <x:c r="AG33" s="118" t="str">
        <x:f>IF($B33="","",IFERROR(INDEX(InitiativesTable[Digital financial reporting basis],MATCH($B33,InitiativesTable[Initiative ID],0))&amp;"",""))</x:f>
      </x:c>
    </x:row>
    <x:row r="34" ht="20.049999237060547" customHeight="1">
      <x:c r="A34" s="121" t="str">
        <x:f t="shared" ca="1" si="0">IF($B34="","",TODAY())</x:f>
      </x:c>
      <x:c r="B34" s="6" t="str" cm="1">
        <x:f t="array" ref="B34">IFERROR(IF(INDEX(InitiativesTable[Initiative ID],30)="","",INDEX(InitiativesTable[Initiative ID],30)),"")</x:f>
      </x:c>
      <x:c r="C34" s="6" t="str">
        <x:f>IF($B34="","",IFERROR(INDEX(InitiativesTable[Initiative title],MATCH($B34,InitiativesTable[Initiative ID],0))&amp;"",""))</x:f>
      </x:c>
      <x:c r="D34" s="6" t="str">
        <x:f>IF($B34="","",IFERROR(INDEX(InitiativesTable[Lifecycle Status],MATCH($B34,InitiativesTable[Initiative ID],0))&amp;"",""))</x:f>
      </x:c>
      <x:c r="E34" s="6" t="str">
        <x:f>IF($B34="","",IFERROR(INDEX(InitiativesTable[Health],MATCH($B34,InitiativesTable[Initiative ID],0))&amp;"",""))</x:f>
      </x:c>
      <x:c r="F34" s="123" t="str">
        <x:f>IF($B34="","",IF(OR(COUNTIFS(PEP!$B$5:$B$204,$B34,PEP!$C$5:$C$204,"Initiative")&lt;&gt;1,COUNTIFS(PEP!$B$5:$B$204,$B34,PEP!$C$5:$C$204,"Activity")+COUNTIFS(PEP!$B$5:$B$204,$B34,PEP!$C$5:$C$204,"Variation")=0,COUNTIFS(PEP!$B$5:$B$204,$B34,PEP!$C$5:$C$204,"Activity")+COUNTIFS(PEP!$B$5:$B$204,$B34,PEP!$C$5:$C$204,"Variation")&lt;&gt;COUNTIFS(PEP!$B$5:$B$204,$B34,PEP!$C$5:$C$204,"Activity",PEP!$P$5:$P$204,"OK")+COUNTIFS(PEP!$B$5:$B$204,$B34,PEP!$C$5:$C$204,"Variation",PEP!$P$5:$P$204,"OK")),"",100*SUMIFS(PEP!$K$5:$K$204,PEP!$B$5:$B$204,$B34,PEP!$C$5:$C$204,"Initiative")))</x:f>
      </x:c>
      <x:c r="G34" s="123" t="str">
        <x:f>IF($B34="","",IF(OR(COUNTIFS(PEP!$B$5:$B$204,$B34,PEP!$C$5:$C$204,"Initiative")&lt;&gt;1,COUNTIFS(PEP!$B$5:$B$204,$B34,PEP!$C$5:$C$204,"Activity")+COUNTIFS(PEP!$B$5:$B$204,$B34,PEP!$C$5:$C$204,"Variation")=0,COUNTIFS(PEP!$B$5:$B$204,$B34,PEP!$C$5:$C$204,"Activity")+COUNTIFS(PEP!$B$5:$B$204,$B34,PEP!$C$5:$C$204,"Variation")&lt;&gt;COUNTIFS(PEP!$B$5:$B$204,$B34,PEP!$C$5:$C$204,"Activity",PEP!$P$5:$P$204,"OK")+COUNTIFS(PEP!$B$5:$B$204,$B34,PEP!$C$5:$C$204,"Variation",PEP!$P$5:$P$204,"OK")),"",100*SUMIFS(PEP!$L$5:$L$204,PEP!$B$5:$B$204,$B34,PEP!$C$5:$C$204,"Initiative")))</x:f>
      </x:c>
      <x:c r="H34" s="123" t="str">
        <x:f t="shared" si="6">IF(OR($F34="",$G34=""),"",$G34-$F34)</x:f>
      </x:c>
      <x:c r="I34" s="121" t="str">
        <x:f>IF($B34="","",IFERROR(IF(INDEX(InitiativesTable[Baseline finish],MATCH($B34,InitiativesTable[Initiative ID],0))=0,"",INDEX(InitiativesTable[Baseline finish],MATCH($B34,InitiativesTable[Initiative ID],0))),""))</x:f>
      </x:c>
      <x:c r="J34" s="121" t="str">
        <x:f>IF($B34="","",IFERROR(IF(INDEX(InitiativesTable[Forecast finish],MATCH($B34,InitiativesTable[Initiative ID],0))=0,"",INDEX(InitiativesTable[Forecast finish],MATCH($B34,InitiativesTable[Initiative ID],0))),""))</x:f>
      </x:c>
      <x:c r="K34" s="6" t="str">
        <x:f>IF($B34="","",COUNTIFS(PEP!$B$5:$B$204,$B34,PEP!$C$5:$C$204,"Activity",PEP!$N$5:$N$204,"Late")+COUNTIFS(PEP!$B$5:$B$204,$B34,PEP!$C$5:$C$204,"Variation",PEP!$N$5:$N$204,"Late"))</x:f>
      </x:c>
      <x:c r="L34" s="6" t="str">
        <x:f>IF($B34="","",COUNTIFS('CONTROL LOG'!$B$5:$B$204,$B34,'CONTROL LOG'!$H$5:$H$204,"&lt;&gt;",'CONTROL LOG'!$H$5:$H$204,"&lt;&gt;Closed",'CONTROL LOG'!$H$5:$H$204,"&lt;&gt;Superseded"))</x:f>
      </x:c>
      <x:c r="M34" s="6" t="str">
        <x:f>IF($B34="","",COUNTIFS(PEP!$B$5:$B$204,$B34,PEP!$P$5:$P$204,"&lt;&gt;OK",PEP!$P$5:$P$204,"&lt;&gt;"))</x:f>
      </x:c>
      <x:c r="N34" s="6" t="str">
        <x:f>IF($B34="","",IFERROR(INDEX(InitiativesTable[Proposed Status / Health change],MATCH($B34,InitiativesTable[Initiative ID],0))&amp;"",""))</x:f>
      </x:c>
      <x:c r="O34" s="6" t="str">
        <x:f>IF($B34="","",IFERROR(INDEX(InitiativesTable[Digital Lead confirmation],MATCH($B34,InitiativesTable[Initiative ID],0))&amp;"",""))</x:f>
      </x:c>
      <x:c r="P34" s="125" t="str">
        <x:f>IF($B34="","",IF(COUNTIFS(COST!$A$5:$A$104,$B34,COST!$D$5:$D$104,"Labour")=0,"",SUMIFS(COST!$E$5:$E$104,COST!$A$5:$A$104,$B34,COST!$D$5:$D$104,"Labour")))</x:f>
      </x:c>
      <x:c r="Q34" s="125" t="str">
        <x:f>IF($B34="","",IF(COUNTIFS(COST!$A$5:$A$104,$B34,COST!$D$5:$D$104,"Labour")=0,"",SUMIFS(COST!$F$5:$F$104,COST!$A$5:$A$104,$B34,COST!$D$5:$D$104,"Labour")))</x:f>
      </x:c>
      <x:c r="R34" s="125" t="str">
        <x:f t="shared" si="1">IF($B34="","",IF(AND($P34="",$Q34=""),"",N($P34)+N($Q34)))</x:f>
      </x:c>
      <x:c r="S34" s="125" t="str">
        <x:f>IF($B34="","",IF(COUNTIFS(COST!$A$5:$A$104,$B34,COST!$D$5:$D$104,"Labour")=0,"",SUMIFS(COST!$T$5:$T$104,COST!$A$5:$A$104,$B34,COST!$D$5:$D$104,"Labour")))</x:f>
      </x:c>
      <x:c r="T34" s="125" t="str">
        <x:f t="shared" si="2">IF(OR($B34="",$R34="",$S34=""),"",$R34-$S34)</x:f>
      </x:c>
      <x:c r="U34" s="7" t="str">
        <x:f t="shared" si="3">IF(OR($B34="",$R34="",$R34=0,$S34=""),"",$S34/$R34)</x:f>
      </x:c>
      <x:c r="V34" s="125" t="str">
        <x:f>IF($B34="","",IF(COUNTIFS(COST!$A$5:$A$104,$B34,COST!$D$5:$D$104,"Fees")=0,"",SUMIFS(COST!$E$5:$E$104,COST!$A$5:$A$104,$B34,COST!$D$5:$D$104,"Fees")))</x:f>
      </x:c>
      <x:c r="W34" s="125" t="str">
        <x:f>IF($B34="","",IF(COUNTIFS(COST!$A$5:$A$104,$B34,COST!$D$5:$D$104,"Fees")=0,"",SUMIFS(COST!$F$5:$F$104,COST!$A$5:$A$104,$B34,COST!$D$5:$D$104,"Fees")))</x:f>
      </x:c>
      <x:c r="X34" s="125" t="str">
        <x:f t="shared" si="4">IF($B34="","",IF(AND($V34="",$W34=""),"",N($V34)+N($W34)))</x:f>
      </x:c>
      <x:c r="Y34" s="125" t="str">
        <x:f>IF($B34="","",IF(COUNTIFS(COST!$A$5:$A$104,$B34,COST!$D$5:$D$104,"Fees")=0,"",SUMIFS(COST!$T$5:$T$104,COST!$A$5:$A$104,$B34,COST!$D$5:$D$104,"Fees")))</x:f>
      </x:c>
      <x:c r="Z34" s="125" t="str">
        <x:f t="shared" si="5">IF(OR($B34="",$X34="",$Y34=""),"",$X34-$Y34)</x:f>
      </x:c>
      <x:c r="AA34" s="127" t="str">
        <x:f t="shared" si="7">IFERROR(IF(OR($B34="",$U34="",$U34=0,$G34=""),"",($G34/100)/$U34),"")</x:f>
      </x:c>
      <x:c r="AB34" s="118" t="str">
        <x:f>IF($B34="","",IFERROR(INDEX(InitiativesTable[Delivery group],MATCH($B34,InitiativesTable[Initiative ID],0))&amp;"",""))</x:f>
      </x:c>
      <x:c r="AC34" s="118" t="str">
        <x:f>IF($B34="","",IFERROR(INDEX(InitiativesTable[Entry basis],MATCH($B34,InitiativesTable[Initiative ID],0))&amp;"",""))</x:f>
      </x:c>
      <x:c r="AD34" s="118" t="str">
        <x:f>IF($B34="","",IFERROR(INDEX(InitiativesTable[Delivery model],MATCH($B34,InitiativesTable[Initiative ID],0))&amp;"",""))</x:f>
      </x:c>
      <x:c r="AE34" s="118" t="str">
        <x:f>IF($B34="","",IFERROR(INDEX(InitiativesTable[Detailed plan owner],MATCH($B34,InitiativesTable[Initiative ID],0))&amp;"",""))</x:f>
      </x:c>
      <x:c r="AF34" s="118" t="str">
        <x:f>IF($B34="","",IFERROR(INDEX(InitiativesTable[Budget / cost owner],MATCH($B34,InitiativesTable[Initiative ID],0))&amp;"",""))</x:f>
      </x:c>
      <x:c r="AG34" s="118" t="str">
        <x:f>IF($B34="","",IFERROR(INDEX(InitiativesTable[Digital financial reporting basis],MATCH($B34,InitiativesTable[Initiative ID],0))&amp;"",""))</x:f>
      </x:c>
    </x:row>
    <x:row r="35" ht="20.049999237060547" customHeight="1">
      <x:c r="A35" s="121" t="str">
        <x:f t="shared" ca="1" si="0">IF($B35="","",TODAY())</x:f>
      </x:c>
      <x:c r="B35" s="6" t="str" cm="1">
        <x:f t="array" ref="B35">IFERROR(IF(INDEX(InitiativesTable[Initiative ID],31)="","",INDEX(InitiativesTable[Initiative ID],31)),"")</x:f>
      </x:c>
      <x:c r="C35" s="6" t="str">
        <x:f>IF($B35="","",IFERROR(INDEX(InitiativesTable[Initiative title],MATCH($B35,InitiativesTable[Initiative ID],0))&amp;"",""))</x:f>
      </x:c>
      <x:c r="D35" s="6" t="str">
        <x:f>IF($B35="","",IFERROR(INDEX(InitiativesTable[Lifecycle Status],MATCH($B35,InitiativesTable[Initiative ID],0))&amp;"",""))</x:f>
      </x:c>
      <x:c r="E35" s="6" t="str">
        <x:f>IF($B35="","",IFERROR(INDEX(InitiativesTable[Health],MATCH($B35,InitiativesTable[Initiative ID],0))&amp;"",""))</x:f>
      </x:c>
      <x:c r="F35" s="123" t="str">
        <x:f>IF($B35="","",IF(OR(COUNTIFS(PEP!$B$5:$B$204,$B35,PEP!$C$5:$C$204,"Initiative")&lt;&gt;1,COUNTIFS(PEP!$B$5:$B$204,$B35,PEP!$C$5:$C$204,"Activity")+COUNTIFS(PEP!$B$5:$B$204,$B35,PEP!$C$5:$C$204,"Variation")=0,COUNTIFS(PEP!$B$5:$B$204,$B35,PEP!$C$5:$C$204,"Activity")+COUNTIFS(PEP!$B$5:$B$204,$B35,PEP!$C$5:$C$204,"Variation")&lt;&gt;COUNTIFS(PEP!$B$5:$B$204,$B35,PEP!$C$5:$C$204,"Activity",PEP!$P$5:$P$204,"OK")+COUNTIFS(PEP!$B$5:$B$204,$B35,PEP!$C$5:$C$204,"Variation",PEP!$P$5:$P$204,"OK")),"",100*SUMIFS(PEP!$K$5:$K$204,PEP!$B$5:$B$204,$B35,PEP!$C$5:$C$204,"Initiative")))</x:f>
      </x:c>
      <x:c r="G35" s="123" t="str">
        <x:f>IF($B35="","",IF(OR(COUNTIFS(PEP!$B$5:$B$204,$B35,PEP!$C$5:$C$204,"Initiative")&lt;&gt;1,COUNTIFS(PEP!$B$5:$B$204,$B35,PEP!$C$5:$C$204,"Activity")+COUNTIFS(PEP!$B$5:$B$204,$B35,PEP!$C$5:$C$204,"Variation")=0,COUNTIFS(PEP!$B$5:$B$204,$B35,PEP!$C$5:$C$204,"Activity")+COUNTIFS(PEP!$B$5:$B$204,$B35,PEP!$C$5:$C$204,"Variation")&lt;&gt;COUNTIFS(PEP!$B$5:$B$204,$B35,PEP!$C$5:$C$204,"Activity",PEP!$P$5:$P$204,"OK")+COUNTIFS(PEP!$B$5:$B$204,$B35,PEP!$C$5:$C$204,"Variation",PEP!$P$5:$P$204,"OK")),"",100*SUMIFS(PEP!$L$5:$L$204,PEP!$B$5:$B$204,$B35,PEP!$C$5:$C$204,"Initiative")))</x:f>
      </x:c>
      <x:c r="H35" s="123" t="str">
        <x:f t="shared" si="6">IF(OR($F35="",$G35=""),"",$G35-$F35)</x:f>
      </x:c>
      <x:c r="I35" s="121" t="str">
        <x:f>IF($B35="","",IFERROR(IF(INDEX(InitiativesTable[Baseline finish],MATCH($B35,InitiativesTable[Initiative ID],0))=0,"",INDEX(InitiativesTable[Baseline finish],MATCH($B35,InitiativesTable[Initiative ID],0))),""))</x:f>
      </x:c>
      <x:c r="J35" s="121" t="str">
        <x:f>IF($B35="","",IFERROR(IF(INDEX(InitiativesTable[Forecast finish],MATCH($B35,InitiativesTable[Initiative ID],0))=0,"",INDEX(InitiativesTable[Forecast finish],MATCH($B35,InitiativesTable[Initiative ID],0))),""))</x:f>
      </x:c>
      <x:c r="K35" s="6" t="str">
        <x:f>IF($B35="","",COUNTIFS(PEP!$B$5:$B$204,$B35,PEP!$C$5:$C$204,"Activity",PEP!$N$5:$N$204,"Late")+COUNTIFS(PEP!$B$5:$B$204,$B35,PEP!$C$5:$C$204,"Variation",PEP!$N$5:$N$204,"Late"))</x:f>
      </x:c>
      <x:c r="L35" s="6" t="str">
        <x:f>IF($B35="","",COUNTIFS('CONTROL LOG'!$B$5:$B$204,$B35,'CONTROL LOG'!$H$5:$H$204,"&lt;&gt;",'CONTROL LOG'!$H$5:$H$204,"&lt;&gt;Closed",'CONTROL LOG'!$H$5:$H$204,"&lt;&gt;Superseded"))</x:f>
      </x:c>
      <x:c r="M35" s="6" t="str">
        <x:f>IF($B35="","",COUNTIFS(PEP!$B$5:$B$204,$B35,PEP!$P$5:$P$204,"&lt;&gt;OK",PEP!$P$5:$P$204,"&lt;&gt;"))</x:f>
      </x:c>
      <x:c r="N35" s="6" t="str">
        <x:f>IF($B35="","",IFERROR(INDEX(InitiativesTable[Proposed Status / Health change],MATCH($B35,InitiativesTable[Initiative ID],0))&amp;"",""))</x:f>
      </x:c>
      <x:c r="O35" s="6" t="str">
        <x:f>IF($B35="","",IFERROR(INDEX(InitiativesTable[Digital Lead confirmation],MATCH($B35,InitiativesTable[Initiative ID],0))&amp;"",""))</x:f>
      </x:c>
      <x:c r="P35" s="125" t="str">
        <x:f>IF($B35="","",IF(COUNTIFS(COST!$A$5:$A$104,$B35,COST!$D$5:$D$104,"Labour")=0,"",SUMIFS(COST!$E$5:$E$104,COST!$A$5:$A$104,$B35,COST!$D$5:$D$104,"Labour")))</x:f>
      </x:c>
      <x:c r="Q35" s="125" t="str">
        <x:f>IF($B35="","",IF(COUNTIFS(COST!$A$5:$A$104,$B35,COST!$D$5:$D$104,"Labour")=0,"",SUMIFS(COST!$F$5:$F$104,COST!$A$5:$A$104,$B35,COST!$D$5:$D$104,"Labour")))</x:f>
      </x:c>
      <x:c r="R35" s="125" t="str">
        <x:f t="shared" si="1">IF($B35="","",IF(AND($P35="",$Q35=""),"",N($P35)+N($Q35)))</x:f>
      </x:c>
      <x:c r="S35" s="125" t="str">
        <x:f>IF($B35="","",IF(COUNTIFS(COST!$A$5:$A$104,$B35,COST!$D$5:$D$104,"Labour")=0,"",SUMIFS(COST!$T$5:$T$104,COST!$A$5:$A$104,$B35,COST!$D$5:$D$104,"Labour")))</x:f>
      </x:c>
      <x:c r="T35" s="125" t="str">
        <x:f t="shared" si="2">IF(OR($B35="",$R35="",$S35=""),"",$R35-$S35)</x:f>
      </x:c>
      <x:c r="U35" s="7" t="str">
        <x:f t="shared" si="3">IF(OR($B35="",$R35="",$R35=0,$S35=""),"",$S35/$R35)</x:f>
      </x:c>
      <x:c r="V35" s="125" t="str">
        <x:f>IF($B35="","",IF(COUNTIFS(COST!$A$5:$A$104,$B35,COST!$D$5:$D$104,"Fees")=0,"",SUMIFS(COST!$E$5:$E$104,COST!$A$5:$A$104,$B35,COST!$D$5:$D$104,"Fees")))</x:f>
      </x:c>
      <x:c r="W35" s="125" t="str">
        <x:f>IF($B35="","",IF(COUNTIFS(COST!$A$5:$A$104,$B35,COST!$D$5:$D$104,"Fees")=0,"",SUMIFS(COST!$F$5:$F$104,COST!$A$5:$A$104,$B35,COST!$D$5:$D$104,"Fees")))</x:f>
      </x:c>
      <x:c r="X35" s="125" t="str">
        <x:f t="shared" si="4">IF($B35="","",IF(AND($V35="",$W35=""),"",N($V35)+N($W35)))</x:f>
      </x:c>
      <x:c r="Y35" s="125" t="str">
        <x:f>IF($B35="","",IF(COUNTIFS(COST!$A$5:$A$104,$B35,COST!$D$5:$D$104,"Fees")=0,"",SUMIFS(COST!$T$5:$T$104,COST!$A$5:$A$104,$B35,COST!$D$5:$D$104,"Fees")))</x:f>
      </x:c>
      <x:c r="Z35" s="125" t="str">
        <x:f t="shared" si="5">IF(OR($B35="",$X35="",$Y35=""),"",$X35-$Y35)</x:f>
      </x:c>
      <x:c r="AA35" s="127" t="str">
        <x:f t="shared" si="7">IFERROR(IF(OR($B35="",$U35="",$U35=0,$G35=""),"",($G35/100)/$U35),"")</x:f>
      </x:c>
      <x:c r="AB35" s="118" t="str">
        <x:f>IF($B35="","",IFERROR(INDEX(InitiativesTable[Delivery group],MATCH($B35,InitiativesTable[Initiative ID],0))&amp;"",""))</x:f>
      </x:c>
      <x:c r="AC35" s="118" t="str">
        <x:f>IF($B35="","",IFERROR(INDEX(InitiativesTable[Entry basis],MATCH($B35,InitiativesTable[Initiative ID],0))&amp;"",""))</x:f>
      </x:c>
      <x:c r="AD35" s="118" t="str">
        <x:f>IF($B35="","",IFERROR(INDEX(InitiativesTable[Delivery model],MATCH($B35,InitiativesTable[Initiative ID],0))&amp;"",""))</x:f>
      </x:c>
      <x:c r="AE35" s="118" t="str">
        <x:f>IF($B35="","",IFERROR(INDEX(InitiativesTable[Detailed plan owner],MATCH($B35,InitiativesTable[Initiative ID],0))&amp;"",""))</x:f>
      </x:c>
      <x:c r="AF35" s="118" t="str">
        <x:f>IF($B35="","",IFERROR(INDEX(InitiativesTable[Budget / cost owner],MATCH($B35,InitiativesTable[Initiative ID],0))&amp;"",""))</x:f>
      </x:c>
      <x:c r="AG35" s="118" t="str">
        <x:f>IF($B35="","",IFERROR(INDEX(InitiativesTable[Digital financial reporting basis],MATCH($B35,InitiativesTable[Initiative ID],0))&amp;"",""))</x:f>
      </x:c>
    </x:row>
    <x:row r="36" ht="20.049999237060547" customHeight="1">
      <x:c r="A36" s="121" t="str">
        <x:f t="shared" ca="1" si="0">IF($B36="","",TODAY())</x:f>
      </x:c>
      <x:c r="B36" s="6" t="str" cm="1">
        <x:f t="array" ref="B36">IFERROR(IF(INDEX(InitiativesTable[Initiative ID],32)="","",INDEX(InitiativesTable[Initiative ID],32)),"")</x:f>
      </x:c>
      <x:c r="C36" s="6" t="str">
        <x:f>IF($B36="","",IFERROR(INDEX(InitiativesTable[Initiative title],MATCH($B36,InitiativesTable[Initiative ID],0))&amp;"",""))</x:f>
      </x:c>
      <x:c r="D36" s="6" t="str">
        <x:f>IF($B36="","",IFERROR(INDEX(InitiativesTable[Lifecycle Status],MATCH($B36,InitiativesTable[Initiative ID],0))&amp;"",""))</x:f>
      </x:c>
      <x:c r="E36" s="6" t="str">
        <x:f>IF($B36="","",IFERROR(INDEX(InitiativesTable[Health],MATCH($B36,InitiativesTable[Initiative ID],0))&amp;"",""))</x:f>
      </x:c>
      <x:c r="F36" s="123" t="str">
        <x:f>IF($B36="","",IF(OR(COUNTIFS(PEP!$B$5:$B$204,$B36,PEP!$C$5:$C$204,"Initiative")&lt;&gt;1,COUNTIFS(PEP!$B$5:$B$204,$B36,PEP!$C$5:$C$204,"Activity")+COUNTIFS(PEP!$B$5:$B$204,$B36,PEP!$C$5:$C$204,"Variation")=0,COUNTIFS(PEP!$B$5:$B$204,$B36,PEP!$C$5:$C$204,"Activity")+COUNTIFS(PEP!$B$5:$B$204,$B36,PEP!$C$5:$C$204,"Variation")&lt;&gt;COUNTIFS(PEP!$B$5:$B$204,$B36,PEP!$C$5:$C$204,"Activity",PEP!$P$5:$P$204,"OK")+COUNTIFS(PEP!$B$5:$B$204,$B36,PEP!$C$5:$C$204,"Variation",PEP!$P$5:$P$204,"OK")),"",100*SUMIFS(PEP!$K$5:$K$204,PEP!$B$5:$B$204,$B36,PEP!$C$5:$C$204,"Initiative")))</x:f>
      </x:c>
      <x:c r="G36" s="123" t="str">
        <x:f>IF($B36="","",IF(OR(COUNTIFS(PEP!$B$5:$B$204,$B36,PEP!$C$5:$C$204,"Initiative")&lt;&gt;1,COUNTIFS(PEP!$B$5:$B$204,$B36,PEP!$C$5:$C$204,"Activity")+COUNTIFS(PEP!$B$5:$B$204,$B36,PEP!$C$5:$C$204,"Variation")=0,COUNTIFS(PEP!$B$5:$B$204,$B36,PEP!$C$5:$C$204,"Activity")+COUNTIFS(PEP!$B$5:$B$204,$B36,PEP!$C$5:$C$204,"Variation")&lt;&gt;COUNTIFS(PEP!$B$5:$B$204,$B36,PEP!$C$5:$C$204,"Activity",PEP!$P$5:$P$204,"OK")+COUNTIFS(PEP!$B$5:$B$204,$B36,PEP!$C$5:$C$204,"Variation",PEP!$P$5:$P$204,"OK")),"",100*SUMIFS(PEP!$L$5:$L$204,PEP!$B$5:$B$204,$B36,PEP!$C$5:$C$204,"Initiative")))</x:f>
      </x:c>
      <x:c r="H36" s="123" t="str">
        <x:f t="shared" si="6">IF(OR($F36="",$G36=""),"",$G36-$F36)</x:f>
      </x:c>
      <x:c r="I36" s="121" t="str">
        <x:f>IF($B36="","",IFERROR(IF(INDEX(InitiativesTable[Baseline finish],MATCH($B36,InitiativesTable[Initiative ID],0))=0,"",INDEX(InitiativesTable[Baseline finish],MATCH($B36,InitiativesTable[Initiative ID],0))),""))</x:f>
      </x:c>
      <x:c r="J36" s="121" t="str">
        <x:f>IF($B36="","",IFERROR(IF(INDEX(InitiativesTable[Forecast finish],MATCH($B36,InitiativesTable[Initiative ID],0))=0,"",INDEX(InitiativesTable[Forecast finish],MATCH($B36,InitiativesTable[Initiative ID],0))),""))</x:f>
      </x:c>
      <x:c r="K36" s="6" t="str">
        <x:f>IF($B36="","",COUNTIFS(PEP!$B$5:$B$204,$B36,PEP!$C$5:$C$204,"Activity",PEP!$N$5:$N$204,"Late")+COUNTIFS(PEP!$B$5:$B$204,$B36,PEP!$C$5:$C$204,"Variation",PEP!$N$5:$N$204,"Late"))</x:f>
      </x:c>
      <x:c r="L36" s="6" t="str">
        <x:f>IF($B36="","",COUNTIFS('CONTROL LOG'!$B$5:$B$204,$B36,'CONTROL LOG'!$H$5:$H$204,"&lt;&gt;",'CONTROL LOG'!$H$5:$H$204,"&lt;&gt;Closed",'CONTROL LOG'!$H$5:$H$204,"&lt;&gt;Superseded"))</x:f>
      </x:c>
      <x:c r="M36" s="6" t="str">
        <x:f>IF($B36="","",COUNTIFS(PEP!$B$5:$B$204,$B36,PEP!$P$5:$P$204,"&lt;&gt;OK",PEP!$P$5:$P$204,"&lt;&gt;"))</x:f>
      </x:c>
      <x:c r="N36" s="6" t="str">
        <x:f>IF($B36="","",IFERROR(INDEX(InitiativesTable[Proposed Status / Health change],MATCH($B36,InitiativesTable[Initiative ID],0))&amp;"",""))</x:f>
      </x:c>
      <x:c r="O36" s="6" t="str">
        <x:f>IF($B36="","",IFERROR(INDEX(InitiativesTable[Digital Lead confirmation],MATCH($B36,InitiativesTable[Initiative ID],0))&amp;"",""))</x:f>
      </x:c>
      <x:c r="P36" s="125" t="str">
        <x:f>IF($B36="","",IF(COUNTIFS(COST!$A$5:$A$104,$B36,COST!$D$5:$D$104,"Labour")=0,"",SUMIFS(COST!$E$5:$E$104,COST!$A$5:$A$104,$B36,COST!$D$5:$D$104,"Labour")))</x:f>
      </x:c>
      <x:c r="Q36" s="125" t="str">
        <x:f>IF($B36="","",IF(COUNTIFS(COST!$A$5:$A$104,$B36,COST!$D$5:$D$104,"Labour")=0,"",SUMIFS(COST!$F$5:$F$104,COST!$A$5:$A$104,$B36,COST!$D$5:$D$104,"Labour")))</x:f>
      </x:c>
      <x:c r="R36" s="125" t="str">
        <x:f t="shared" si="1">IF($B36="","",IF(AND($P36="",$Q36=""),"",N($P36)+N($Q36)))</x:f>
      </x:c>
      <x:c r="S36" s="125" t="str">
        <x:f>IF($B36="","",IF(COUNTIFS(COST!$A$5:$A$104,$B36,COST!$D$5:$D$104,"Labour")=0,"",SUMIFS(COST!$T$5:$T$104,COST!$A$5:$A$104,$B36,COST!$D$5:$D$104,"Labour")))</x:f>
      </x:c>
      <x:c r="T36" s="125" t="str">
        <x:f t="shared" si="2">IF(OR($B36="",$R36="",$S36=""),"",$R36-$S36)</x:f>
      </x:c>
      <x:c r="U36" s="7" t="str">
        <x:f t="shared" si="3">IF(OR($B36="",$R36="",$R36=0,$S36=""),"",$S36/$R36)</x:f>
      </x:c>
      <x:c r="V36" s="125" t="str">
        <x:f>IF($B36="","",IF(COUNTIFS(COST!$A$5:$A$104,$B36,COST!$D$5:$D$104,"Fees")=0,"",SUMIFS(COST!$E$5:$E$104,COST!$A$5:$A$104,$B36,COST!$D$5:$D$104,"Fees")))</x:f>
      </x:c>
      <x:c r="W36" s="125" t="str">
        <x:f>IF($B36="","",IF(COUNTIFS(COST!$A$5:$A$104,$B36,COST!$D$5:$D$104,"Fees")=0,"",SUMIFS(COST!$F$5:$F$104,COST!$A$5:$A$104,$B36,COST!$D$5:$D$104,"Fees")))</x:f>
      </x:c>
      <x:c r="X36" s="125" t="str">
        <x:f t="shared" si="4">IF($B36="","",IF(AND($V36="",$W36=""),"",N($V36)+N($W36)))</x:f>
      </x:c>
      <x:c r="Y36" s="125" t="str">
        <x:f>IF($B36="","",IF(COUNTIFS(COST!$A$5:$A$104,$B36,COST!$D$5:$D$104,"Fees")=0,"",SUMIFS(COST!$T$5:$T$104,COST!$A$5:$A$104,$B36,COST!$D$5:$D$104,"Fees")))</x:f>
      </x:c>
      <x:c r="Z36" s="125" t="str">
        <x:f t="shared" si="5">IF(OR($B36="",$X36="",$Y36=""),"",$X36-$Y36)</x:f>
      </x:c>
      <x:c r="AA36" s="127" t="str">
        <x:f t="shared" si="7">IFERROR(IF(OR($B36="",$U36="",$U36=0,$G36=""),"",($G36/100)/$U36),"")</x:f>
      </x:c>
      <x:c r="AB36" s="118" t="str">
        <x:f>IF($B36="","",IFERROR(INDEX(InitiativesTable[Delivery group],MATCH($B36,InitiativesTable[Initiative ID],0))&amp;"",""))</x:f>
      </x:c>
      <x:c r="AC36" s="118" t="str">
        <x:f>IF($B36="","",IFERROR(INDEX(InitiativesTable[Entry basis],MATCH($B36,InitiativesTable[Initiative ID],0))&amp;"",""))</x:f>
      </x:c>
      <x:c r="AD36" s="118" t="str">
        <x:f>IF($B36="","",IFERROR(INDEX(InitiativesTable[Delivery model],MATCH($B36,InitiativesTable[Initiative ID],0))&amp;"",""))</x:f>
      </x:c>
      <x:c r="AE36" s="118" t="str">
        <x:f>IF($B36="","",IFERROR(INDEX(InitiativesTable[Detailed plan owner],MATCH($B36,InitiativesTable[Initiative ID],0))&amp;"",""))</x:f>
      </x:c>
      <x:c r="AF36" s="118" t="str">
        <x:f>IF($B36="","",IFERROR(INDEX(InitiativesTable[Budget / cost owner],MATCH($B36,InitiativesTable[Initiative ID],0))&amp;"",""))</x:f>
      </x:c>
      <x:c r="AG36" s="118" t="str">
        <x:f>IF($B36="","",IFERROR(INDEX(InitiativesTable[Digital financial reporting basis],MATCH($B36,InitiativesTable[Initiative ID],0))&amp;"",""))</x:f>
      </x:c>
    </x:row>
    <x:row r="37" ht="20.049999237060547" customHeight="1">
      <x:c r="A37" s="121" t="str">
        <x:f t="shared" ref="A37:A54" ca="1" si="8">IF($B37="","",TODAY())</x:f>
      </x:c>
      <x:c r="B37" s="6" t="str" cm="1">
        <x:f t="array" ref="B37">IFERROR(IF(INDEX(InitiativesTable[Initiative ID],33)="","",INDEX(InitiativesTable[Initiative ID],33)),"")</x:f>
      </x:c>
      <x:c r="C37" s="6" t="str">
        <x:f>IF($B37="","",IFERROR(INDEX(InitiativesTable[Initiative title],MATCH($B37,InitiativesTable[Initiative ID],0))&amp;"",""))</x:f>
      </x:c>
      <x:c r="D37" s="6" t="str">
        <x:f>IF($B37="","",IFERROR(INDEX(InitiativesTable[Lifecycle Status],MATCH($B37,InitiativesTable[Initiative ID],0))&amp;"",""))</x:f>
      </x:c>
      <x:c r="E37" s="6" t="str">
        <x:f>IF($B37="","",IFERROR(INDEX(InitiativesTable[Health],MATCH($B37,InitiativesTable[Initiative ID],0))&amp;"",""))</x:f>
      </x:c>
      <x:c r="F37" s="123" t="str">
        <x:f>IF($B37="","",IF(OR(COUNTIFS(PEP!$B$5:$B$204,$B37,PEP!$C$5:$C$204,"Initiative")&lt;&gt;1,COUNTIFS(PEP!$B$5:$B$204,$B37,PEP!$C$5:$C$204,"Activity")+COUNTIFS(PEP!$B$5:$B$204,$B37,PEP!$C$5:$C$204,"Variation")=0,COUNTIFS(PEP!$B$5:$B$204,$B37,PEP!$C$5:$C$204,"Activity")+COUNTIFS(PEP!$B$5:$B$204,$B37,PEP!$C$5:$C$204,"Variation")&lt;&gt;COUNTIFS(PEP!$B$5:$B$204,$B37,PEP!$C$5:$C$204,"Activity",PEP!$P$5:$P$204,"OK")+COUNTIFS(PEP!$B$5:$B$204,$B37,PEP!$C$5:$C$204,"Variation",PEP!$P$5:$P$204,"OK")),"",100*SUMIFS(PEP!$K$5:$K$204,PEP!$B$5:$B$204,$B37,PEP!$C$5:$C$204,"Initiative")))</x:f>
      </x:c>
      <x:c r="G37" s="123" t="str">
        <x:f>IF($B37="","",IF(OR(COUNTIFS(PEP!$B$5:$B$204,$B37,PEP!$C$5:$C$204,"Initiative")&lt;&gt;1,COUNTIFS(PEP!$B$5:$B$204,$B37,PEP!$C$5:$C$204,"Activity")+COUNTIFS(PEP!$B$5:$B$204,$B37,PEP!$C$5:$C$204,"Variation")=0,COUNTIFS(PEP!$B$5:$B$204,$B37,PEP!$C$5:$C$204,"Activity")+COUNTIFS(PEP!$B$5:$B$204,$B37,PEP!$C$5:$C$204,"Variation")&lt;&gt;COUNTIFS(PEP!$B$5:$B$204,$B37,PEP!$C$5:$C$204,"Activity",PEP!$P$5:$P$204,"OK")+COUNTIFS(PEP!$B$5:$B$204,$B37,PEP!$C$5:$C$204,"Variation",PEP!$P$5:$P$204,"OK")),"",100*SUMIFS(PEP!$L$5:$L$204,PEP!$B$5:$B$204,$B37,PEP!$C$5:$C$204,"Initiative")))</x:f>
      </x:c>
      <x:c r="H37" s="123" t="str">
        <x:f t="shared" si="6">IF(OR($F37="",$G37=""),"",$G37-$F37)</x:f>
      </x:c>
      <x:c r="I37" s="121" t="str">
        <x:f>IF($B37="","",IFERROR(IF(INDEX(InitiativesTable[Baseline finish],MATCH($B37,InitiativesTable[Initiative ID],0))=0,"",INDEX(InitiativesTable[Baseline finish],MATCH($B37,InitiativesTable[Initiative ID],0))),""))</x:f>
      </x:c>
      <x:c r="J37" s="121" t="str">
        <x:f>IF($B37="","",IFERROR(IF(INDEX(InitiativesTable[Forecast finish],MATCH($B37,InitiativesTable[Initiative ID],0))=0,"",INDEX(InitiativesTable[Forecast finish],MATCH($B37,InitiativesTable[Initiative ID],0))),""))</x:f>
      </x:c>
      <x:c r="K37" s="6" t="str">
        <x:f>IF($B37="","",COUNTIFS(PEP!$B$5:$B$204,$B37,PEP!$C$5:$C$204,"Activity",PEP!$N$5:$N$204,"Late")+COUNTIFS(PEP!$B$5:$B$204,$B37,PEP!$C$5:$C$204,"Variation",PEP!$N$5:$N$204,"Late"))</x:f>
      </x:c>
      <x:c r="L37" s="6" t="str">
        <x:f>IF($B37="","",COUNTIFS('CONTROL LOG'!$B$5:$B$204,$B37,'CONTROL LOG'!$H$5:$H$204,"&lt;&gt;",'CONTROL LOG'!$H$5:$H$204,"&lt;&gt;Closed",'CONTROL LOG'!$H$5:$H$204,"&lt;&gt;Superseded"))</x:f>
      </x:c>
      <x:c r="M37" s="6" t="str">
        <x:f>IF($B37="","",COUNTIFS(PEP!$B$5:$B$204,$B37,PEP!$P$5:$P$204,"&lt;&gt;OK",PEP!$P$5:$P$204,"&lt;&gt;"))</x:f>
      </x:c>
      <x:c r="N37" s="6" t="str">
        <x:f>IF($B37="","",IFERROR(INDEX(InitiativesTable[Proposed Status / Health change],MATCH($B37,InitiativesTable[Initiative ID],0))&amp;"",""))</x:f>
      </x:c>
      <x:c r="O37" s="6" t="str">
        <x:f>IF($B37="","",IFERROR(INDEX(InitiativesTable[Digital Lead confirmation],MATCH($B37,InitiativesTable[Initiative ID],0))&amp;"",""))</x:f>
      </x:c>
      <x:c r="P37" s="125" t="str">
        <x:f>IF($B37="","",IF(COUNTIFS(COST!$A$5:$A$104,$B37,COST!$D$5:$D$104,"Labour")=0,"",SUMIFS(COST!$E$5:$E$104,COST!$A$5:$A$104,$B37,COST!$D$5:$D$104,"Labour")))</x:f>
      </x:c>
      <x:c r="Q37" s="125" t="str">
        <x:f>IF($B37="","",IF(COUNTIFS(COST!$A$5:$A$104,$B37,COST!$D$5:$D$104,"Labour")=0,"",SUMIFS(COST!$F$5:$F$104,COST!$A$5:$A$104,$B37,COST!$D$5:$D$104,"Labour")))</x:f>
      </x:c>
      <x:c r="R37" s="125" t="str">
        <x:f t="shared" ref="R37:R54" si="9">IF($B37="","",IF(AND($P37="",$Q37=""),"",N($P37)+N($Q37)))</x:f>
      </x:c>
      <x:c r="S37" s="125" t="str">
        <x:f>IF($B37="","",IF(COUNTIFS(COST!$A$5:$A$104,$B37,COST!$D$5:$D$104,"Labour")=0,"",SUMIFS(COST!$T$5:$T$104,COST!$A$5:$A$104,$B37,COST!$D$5:$D$104,"Labour")))</x:f>
      </x:c>
      <x:c r="T37" s="125" t="str">
        <x:f t="shared" ref="T37:T54" si="10">IF(OR($B37="",$R37="",$S37=""),"",$R37-$S37)</x:f>
      </x:c>
      <x:c r="U37" s="7" t="str">
        <x:f t="shared" ref="U37:U54" si="11">IF(OR($B37="",$R37="",$R37=0,$S37=""),"",$S37/$R37)</x:f>
      </x:c>
      <x:c r="V37" s="125" t="str">
        <x:f>IF($B37="","",IF(COUNTIFS(COST!$A$5:$A$104,$B37,COST!$D$5:$D$104,"Fees")=0,"",SUMIFS(COST!$E$5:$E$104,COST!$A$5:$A$104,$B37,COST!$D$5:$D$104,"Fees")))</x:f>
      </x:c>
      <x:c r="W37" s="125" t="str">
        <x:f>IF($B37="","",IF(COUNTIFS(COST!$A$5:$A$104,$B37,COST!$D$5:$D$104,"Fees")=0,"",SUMIFS(COST!$F$5:$F$104,COST!$A$5:$A$104,$B37,COST!$D$5:$D$104,"Fees")))</x:f>
      </x:c>
      <x:c r="X37" s="125" t="str">
        <x:f t="shared" ref="X37:X54" si="12">IF($B37="","",IF(AND($V37="",$W37=""),"",N($V37)+N($W37)))</x:f>
      </x:c>
      <x:c r="Y37" s="125" t="str">
        <x:f>IF($B37="","",IF(COUNTIFS(COST!$A$5:$A$104,$B37,COST!$D$5:$D$104,"Fees")=0,"",SUMIFS(COST!$T$5:$T$104,COST!$A$5:$A$104,$B37,COST!$D$5:$D$104,"Fees")))</x:f>
      </x:c>
      <x:c r="Z37" s="125" t="str">
        <x:f t="shared" ref="Z37:Z54" si="13">IF(OR($B37="",$X37="",$Y37=""),"",$X37-$Y37)</x:f>
      </x:c>
      <x:c r="AA37" s="127" t="str">
        <x:f t="shared" si="7">IFERROR(IF(OR($B37="",$U37="",$U37=0,$G37=""),"",($G37/100)/$U37),"")</x:f>
      </x:c>
      <x:c r="AB37" s="118" t="str">
        <x:f>IF($B37="","",IFERROR(INDEX(InitiativesTable[Delivery group],MATCH($B37,InitiativesTable[Initiative ID],0))&amp;"",""))</x:f>
      </x:c>
      <x:c r="AC37" s="118" t="str">
        <x:f>IF($B37="","",IFERROR(INDEX(InitiativesTable[Entry basis],MATCH($B37,InitiativesTable[Initiative ID],0))&amp;"",""))</x:f>
      </x:c>
      <x:c r="AD37" s="118" t="str">
        <x:f>IF($B37="","",IFERROR(INDEX(InitiativesTable[Delivery model],MATCH($B37,InitiativesTable[Initiative ID],0))&amp;"",""))</x:f>
      </x:c>
      <x:c r="AE37" s="118" t="str">
        <x:f>IF($B37="","",IFERROR(INDEX(InitiativesTable[Detailed plan owner],MATCH($B37,InitiativesTable[Initiative ID],0))&amp;"",""))</x:f>
      </x:c>
      <x:c r="AF37" s="118" t="str">
        <x:f>IF($B37="","",IFERROR(INDEX(InitiativesTable[Budget / cost owner],MATCH($B37,InitiativesTable[Initiative ID],0))&amp;"",""))</x:f>
      </x:c>
      <x:c r="AG37" s="118" t="str">
        <x:f>IF($B37="","",IFERROR(INDEX(InitiativesTable[Digital financial reporting basis],MATCH($B37,InitiativesTable[Initiative ID],0))&amp;"",""))</x:f>
      </x:c>
    </x:row>
    <x:row r="38" ht="20.049999237060547" customHeight="1">
      <x:c r="A38" s="121" t="str">
        <x:f t="shared" ca="1" si="8">IF($B38="","",TODAY())</x:f>
      </x:c>
      <x:c r="B38" s="6" t="str" cm="1">
        <x:f t="array" ref="B38">IFERROR(IF(INDEX(InitiativesTable[Initiative ID],34)="","",INDEX(InitiativesTable[Initiative ID],34)),"")</x:f>
      </x:c>
      <x:c r="C38" s="6" t="str">
        <x:f>IF($B38="","",IFERROR(INDEX(InitiativesTable[Initiative title],MATCH($B38,InitiativesTable[Initiative ID],0))&amp;"",""))</x:f>
      </x:c>
      <x:c r="D38" s="6" t="str">
        <x:f>IF($B38="","",IFERROR(INDEX(InitiativesTable[Lifecycle Status],MATCH($B38,InitiativesTable[Initiative ID],0))&amp;"",""))</x:f>
      </x:c>
      <x:c r="E38" s="6" t="str">
        <x:f>IF($B38="","",IFERROR(INDEX(InitiativesTable[Health],MATCH($B38,InitiativesTable[Initiative ID],0))&amp;"",""))</x:f>
      </x:c>
      <x:c r="F38" s="123" t="str">
        <x:f>IF($B38="","",IF(OR(COUNTIFS(PEP!$B$5:$B$204,$B38,PEP!$C$5:$C$204,"Initiative")&lt;&gt;1,COUNTIFS(PEP!$B$5:$B$204,$B38,PEP!$C$5:$C$204,"Activity")+COUNTIFS(PEP!$B$5:$B$204,$B38,PEP!$C$5:$C$204,"Variation")=0,COUNTIFS(PEP!$B$5:$B$204,$B38,PEP!$C$5:$C$204,"Activity")+COUNTIFS(PEP!$B$5:$B$204,$B38,PEP!$C$5:$C$204,"Variation")&lt;&gt;COUNTIFS(PEP!$B$5:$B$204,$B38,PEP!$C$5:$C$204,"Activity",PEP!$P$5:$P$204,"OK")+COUNTIFS(PEP!$B$5:$B$204,$B38,PEP!$C$5:$C$204,"Variation",PEP!$P$5:$P$204,"OK")),"",100*SUMIFS(PEP!$K$5:$K$204,PEP!$B$5:$B$204,$B38,PEP!$C$5:$C$204,"Initiative")))</x:f>
      </x:c>
      <x:c r="G38" s="123" t="str">
        <x:f>IF($B38="","",IF(OR(COUNTIFS(PEP!$B$5:$B$204,$B38,PEP!$C$5:$C$204,"Initiative")&lt;&gt;1,COUNTIFS(PEP!$B$5:$B$204,$B38,PEP!$C$5:$C$204,"Activity")+COUNTIFS(PEP!$B$5:$B$204,$B38,PEP!$C$5:$C$204,"Variation")=0,COUNTIFS(PEP!$B$5:$B$204,$B38,PEP!$C$5:$C$204,"Activity")+COUNTIFS(PEP!$B$5:$B$204,$B38,PEP!$C$5:$C$204,"Variation")&lt;&gt;COUNTIFS(PEP!$B$5:$B$204,$B38,PEP!$C$5:$C$204,"Activity",PEP!$P$5:$P$204,"OK")+COUNTIFS(PEP!$B$5:$B$204,$B38,PEP!$C$5:$C$204,"Variation",PEP!$P$5:$P$204,"OK")),"",100*SUMIFS(PEP!$L$5:$L$204,PEP!$B$5:$B$204,$B38,PEP!$C$5:$C$204,"Initiative")))</x:f>
      </x:c>
      <x:c r="H38" s="123" t="str">
        <x:f t="shared" si="6">IF(OR($F38="",$G38=""),"",$G38-$F38)</x:f>
      </x:c>
      <x:c r="I38" s="121" t="str">
        <x:f>IF($B38="","",IFERROR(IF(INDEX(InitiativesTable[Baseline finish],MATCH($B38,InitiativesTable[Initiative ID],0))=0,"",INDEX(InitiativesTable[Baseline finish],MATCH($B38,InitiativesTable[Initiative ID],0))),""))</x:f>
      </x:c>
      <x:c r="J38" s="121" t="str">
        <x:f>IF($B38="","",IFERROR(IF(INDEX(InitiativesTable[Forecast finish],MATCH($B38,InitiativesTable[Initiative ID],0))=0,"",INDEX(InitiativesTable[Forecast finish],MATCH($B38,InitiativesTable[Initiative ID],0))),""))</x:f>
      </x:c>
      <x:c r="K38" s="6" t="str">
        <x:f>IF($B38="","",COUNTIFS(PEP!$B$5:$B$204,$B38,PEP!$C$5:$C$204,"Activity",PEP!$N$5:$N$204,"Late")+COUNTIFS(PEP!$B$5:$B$204,$B38,PEP!$C$5:$C$204,"Variation",PEP!$N$5:$N$204,"Late"))</x:f>
      </x:c>
      <x:c r="L38" s="6" t="str">
        <x:f>IF($B38="","",COUNTIFS('CONTROL LOG'!$B$5:$B$204,$B38,'CONTROL LOG'!$H$5:$H$204,"&lt;&gt;",'CONTROL LOG'!$H$5:$H$204,"&lt;&gt;Closed",'CONTROL LOG'!$H$5:$H$204,"&lt;&gt;Superseded"))</x:f>
      </x:c>
      <x:c r="M38" s="6" t="str">
        <x:f>IF($B38="","",COUNTIFS(PEP!$B$5:$B$204,$B38,PEP!$P$5:$P$204,"&lt;&gt;OK",PEP!$P$5:$P$204,"&lt;&gt;"))</x:f>
      </x:c>
      <x:c r="N38" s="6" t="str">
        <x:f>IF($B38="","",IFERROR(INDEX(InitiativesTable[Proposed Status / Health change],MATCH($B38,InitiativesTable[Initiative ID],0))&amp;"",""))</x:f>
      </x:c>
      <x:c r="O38" s="6" t="str">
        <x:f>IF($B38="","",IFERROR(INDEX(InitiativesTable[Digital Lead confirmation],MATCH($B38,InitiativesTable[Initiative ID],0))&amp;"",""))</x:f>
      </x:c>
      <x:c r="P38" s="125" t="str">
        <x:f>IF($B38="","",IF(COUNTIFS(COST!$A$5:$A$104,$B38,COST!$D$5:$D$104,"Labour")=0,"",SUMIFS(COST!$E$5:$E$104,COST!$A$5:$A$104,$B38,COST!$D$5:$D$104,"Labour")))</x:f>
      </x:c>
      <x:c r="Q38" s="125" t="str">
        <x:f>IF($B38="","",IF(COUNTIFS(COST!$A$5:$A$104,$B38,COST!$D$5:$D$104,"Labour")=0,"",SUMIFS(COST!$F$5:$F$104,COST!$A$5:$A$104,$B38,COST!$D$5:$D$104,"Labour")))</x:f>
      </x:c>
      <x:c r="R38" s="125" t="str">
        <x:f t="shared" si="9">IF($B38="","",IF(AND($P38="",$Q38=""),"",N($P38)+N($Q38)))</x:f>
      </x:c>
      <x:c r="S38" s="125" t="str">
        <x:f>IF($B38="","",IF(COUNTIFS(COST!$A$5:$A$104,$B38,COST!$D$5:$D$104,"Labour")=0,"",SUMIFS(COST!$T$5:$T$104,COST!$A$5:$A$104,$B38,COST!$D$5:$D$104,"Labour")))</x:f>
      </x:c>
      <x:c r="T38" s="125" t="str">
        <x:f t="shared" si="10">IF(OR($B38="",$R38="",$S38=""),"",$R38-$S38)</x:f>
      </x:c>
      <x:c r="U38" s="7" t="str">
        <x:f t="shared" si="11">IF(OR($B38="",$R38="",$R38=0,$S38=""),"",$S38/$R38)</x:f>
      </x:c>
      <x:c r="V38" s="125" t="str">
        <x:f>IF($B38="","",IF(COUNTIFS(COST!$A$5:$A$104,$B38,COST!$D$5:$D$104,"Fees")=0,"",SUMIFS(COST!$E$5:$E$104,COST!$A$5:$A$104,$B38,COST!$D$5:$D$104,"Fees")))</x:f>
      </x:c>
      <x:c r="W38" s="125" t="str">
        <x:f>IF($B38="","",IF(COUNTIFS(COST!$A$5:$A$104,$B38,COST!$D$5:$D$104,"Fees")=0,"",SUMIFS(COST!$F$5:$F$104,COST!$A$5:$A$104,$B38,COST!$D$5:$D$104,"Fees")))</x:f>
      </x:c>
      <x:c r="X38" s="125" t="str">
        <x:f t="shared" si="12">IF($B38="","",IF(AND($V38="",$W38=""),"",N($V38)+N($W38)))</x:f>
      </x:c>
      <x:c r="Y38" s="125" t="str">
        <x:f>IF($B38="","",IF(COUNTIFS(COST!$A$5:$A$104,$B38,COST!$D$5:$D$104,"Fees")=0,"",SUMIFS(COST!$T$5:$T$104,COST!$A$5:$A$104,$B38,COST!$D$5:$D$104,"Fees")))</x:f>
      </x:c>
      <x:c r="Z38" s="125" t="str">
        <x:f t="shared" si="13">IF(OR($B38="",$X38="",$Y38=""),"",$X38-$Y38)</x:f>
      </x:c>
      <x:c r="AA38" s="127" t="str">
        <x:f t="shared" si="7">IFERROR(IF(OR($B38="",$U38="",$U38=0,$G38=""),"",($G38/100)/$U38),"")</x:f>
      </x:c>
      <x:c r="AB38" s="118" t="str">
        <x:f>IF($B38="","",IFERROR(INDEX(InitiativesTable[Delivery group],MATCH($B38,InitiativesTable[Initiative ID],0))&amp;"",""))</x:f>
      </x:c>
      <x:c r="AC38" s="118" t="str">
        <x:f>IF($B38="","",IFERROR(INDEX(InitiativesTable[Entry basis],MATCH($B38,InitiativesTable[Initiative ID],0))&amp;"",""))</x:f>
      </x:c>
      <x:c r="AD38" s="118" t="str">
        <x:f>IF($B38="","",IFERROR(INDEX(InitiativesTable[Delivery model],MATCH($B38,InitiativesTable[Initiative ID],0))&amp;"",""))</x:f>
      </x:c>
      <x:c r="AE38" s="118" t="str">
        <x:f>IF($B38="","",IFERROR(INDEX(InitiativesTable[Detailed plan owner],MATCH($B38,InitiativesTable[Initiative ID],0))&amp;"",""))</x:f>
      </x:c>
      <x:c r="AF38" s="118" t="str">
        <x:f>IF($B38="","",IFERROR(INDEX(InitiativesTable[Budget / cost owner],MATCH($B38,InitiativesTable[Initiative ID],0))&amp;"",""))</x:f>
      </x:c>
      <x:c r="AG38" s="118" t="str">
        <x:f>IF($B38="","",IFERROR(INDEX(InitiativesTable[Digital financial reporting basis],MATCH($B38,InitiativesTable[Initiative ID],0))&amp;"",""))</x:f>
      </x:c>
    </x:row>
    <x:row r="39" ht="20.049999237060547" customHeight="1">
      <x:c r="A39" s="121" t="str">
        <x:f t="shared" ca="1" si="8">IF($B39="","",TODAY())</x:f>
      </x:c>
      <x:c r="B39" s="6" t="str" cm="1">
        <x:f t="array" ref="B39">IFERROR(IF(INDEX(InitiativesTable[Initiative ID],35)="","",INDEX(InitiativesTable[Initiative ID],35)),"")</x:f>
      </x:c>
      <x:c r="C39" s="6" t="str">
        <x:f>IF($B39="","",IFERROR(INDEX(InitiativesTable[Initiative title],MATCH($B39,InitiativesTable[Initiative ID],0))&amp;"",""))</x:f>
      </x:c>
      <x:c r="D39" s="6" t="str">
        <x:f>IF($B39="","",IFERROR(INDEX(InitiativesTable[Lifecycle Status],MATCH($B39,InitiativesTable[Initiative ID],0))&amp;"",""))</x:f>
      </x:c>
      <x:c r="E39" s="6" t="str">
        <x:f>IF($B39="","",IFERROR(INDEX(InitiativesTable[Health],MATCH($B39,InitiativesTable[Initiative ID],0))&amp;"",""))</x:f>
      </x:c>
      <x:c r="F39" s="123" t="str">
        <x:f>IF($B39="","",IF(OR(COUNTIFS(PEP!$B$5:$B$204,$B39,PEP!$C$5:$C$204,"Initiative")&lt;&gt;1,COUNTIFS(PEP!$B$5:$B$204,$B39,PEP!$C$5:$C$204,"Activity")+COUNTIFS(PEP!$B$5:$B$204,$B39,PEP!$C$5:$C$204,"Variation")=0,COUNTIFS(PEP!$B$5:$B$204,$B39,PEP!$C$5:$C$204,"Activity")+COUNTIFS(PEP!$B$5:$B$204,$B39,PEP!$C$5:$C$204,"Variation")&lt;&gt;COUNTIFS(PEP!$B$5:$B$204,$B39,PEP!$C$5:$C$204,"Activity",PEP!$P$5:$P$204,"OK")+COUNTIFS(PEP!$B$5:$B$204,$B39,PEP!$C$5:$C$204,"Variation",PEP!$P$5:$P$204,"OK")),"",100*SUMIFS(PEP!$K$5:$K$204,PEP!$B$5:$B$204,$B39,PEP!$C$5:$C$204,"Initiative")))</x:f>
      </x:c>
      <x:c r="G39" s="123" t="str">
        <x:f>IF($B39="","",IF(OR(COUNTIFS(PEP!$B$5:$B$204,$B39,PEP!$C$5:$C$204,"Initiative")&lt;&gt;1,COUNTIFS(PEP!$B$5:$B$204,$B39,PEP!$C$5:$C$204,"Activity")+COUNTIFS(PEP!$B$5:$B$204,$B39,PEP!$C$5:$C$204,"Variation")=0,COUNTIFS(PEP!$B$5:$B$204,$B39,PEP!$C$5:$C$204,"Activity")+COUNTIFS(PEP!$B$5:$B$204,$B39,PEP!$C$5:$C$204,"Variation")&lt;&gt;COUNTIFS(PEP!$B$5:$B$204,$B39,PEP!$C$5:$C$204,"Activity",PEP!$P$5:$P$204,"OK")+COUNTIFS(PEP!$B$5:$B$204,$B39,PEP!$C$5:$C$204,"Variation",PEP!$P$5:$P$204,"OK")),"",100*SUMIFS(PEP!$L$5:$L$204,PEP!$B$5:$B$204,$B39,PEP!$C$5:$C$204,"Initiative")))</x:f>
      </x:c>
      <x:c r="H39" s="123" t="str">
        <x:f t="shared" si="6">IF(OR($F39="",$G39=""),"",$G39-$F39)</x:f>
      </x:c>
      <x:c r="I39" s="121" t="str">
        <x:f>IF($B39="","",IFERROR(IF(INDEX(InitiativesTable[Baseline finish],MATCH($B39,InitiativesTable[Initiative ID],0))=0,"",INDEX(InitiativesTable[Baseline finish],MATCH($B39,InitiativesTable[Initiative ID],0))),""))</x:f>
      </x:c>
      <x:c r="J39" s="121" t="str">
        <x:f>IF($B39="","",IFERROR(IF(INDEX(InitiativesTable[Forecast finish],MATCH($B39,InitiativesTable[Initiative ID],0))=0,"",INDEX(InitiativesTable[Forecast finish],MATCH($B39,InitiativesTable[Initiative ID],0))),""))</x:f>
      </x:c>
      <x:c r="K39" s="6" t="str">
        <x:f>IF($B39="","",COUNTIFS(PEP!$B$5:$B$204,$B39,PEP!$C$5:$C$204,"Activity",PEP!$N$5:$N$204,"Late")+COUNTIFS(PEP!$B$5:$B$204,$B39,PEP!$C$5:$C$204,"Variation",PEP!$N$5:$N$204,"Late"))</x:f>
      </x:c>
      <x:c r="L39" s="6" t="str">
        <x:f>IF($B39="","",COUNTIFS('CONTROL LOG'!$B$5:$B$204,$B39,'CONTROL LOG'!$H$5:$H$204,"&lt;&gt;",'CONTROL LOG'!$H$5:$H$204,"&lt;&gt;Closed",'CONTROL LOG'!$H$5:$H$204,"&lt;&gt;Superseded"))</x:f>
      </x:c>
      <x:c r="M39" s="6" t="str">
        <x:f>IF($B39="","",COUNTIFS(PEP!$B$5:$B$204,$B39,PEP!$P$5:$P$204,"&lt;&gt;OK",PEP!$P$5:$P$204,"&lt;&gt;"))</x:f>
      </x:c>
      <x:c r="N39" s="6" t="str">
        <x:f>IF($B39="","",IFERROR(INDEX(InitiativesTable[Proposed Status / Health change],MATCH($B39,InitiativesTable[Initiative ID],0))&amp;"",""))</x:f>
      </x:c>
      <x:c r="O39" s="6" t="str">
        <x:f>IF($B39="","",IFERROR(INDEX(InitiativesTable[Digital Lead confirmation],MATCH($B39,InitiativesTable[Initiative ID],0))&amp;"",""))</x:f>
      </x:c>
      <x:c r="P39" s="125" t="str">
        <x:f>IF($B39="","",IF(COUNTIFS(COST!$A$5:$A$104,$B39,COST!$D$5:$D$104,"Labour")=0,"",SUMIFS(COST!$E$5:$E$104,COST!$A$5:$A$104,$B39,COST!$D$5:$D$104,"Labour")))</x:f>
      </x:c>
      <x:c r="Q39" s="125" t="str">
        <x:f>IF($B39="","",IF(COUNTIFS(COST!$A$5:$A$104,$B39,COST!$D$5:$D$104,"Labour")=0,"",SUMIFS(COST!$F$5:$F$104,COST!$A$5:$A$104,$B39,COST!$D$5:$D$104,"Labour")))</x:f>
      </x:c>
      <x:c r="R39" s="125" t="str">
        <x:f t="shared" si="9">IF($B39="","",IF(AND($P39="",$Q39=""),"",N($P39)+N($Q39)))</x:f>
      </x:c>
      <x:c r="S39" s="125" t="str">
        <x:f>IF($B39="","",IF(COUNTIFS(COST!$A$5:$A$104,$B39,COST!$D$5:$D$104,"Labour")=0,"",SUMIFS(COST!$T$5:$T$104,COST!$A$5:$A$104,$B39,COST!$D$5:$D$104,"Labour")))</x:f>
      </x:c>
      <x:c r="T39" s="125" t="str">
        <x:f t="shared" si="10">IF(OR($B39="",$R39="",$S39=""),"",$R39-$S39)</x:f>
      </x:c>
      <x:c r="U39" s="7" t="str">
        <x:f t="shared" si="11">IF(OR($B39="",$R39="",$R39=0,$S39=""),"",$S39/$R39)</x:f>
      </x:c>
      <x:c r="V39" s="125" t="str">
        <x:f>IF($B39="","",IF(COUNTIFS(COST!$A$5:$A$104,$B39,COST!$D$5:$D$104,"Fees")=0,"",SUMIFS(COST!$E$5:$E$104,COST!$A$5:$A$104,$B39,COST!$D$5:$D$104,"Fees")))</x:f>
      </x:c>
      <x:c r="W39" s="125" t="str">
        <x:f>IF($B39="","",IF(COUNTIFS(COST!$A$5:$A$104,$B39,COST!$D$5:$D$104,"Fees")=0,"",SUMIFS(COST!$F$5:$F$104,COST!$A$5:$A$104,$B39,COST!$D$5:$D$104,"Fees")))</x:f>
      </x:c>
      <x:c r="X39" s="125" t="str">
        <x:f t="shared" si="12">IF($B39="","",IF(AND($V39="",$W39=""),"",N($V39)+N($W39)))</x:f>
      </x:c>
      <x:c r="Y39" s="125" t="str">
        <x:f>IF($B39="","",IF(COUNTIFS(COST!$A$5:$A$104,$B39,COST!$D$5:$D$104,"Fees")=0,"",SUMIFS(COST!$T$5:$T$104,COST!$A$5:$A$104,$B39,COST!$D$5:$D$104,"Fees")))</x:f>
      </x:c>
      <x:c r="Z39" s="125" t="str">
        <x:f t="shared" si="13">IF(OR($B39="",$X39="",$Y39=""),"",$X39-$Y39)</x:f>
      </x:c>
      <x:c r="AA39" s="127" t="str">
        <x:f t="shared" si="7">IFERROR(IF(OR($B39="",$U39="",$U39=0,$G39=""),"",($G39/100)/$U39),"")</x:f>
      </x:c>
      <x:c r="AB39" s="118" t="str">
        <x:f>IF($B39="","",IFERROR(INDEX(InitiativesTable[Delivery group],MATCH($B39,InitiativesTable[Initiative ID],0))&amp;"",""))</x:f>
      </x:c>
      <x:c r="AC39" s="118" t="str">
        <x:f>IF($B39="","",IFERROR(INDEX(InitiativesTable[Entry basis],MATCH($B39,InitiativesTable[Initiative ID],0))&amp;"",""))</x:f>
      </x:c>
      <x:c r="AD39" s="118" t="str">
        <x:f>IF($B39="","",IFERROR(INDEX(InitiativesTable[Delivery model],MATCH($B39,InitiativesTable[Initiative ID],0))&amp;"",""))</x:f>
      </x:c>
      <x:c r="AE39" s="118" t="str">
        <x:f>IF($B39="","",IFERROR(INDEX(InitiativesTable[Detailed plan owner],MATCH($B39,InitiativesTable[Initiative ID],0))&amp;"",""))</x:f>
      </x:c>
      <x:c r="AF39" s="118" t="str">
        <x:f>IF($B39="","",IFERROR(INDEX(InitiativesTable[Budget / cost owner],MATCH($B39,InitiativesTable[Initiative ID],0))&amp;"",""))</x:f>
      </x:c>
      <x:c r="AG39" s="118" t="str">
        <x:f>IF($B39="","",IFERROR(INDEX(InitiativesTable[Digital financial reporting basis],MATCH($B39,InitiativesTable[Initiative ID],0))&amp;"",""))</x:f>
      </x:c>
    </x:row>
    <x:row r="40" ht="20.049999237060547" customHeight="1">
      <x:c r="A40" s="121" t="str">
        <x:f t="shared" ca="1" si="8">IF($B40="","",TODAY())</x:f>
      </x:c>
      <x:c r="B40" s="6" t="str" cm="1">
        <x:f t="array" ref="B40">IFERROR(IF(INDEX(InitiativesTable[Initiative ID],36)="","",INDEX(InitiativesTable[Initiative ID],36)),"")</x:f>
      </x:c>
      <x:c r="C40" s="6" t="str">
        <x:f>IF($B40="","",IFERROR(INDEX(InitiativesTable[Initiative title],MATCH($B40,InitiativesTable[Initiative ID],0))&amp;"",""))</x:f>
      </x:c>
      <x:c r="D40" s="6" t="str">
        <x:f>IF($B40="","",IFERROR(INDEX(InitiativesTable[Lifecycle Status],MATCH($B40,InitiativesTable[Initiative ID],0))&amp;"",""))</x:f>
      </x:c>
      <x:c r="E40" s="6" t="str">
        <x:f>IF($B40="","",IFERROR(INDEX(InitiativesTable[Health],MATCH($B40,InitiativesTable[Initiative ID],0))&amp;"",""))</x:f>
      </x:c>
      <x:c r="F40" s="123" t="str">
        <x:f>IF($B40="","",IF(OR(COUNTIFS(PEP!$B$5:$B$204,$B40,PEP!$C$5:$C$204,"Initiative")&lt;&gt;1,COUNTIFS(PEP!$B$5:$B$204,$B40,PEP!$C$5:$C$204,"Activity")+COUNTIFS(PEP!$B$5:$B$204,$B40,PEP!$C$5:$C$204,"Variation")=0,COUNTIFS(PEP!$B$5:$B$204,$B40,PEP!$C$5:$C$204,"Activity")+COUNTIFS(PEP!$B$5:$B$204,$B40,PEP!$C$5:$C$204,"Variation")&lt;&gt;COUNTIFS(PEP!$B$5:$B$204,$B40,PEP!$C$5:$C$204,"Activity",PEP!$P$5:$P$204,"OK")+COUNTIFS(PEP!$B$5:$B$204,$B40,PEP!$C$5:$C$204,"Variation",PEP!$P$5:$P$204,"OK")),"",100*SUMIFS(PEP!$K$5:$K$204,PEP!$B$5:$B$204,$B40,PEP!$C$5:$C$204,"Initiative")))</x:f>
      </x:c>
      <x:c r="G40" s="123" t="str">
        <x:f>IF($B40="","",IF(OR(COUNTIFS(PEP!$B$5:$B$204,$B40,PEP!$C$5:$C$204,"Initiative")&lt;&gt;1,COUNTIFS(PEP!$B$5:$B$204,$B40,PEP!$C$5:$C$204,"Activity")+COUNTIFS(PEP!$B$5:$B$204,$B40,PEP!$C$5:$C$204,"Variation")=0,COUNTIFS(PEP!$B$5:$B$204,$B40,PEP!$C$5:$C$204,"Activity")+COUNTIFS(PEP!$B$5:$B$204,$B40,PEP!$C$5:$C$204,"Variation")&lt;&gt;COUNTIFS(PEP!$B$5:$B$204,$B40,PEP!$C$5:$C$204,"Activity",PEP!$P$5:$P$204,"OK")+COUNTIFS(PEP!$B$5:$B$204,$B40,PEP!$C$5:$C$204,"Variation",PEP!$P$5:$P$204,"OK")),"",100*SUMIFS(PEP!$L$5:$L$204,PEP!$B$5:$B$204,$B40,PEP!$C$5:$C$204,"Initiative")))</x:f>
      </x:c>
      <x:c r="H40" s="123" t="str">
        <x:f t="shared" si="6">IF(OR($F40="",$G40=""),"",$G40-$F40)</x:f>
      </x:c>
      <x:c r="I40" s="121" t="str">
        <x:f>IF($B40="","",IFERROR(IF(INDEX(InitiativesTable[Baseline finish],MATCH($B40,InitiativesTable[Initiative ID],0))=0,"",INDEX(InitiativesTable[Baseline finish],MATCH($B40,InitiativesTable[Initiative ID],0))),""))</x:f>
      </x:c>
      <x:c r="J40" s="121" t="str">
        <x:f>IF($B40="","",IFERROR(IF(INDEX(InitiativesTable[Forecast finish],MATCH($B40,InitiativesTable[Initiative ID],0))=0,"",INDEX(InitiativesTable[Forecast finish],MATCH($B40,InitiativesTable[Initiative ID],0))),""))</x:f>
      </x:c>
      <x:c r="K40" s="6" t="str">
        <x:f>IF($B40="","",COUNTIFS(PEP!$B$5:$B$204,$B40,PEP!$C$5:$C$204,"Activity",PEP!$N$5:$N$204,"Late")+COUNTIFS(PEP!$B$5:$B$204,$B40,PEP!$C$5:$C$204,"Variation",PEP!$N$5:$N$204,"Late"))</x:f>
      </x:c>
      <x:c r="L40" s="6" t="str">
        <x:f>IF($B40="","",COUNTIFS('CONTROL LOG'!$B$5:$B$204,$B40,'CONTROL LOG'!$H$5:$H$204,"&lt;&gt;",'CONTROL LOG'!$H$5:$H$204,"&lt;&gt;Closed",'CONTROL LOG'!$H$5:$H$204,"&lt;&gt;Superseded"))</x:f>
      </x:c>
      <x:c r="M40" s="6" t="str">
        <x:f>IF($B40="","",COUNTIFS(PEP!$B$5:$B$204,$B40,PEP!$P$5:$P$204,"&lt;&gt;OK",PEP!$P$5:$P$204,"&lt;&gt;"))</x:f>
      </x:c>
      <x:c r="N40" s="6" t="str">
        <x:f>IF($B40="","",IFERROR(INDEX(InitiativesTable[Proposed Status / Health change],MATCH($B40,InitiativesTable[Initiative ID],0))&amp;"",""))</x:f>
      </x:c>
      <x:c r="O40" s="6" t="str">
        <x:f>IF($B40="","",IFERROR(INDEX(InitiativesTable[Digital Lead confirmation],MATCH($B40,InitiativesTable[Initiative ID],0))&amp;"",""))</x:f>
      </x:c>
      <x:c r="P40" s="125" t="str">
        <x:f>IF($B40="","",IF(COUNTIFS(COST!$A$5:$A$104,$B40,COST!$D$5:$D$104,"Labour")=0,"",SUMIFS(COST!$E$5:$E$104,COST!$A$5:$A$104,$B40,COST!$D$5:$D$104,"Labour")))</x:f>
      </x:c>
      <x:c r="Q40" s="125" t="str">
        <x:f>IF($B40="","",IF(COUNTIFS(COST!$A$5:$A$104,$B40,COST!$D$5:$D$104,"Labour")=0,"",SUMIFS(COST!$F$5:$F$104,COST!$A$5:$A$104,$B40,COST!$D$5:$D$104,"Labour")))</x:f>
      </x:c>
      <x:c r="R40" s="125" t="str">
        <x:f t="shared" si="9">IF($B40="","",IF(AND($P40="",$Q40=""),"",N($P40)+N($Q40)))</x:f>
      </x:c>
      <x:c r="S40" s="125" t="str">
        <x:f>IF($B40="","",IF(COUNTIFS(COST!$A$5:$A$104,$B40,COST!$D$5:$D$104,"Labour")=0,"",SUMIFS(COST!$T$5:$T$104,COST!$A$5:$A$104,$B40,COST!$D$5:$D$104,"Labour")))</x:f>
      </x:c>
      <x:c r="T40" s="125" t="str">
        <x:f t="shared" si="10">IF(OR($B40="",$R40="",$S40=""),"",$R40-$S40)</x:f>
      </x:c>
      <x:c r="U40" s="7" t="str">
        <x:f t="shared" si="11">IF(OR($B40="",$R40="",$R40=0,$S40=""),"",$S40/$R40)</x:f>
      </x:c>
      <x:c r="V40" s="125" t="str">
        <x:f>IF($B40="","",IF(COUNTIFS(COST!$A$5:$A$104,$B40,COST!$D$5:$D$104,"Fees")=0,"",SUMIFS(COST!$E$5:$E$104,COST!$A$5:$A$104,$B40,COST!$D$5:$D$104,"Fees")))</x:f>
      </x:c>
      <x:c r="W40" s="125" t="str">
        <x:f>IF($B40="","",IF(COUNTIFS(COST!$A$5:$A$104,$B40,COST!$D$5:$D$104,"Fees")=0,"",SUMIFS(COST!$F$5:$F$104,COST!$A$5:$A$104,$B40,COST!$D$5:$D$104,"Fees")))</x:f>
      </x:c>
      <x:c r="X40" s="125" t="str">
        <x:f t="shared" si="12">IF($B40="","",IF(AND($V40="",$W40=""),"",N($V40)+N($W40)))</x:f>
      </x:c>
      <x:c r="Y40" s="125" t="str">
        <x:f>IF($B40="","",IF(COUNTIFS(COST!$A$5:$A$104,$B40,COST!$D$5:$D$104,"Fees")=0,"",SUMIFS(COST!$T$5:$T$104,COST!$A$5:$A$104,$B40,COST!$D$5:$D$104,"Fees")))</x:f>
      </x:c>
      <x:c r="Z40" s="125" t="str">
        <x:f t="shared" si="13">IF(OR($B40="",$X40="",$Y40=""),"",$X40-$Y40)</x:f>
      </x:c>
      <x:c r="AA40" s="127" t="str">
        <x:f t="shared" si="7">IFERROR(IF(OR($B40="",$U40="",$U40=0,$G40=""),"",($G40/100)/$U40),"")</x:f>
      </x:c>
      <x:c r="AB40" s="118" t="str">
        <x:f>IF($B40="","",IFERROR(INDEX(InitiativesTable[Delivery group],MATCH($B40,InitiativesTable[Initiative ID],0))&amp;"",""))</x:f>
      </x:c>
      <x:c r="AC40" s="118" t="str">
        <x:f>IF($B40="","",IFERROR(INDEX(InitiativesTable[Entry basis],MATCH($B40,InitiativesTable[Initiative ID],0))&amp;"",""))</x:f>
      </x:c>
      <x:c r="AD40" s="118" t="str">
        <x:f>IF($B40="","",IFERROR(INDEX(InitiativesTable[Delivery model],MATCH($B40,InitiativesTable[Initiative ID],0))&amp;"",""))</x:f>
      </x:c>
      <x:c r="AE40" s="118" t="str">
        <x:f>IF($B40="","",IFERROR(INDEX(InitiativesTable[Detailed plan owner],MATCH($B40,InitiativesTable[Initiative ID],0))&amp;"",""))</x:f>
      </x:c>
      <x:c r="AF40" s="118" t="str">
        <x:f>IF($B40="","",IFERROR(INDEX(InitiativesTable[Budget / cost owner],MATCH($B40,InitiativesTable[Initiative ID],0))&amp;"",""))</x:f>
      </x:c>
      <x:c r="AG40" s="118" t="str">
        <x:f>IF($B40="","",IFERROR(INDEX(InitiativesTable[Digital financial reporting basis],MATCH($B40,InitiativesTable[Initiative ID],0))&amp;"",""))</x:f>
      </x:c>
    </x:row>
    <x:row r="41" ht="20.049999237060547" customHeight="1">
      <x:c r="A41" s="121" t="str">
        <x:f t="shared" ca="1" si="8">IF($B41="","",TODAY())</x:f>
      </x:c>
      <x:c r="B41" s="6" t="str" cm="1">
        <x:f t="array" ref="B41">IFERROR(IF(INDEX(InitiativesTable[Initiative ID],37)="","",INDEX(InitiativesTable[Initiative ID],37)),"")</x:f>
      </x:c>
      <x:c r="C41" s="6" t="str">
        <x:f>IF($B41="","",IFERROR(INDEX(InitiativesTable[Initiative title],MATCH($B41,InitiativesTable[Initiative ID],0))&amp;"",""))</x:f>
      </x:c>
      <x:c r="D41" s="6" t="str">
        <x:f>IF($B41="","",IFERROR(INDEX(InitiativesTable[Lifecycle Status],MATCH($B41,InitiativesTable[Initiative ID],0))&amp;"",""))</x:f>
      </x:c>
      <x:c r="E41" s="6" t="str">
        <x:f>IF($B41="","",IFERROR(INDEX(InitiativesTable[Health],MATCH($B41,InitiativesTable[Initiative ID],0))&amp;"",""))</x:f>
      </x:c>
      <x:c r="F41" s="123" t="str">
        <x:f>IF($B41="","",IF(OR(COUNTIFS(PEP!$B$5:$B$204,$B41,PEP!$C$5:$C$204,"Initiative")&lt;&gt;1,COUNTIFS(PEP!$B$5:$B$204,$B41,PEP!$C$5:$C$204,"Activity")+COUNTIFS(PEP!$B$5:$B$204,$B41,PEP!$C$5:$C$204,"Variation")=0,COUNTIFS(PEP!$B$5:$B$204,$B41,PEP!$C$5:$C$204,"Activity")+COUNTIFS(PEP!$B$5:$B$204,$B41,PEP!$C$5:$C$204,"Variation")&lt;&gt;COUNTIFS(PEP!$B$5:$B$204,$B41,PEP!$C$5:$C$204,"Activity",PEP!$P$5:$P$204,"OK")+COUNTIFS(PEP!$B$5:$B$204,$B41,PEP!$C$5:$C$204,"Variation",PEP!$P$5:$P$204,"OK")),"",100*SUMIFS(PEP!$K$5:$K$204,PEP!$B$5:$B$204,$B41,PEP!$C$5:$C$204,"Initiative")))</x:f>
      </x:c>
      <x:c r="G41" s="123" t="str">
        <x:f>IF($B41="","",IF(OR(COUNTIFS(PEP!$B$5:$B$204,$B41,PEP!$C$5:$C$204,"Initiative")&lt;&gt;1,COUNTIFS(PEP!$B$5:$B$204,$B41,PEP!$C$5:$C$204,"Activity")+COUNTIFS(PEP!$B$5:$B$204,$B41,PEP!$C$5:$C$204,"Variation")=0,COUNTIFS(PEP!$B$5:$B$204,$B41,PEP!$C$5:$C$204,"Activity")+COUNTIFS(PEP!$B$5:$B$204,$B41,PEP!$C$5:$C$204,"Variation")&lt;&gt;COUNTIFS(PEP!$B$5:$B$204,$B41,PEP!$C$5:$C$204,"Activity",PEP!$P$5:$P$204,"OK")+COUNTIFS(PEP!$B$5:$B$204,$B41,PEP!$C$5:$C$204,"Variation",PEP!$P$5:$P$204,"OK")),"",100*SUMIFS(PEP!$L$5:$L$204,PEP!$B$5:$B$204,$B41,PEP!$C$5:$C$204,"Initiative")))</x:f>
      </x:c>
      <x:c r="H41" s="123" t="str">
        <x:f t="shared" si="6">IF(OR($F41="",$G41=""),"",$G41-$F41)</x:f>
      </x:c>
      <x:c r="I41" s="121" t="str">
        <x:f>IF($B41="","",IFERROR(IF(INDEX(InitiativesTable[Baseline finish],MATCH($B41,InitiativesTable[Initiative ID],0))=0,"",INDEX(InitiativesTable[Baseline finish],MATCH($B41,InitiativesTable[Initiative ID],0))),""))</x:f>
      </x:c>
      <x:c r="J41" s="121" t="str">
        <x:f>IF($B41="","",IFERROR(IF(INDEX(InitiativesTable[Forecast finish],MATCH($B41,InitiativesTable[Initiative ID],0))=0,"",INDEX(InitiativesTable[Forecast finish],MATCH($B41,InitiativesTable[Initiative ID],0))),""))</x:f>
      </x:c>
      <x:c r="K41" s="6" t="str">
        <x:f>IF($B41="","",COUNTIFS(PEP!$B$5:$B$204,$B41,PEP!$C$5:$C$204,"Activity",PEP!$N$5:$N$204,"Late")+COUNTIFS(PEP!$B$5:$B$204,$B41,PEP!$C$5:$C$204,"Variation",PEP!$N$5:$N$204,"Late"))</x:f>
      </x:c>
      <x:c r="L41" s="6" t="str">
        <x:f>IF($B41="","",COUNTIFS('CONTROL LOG'!$B$5:$B$204,$B41,'CONTROL LOG'!$H$5:$H$204,"&lt;&gt;",'CONTROL LOG'!$H$5:$H$204,"&lt;&gt;Closed",'CONTROL LOG'!$H$5:$H$204,"&lt;&gt;Superseded"))</x:f>
      </x:c>
      <x:c r="M41" s="6" t="str">
        <x:f>IF($B41="","",COUNTIFS(PEP!$B$5:$B$204,$B41,PEP!$P$5:$P$204,"&lt;&gt;OK",PEP!$P$5:$P$204,"&lt;&gt;"))</x:f>
      </x:c>
      <x:c r="N41" s="6" t="str">
        <x:f>IF($B41="","",IFERROR(INDEX(InitiativesTable[Proposed Status / Health change],MATCH($B41,InitiativesTable[Initiative ID],0))&amp;"",""))</x:f>
      </x:c>
      <x:c r="O41" s="6" t="str">
        <x:f>IF($B41="","",IFERROR(INDEX(InitiativesTable[Digital Lead confirmation],MATCH($B41,InitiativesTable[Initiative ID],0))&amp;"",""))</x:f>
      </x:c>
      <x:c r="P41" s="125" t="str">
        <x:f>IF($B41="","",IF(COUNTIFS(COST!$A$5:$A$104,$B41,COST!$D$5:$D$104,"Labour")=0,"",SUMIFS(COST!$E$5:$E$104,COST!$A$5:$A$104,$B41,COST!$D$5:$D$104,"Labour")))</x:f>
      </x:c>
      <x:c r="Q41" s="125" t="str">
        <x:f>IF($B41="","",IF(COUNTIFS(COST!$A$5:$A$104,$B41,COST!$D$5:$D$104,"Labour")=0,"",SUMIFS(COST!$F$5:$F$104,COST!$A$5:$A$104,$B41,COST!$D$5:$D$104,"Labour")))</x:f>
      </x:c>
      <x:c r="R41" s="125" t="str">
        <x:f t="shared" si="9">IF($B41="","",IF(AND($P41="",$Q41=""),"",N($P41)+N($Q41)))</x:f>
      </x:c>
      <x:c r="S41" s="125" t="str">
        <x:f>IF($B41="","",IF(COUNTIFS(COST!$A$5:$A$104,$B41,COST!$D$5:$D$104,"Labour")=0,"",SUMIFS(COST!$T$5:$T$104,COST!$A$5:$A$104,$B41,COST!$D$5:$D$104,"Labour")))</x:f>
      </x:c>
      <x:c r="T41" s="125" t="str">
        <x:f t="shared" si="10">IF(OR($B41="",$R41="",$S41=""),"",$R41-$S41)</x:f>
      </x:c>
      <x:c r="U41" s="7" t="str">
        <x:f t="shared" si="11">IF(OR($B41="",$R41="",$R41=0,$S41=""),"",$S41/$R41)</x:f>
      </x:c>
      <x:c r="V41" s="125" t="str">
        <x:f>IF($B41="","",IF(COUNTIFS(COST!$A$5:$A$104,$B41,COST!$D$5:$D$104,"Fees")=0,"",SUMIFS(COST!$E$5:$E$104,COST!$A$5:$A$104,$B41,COST!$D$5:$D$104,"Fees")))</x:f>
      </x:c>
      <x:c r="W41" s="125" t="str">
        <x:f>IF($B41="","",IF(COUNTIFS(COST!$A$5:$A$104,$B41,COST!$D$5:$D$104,"Fees")=0,"",SUMIFS(COST!$F$5:$F$104,COST!$A$5:$A$104,$B41,COST!$D$5:$D$104,"Fees")))</x:f>
      </x:c>
      <x:c r="X41" s="125" t="str">
        <x:f t="shared" si="12">IF($B41="","",IF(AND($V41="",$W41=""),"",N($V41)+N($W41)))</x:f>
      </x:c>
      <x:c r="Y41" s="125" t="str">
        <x:f>IF($B41="","",IF(COUNTIFS(COST!$A$5:$A$104,$B41,COST!$D$5:$D$104,"Fees")=0,"",SUMIFS(COST!$T$5:$T$104,COST!$A$5:$A$104,$B41,COST!$D$5:$D$104,"Fees")))</x:f>
      </x:c>
      <x:c r="Z41" s="125" t="str">
        <x:f t="shared" si="13">IF(OR($B41="",$X41="",$Y41=""),"",$X41-$Y41)</x:f>
      </x:c>
      <x:c r="AA41" s="127" t="str">
        <x:f t="shared" si="7">IFERROR(IF(OR($B41="",$U41="",$U41=0,$G41=""),"",($G41/100)/$U41),"")</x:f>
      </x:c>
      <x:c r="AB41" s="118" t="str">
        <x:f>IF($B41="","",IFERROR(INDEX(InitiativesTable[Delivery group],MATCH($B41,InitiativesTable[Initiative ID],0))&amp;"",""))</x:f>
      </x:c>
      <x:c r="AC41" s="118" t="str">
        <x:f>IF($B41="","",IFERROR(INDEX(InitiativesTable[Entry basis],MATCH($B41,InitiativesTable[Initiative ID],0))&amp;"",""))</x:f>
      </x:c>
      <x:c r="AD41" s="118" t="str">
        <x:f>IF($B41="","",IFERROR(INDEX(InitiativesTable[Delivery model],MATCH($B41,InitiativesTable[Initiative ID],0))&amp;"",""))</x:f>
      </x:c>
      <x:c r="AE41" s="118" t="str">
        <x:f>IF($B41="","",IFERROR(INDEX(InitiativesTable[Detailed plan owner],MATCH($B41,InitiativesTable[Initiative ID],0))&amp;"",""))</x:f>
      </x:c>
      <x:c r="AF41" s="118" t="str">
        <x:f>IF($B41="","",IFERROR(INDEX(InitiativesTable[Budget / cost owner],MATCH($B41,InitiativesTable[Initiative ID],0))&amp;"",""))</x:f>
      </x:c>
      <x:c r="AG41" s="118" t="str">
        <x:f>IF($B41="","",IFERROR(INDEX(InitiativesTable[Digital financial reporting basis],MATCH($B41,InitiativesTable[Initiative ID],0))&amp;"",""))</x:f>
      </x:c>
    </x:row>
    <x:row r="42" ht="20.049999237060547" customHeight="1">
      <x:c r="A42" s="121" t="str">
        <x:f t="shared" ca="1" si="8">IF($B42="","",TODAY())</x:f>
      </x:c>
      <x:c r="B42" s="6" t="str" cm="1">
        <x:f t="array" ref="B42">IFERROR(IF(INDEX(InitiativesTable[Initiative ID],38)="","",INDEX(InitiativesTable[Initiative ID],38)),"")</x:f>
      </x:c>
      <x:c r="C42" s="6" t="str">
        <x:f>IF($B42="","",IFERROR(INDEX(InitiativesTable[Initiative title],MATCH($B42,InitiativesTable[Initiative ID],0))&amp;"",""))</x:f>
      </x:c>
      <x:c r="D42" s="6" t="str">
        <x:f>IF($B42="","",IFERROR(INDEX(InitiativesTable[Lifecycle Status],MATCH($B42,InitiativesTable[Initiative ID],0))&amp;"",""))</x:f>
      </x:c>
      <x:c r="E42" s="6" t="str">
        <x:f>IF($B42="","",IFERROR(INDEX(InitiativesTable[Health],MATCH($B42,InitiativesTable[Initiative ID],0))&amp;"",""))</x:f>
      </x:c>
      <x:c r="F42" s="123" t="str">
        <x:f>IF($B42="","",IF(OR(COUNTIFS(PEP!$B$5:$B$204,$B42,PEP!$C$5:$C$204,"Initiative")&lt;&gt;1,COUNTIFS(PEP!$B$5:$B$204,$B42,PEP!$C$5:$C$204,"Activity")+COUNTIFS(PEP!$B$5:$B$204,$B42,PEP!$C$5:$C$204,"Variation")=0,COUNTIFS(PEP!$B$5:$B$204,$B42,PEP!$C$5:$C$204,"Activity")+COUNTIFS(PEP!$B$5:$B$204,$B42,PEP!$C$5:$C$204,"Variation")&lt;&gt;COUNTIFS(PEP!$B$5:$B$204,$B42,PEP!$C$5:$C$204,"Activity",PEP!$P$5:$P$204,"OK")+COUNTIFS(PEP!$B$5:$B$204,$B42,PEP!$C$5:$C$204,"Variation",PEP!$P$5:$P$204,"OK")),"",100*SUMIFS(PEP!$K$5:$K$204,PEP!$B$5:$B$204,$B42,PEP!$C$5:$C$204,"Initiative")))</x:f>
      </x:c>
      <x:c r="G42" s="123" t="str">
        <x:f>IF($B42="","",IF(OR(COUNTIFS(PEP!$B$5:$B$204,$B42,PEP!$C$5:$C$204,"Initiative")&lt;&gt;1,COUNTIFS(PEP!$B$5:$B$204,$B42,PEP!$C$5:$C$204,"Activity")+COUNTIFS(PEP!$B$5:$B$204,$B42,PEP!$C$5:$C$204,"Variation")=0,COUNTIFS(PEP!$B$5:$B$204,$B42,PEP!$C$5:$C$204,"Activity")+COUNTIFS(PEP!$B$5:$B$204,$B42,PEP!$C$5:$C$204,"Variation")&lt;&gt;COUNTIFS(PEP!$B$5:$B$204,$B42,PEP!$C$5:$C$204,"Activity",PEP!$P$5:$P$204,"OK")+COUNTIFS(PEP!$B$5:$B$204,$B42,PEP!$C$5:$C$204,"Variation",PEP!$P$5:$P$204,"OK")),"",100*SUMIFS(PEP!$L$5:$L$204,PEP!$B$5:$B$204,$B42,PEP!$C$5:$C$204,"Initiative")))</x:f>
      </x:c>
      <x:c r="H42" s="123" t="str">
        <x:f t="shared" si="6">IF(OR($F42="",$G42=""),"",$G42-$F42)</x:f>
      </x:c>
      <x:c r="I42" s="121" t="str">
        <x:f>IF($B42="","",IFERROR(IF(INDEX(InitiativesTable[Baseline finish],MATCH($B42,InitiativesTable[Initiative ID],0))=0,"",INDEX(InitiativesTable[Baseline finish],MATCH($B42,InitiativesTable[Initiative ID],0))),""))</x:f>
      </x:c>
      <x:c r="J42" s="121" t="str">
        <x:f>IF($B42="","",IFERROR(IF(INDEX(InitiativesTable[Forecast finish],MATCH($B42,InitiativesTable[Initiative ID],0))=0,"",INDEX(InitiativesTable[Forecast finish],MATCH($B42,InitiativesTable[Initiative ID],0))),""))</x:f>
      </x:c>
      <x:c r="K42" s="6" t="str">
        <x:f>IF($B42="","",COUNTIFS(PEP!$B$5:$B$204,$B42,PEP!$C$5:$C$204,"Activity",PEP!$N$5:$N$204,"Late")+COUNTIFS(PEP!$B$5:$B$204,$B42,PEP!$C$5:$C$204,"Variation",PEP!$N$5:$N$204,"Late"))</x:f>
      </x:c>
      <x:c r="L42" s="6" t="str">
        <x:f>IF($B42="","",COUNTIFS('CONTROL LOG'!$B$5:$B$204,$B42,'CONTROL LOG'!$H$5:$H$204,"&lt;&gt;",'CONTROL LOG'!$H$5:$H$204,"&lt;&gt;Closed",'CONTROL LOG'!$H$5:$H$204,"&lt;&gt;Superseded"))</x:f>
      </x:c>
      <x:c r="M42" s="6" t="str">
        <x:f>IF($B42="","",COUNTIFS(PEP!$B$5:$B$204,$B42,PEP!$P$5:$P$204,"&lt;&gt;OK",PEP!$P$5:$P$204,"&lt;&gt;"))</x:f>
      </x:c>
      <x:c r="N42" s="6" t="str">
        <x:f>IF($B42="","",IFERROR(INDEX(InitiativesTable[Proposed Status / Health change],MATCH($B42,InitiativesTable[Initiative ID],0))&amp;"",""))</x:f>
      </x:c>
      <x:c r="O42" s="6" t="str">
        <x:f>IF($B42="","",IFERROR(INDEX(InitiativesTable[Digital Lead confirmation],MATCH($B42,InitiativesTable[Initiative ID],0))&amp;"",""))</x:f>
      </x:c>
      <x:c r="P42" s="125" t="str">
        <x:f>IF($B42="","",IF(COUNTIFS(COST!$A$5:$A$104,$B42,COST!$D$5:$D$104,"Labour")=0,"",SUMIFS(COST!$E$5:$E$104,COST!$A$5:$A$104,$B42,COST!$D$5:$D$104,"Labour")))</x:f>
      </x:c>
      <x:c r="Q42" s="125" t="str">
        <x:f>IF($B42="","",IF(COUNTIFS(COST!$A$5:$A$104,$B42,COST!$D$5:$D$104,"Labour")=0,"",SUMIFS(COST!$F$5:$F$104,COST!$A$5:$A$104,$B42,COST!$D$5:$D$104,"Labour")))</x:f>
      </x:c>
      <x:c r="R42" s="125" t="str">
        <x:f t="shared" si="9">IF($B42="","",IF(AND($P42="",$Q42=""),"",N($P42)+N($Q42)))</x:f>
      </x:c>
      <x:c r="S42" s="125" t="str">
        <x:f>IF($B42="","",IF(COUNTIFS(COST!$A$5:$A$104,$B42,COST!$D$5:$D$104,"Labour")=0,"",SUMIFS(COST!$T$5:$T$104,COST!$A$5:$A$104,$B42,COST!$D$5:$D$104,"Labour")))</x:f>
      </x:c>
      <x:c r="T42" s="125" t="str">
        <x:f t="shared" si="10">IF(OR($B42="",$R42="",$S42=""),"",$R42-$S42)</x:f>
      </x:c>
      <x:c r="U42" s="7" t="str">
        <x:f t="shared" si="11">IF(OR($B42="",$R42="",$R42=0,$S42=""),"",$S42/$R42)</x:f>
      </x:c>
      <x:c r="V42" s="125" t="str">
        <x:f>IF($B42="","",IF(COUNTIFS(COST!$A$5:$A$104,$B42,COST!$D$5:$D$104,"Fees")=0,"",SUMIFS(COST!$E$5:$E$104,COST!$A$5:$A$104,$B42,COST!$D$5:$D$104,"Fees")))</x:f>
      </x:c>
      <x:c r="W42" s="125" t="str">
        <x:f>IF($B42="","",IF(COUNTIFS(COST!$A$5:$A$104,$B42,COST!$D$5:$D$104,"Fees")=0,"",SUMIFS(COST!$F$5:$F$104,COST!$A$5:$A$104,$B42,COST!$D$5:$D$104,"Fees")))</x:f>
      </x:c>
      <x:c r="X42" s="125" t="str">
        <x:f t="shared" si="12">IF($B42="","",IF(AND($V42="",$W42=""),"",N($V42)+N($W42)))</x:f>
      </x:c>
      <x:c r="Y42" s="125" t="str">
        <x:f>IF($B42="","",IF(COUNTIFS(COST!$A$5:$A$104,$B42,COST!$D$5:$D$104,"Fees")=0,"",SUMIFS(COST!$T$5:$T$104,COST!$A$5:$A$104,$B42,COST!$D$5:$D$104,"Fees")))</x:f>
      </x:c>
      <x:c r="Z42" s="125" t="str">
        <x:f t="shared" si="13">IF(OR($B42="",$X42="",$Y42=""),"",$X42-$Y42)</x:f>
      </x:c>
      <x:c r="AA42" s="127" t="str">
        <x:f t="shared" si="7">IFERROR(IF(OR($B42="",$U42="",$U42=0,$G42=""),"",($G42/100)/$U42),"")</x:f>
      </x:c>
      <x:c r="AB42" s="118" t="str">
        <x:f>IF($B42="","",IFERROR(INDEX(InitiativesTable[Delivery group],MATCH($B42,InitiativesTable[Initiative ID],0))&amp;"",""))</x:f>
      </x:c>
      <x:c r="AC42" s="118" t="str">
        <x:f>IF($B42="","",IFERROR(INDEX(InitiativesTable[Entry basis],MATCH($B42,InitiativesTable[Initiative ID],0))&amp;"",""))</x:f>
      </x:c>
      <x:c r="AD42" s="118" t="str">
        <x:f>IF($B42="","",IFERROR(INDEX(InitiativesTable[Delivery model],MATCH($B42,InitiativesTable[Initiative ID],0))&amp;"",""))</x:f>
      </x:c>
      <x:c r="AE42" s="118" t="str">
        <x:f>IF($B42="","",IFERROR(INDEX(InitiativesTable[Detailed plan owner],MATCH($B42,InitiativesTable[Initiative ID],0))&amp;"",""))</x:f>
      </x:c>
      <x:c r="AF42" s="118" t="str">
        <x:f>IF($B42="","",IFERROR(INDEX(InitiativesTable[Budget / cost owner],MATCH($B42,InitiativesTable[Initiative ID],0))&amp;"",""))</x:f>
      </x:c>
      <x:c r="AG42" s="118" t="str">
        <x:f>IF($B42="","",IFERROR(INDEX(InitiativesTable[Digital financial reporting basis],MATCH($B42,InitiativesTable[Initiative ID],0))&amp;"",""))</x:f>
      </x:c>
    </x:row>
    <x:row r="43" ht="20.049999237060547" customHeight="1">
      <x:c r="A43" s="121" t="str">
        <x:f t="shared" ca="1" si="8">IF($B43="","",TODAY())</x:f>
      </x:c>
      <x:c r="B43" s="6" t="str" cm="1">
        <x:f t="array" ref="B43">IFERROR(IF(INDEX(InitiativesTable[Initiative ID],39)="","",INDEX(InitiativesTable[Initiative ID],39)),"")</x:f>
      </x:c>
      <x:c r="C43" s="6" t="str">
        <x:f>IF($B43="","",IFERROR(INDEX(InitiativesTable[Initiative title],MATCH($B43,InitiativesTable[Initiative ID],0))&amp;"",""))</x:f>
      </x:c>
      <x:c r="D43" s="6" t="str">
        <x:f>IF($B43="","",IFERROR(INDEX(InitiativesTable[Lifecycle Status],MATCH($B43,InitiativesTable[Initiative ID],0))&amp;"",""))</x:f>
      </x:c>
      <x:c r="E43" s="6" t="str">
        <x:f>IF($B43="","",IFERROR(INDEX(InitiativesTable[Health],MATCH($B43,InitiativesTable[Initiative ID],0))&amp;"",""))</x:f>
      </x:c>
      <x:c r="F43" s="123" t="str">
        <x:f>IF($B43="","",IF(OR(COUNTIFS(PEP!$B$5:$B$204,$B43,PEP!$C$5:$C$204,"Initiative")&lt;&gt;1,COUNTIFS(PEP!$B$5:$B$204,$B43,PEP!$C$5:$C$204,"Activity")+COUNTIFS(PEP!$B$5:$B$204,$B43,PEP!$C$5:$C$204,"Variation")=0,COUNTIFS(PEP!$B$5:$B$204,$B43,PEP!$C$5:$C$204,"Activity")+COUNTIFS(PEP!$B$5:$B$204,$B43,PEP!$C$5:$C$204,"Variation")&lt;&gt;COUNTIFS(PEP!$B$5:$B$204,$B43,PEP!$C$5:$C$204,"Activity",PEP!$P$5:$P$204,"OK")+COUNTIFS(PEP!$B$5:$B$204,$B43,PEP!$C$5:$C$204,"Variation",PEP!$P$5:$P$204,"OK")),"",100*SUMIFS(PEP!$K$5:$K$204,PEP!$B$5:$B$204,$B43,PEP!$C$5:$C$204,"Initiative")))</x:f>
      </x:c>
      <x:c r="G43" s="123" t="str">
        <x:f>IF($B43="","",IF(OR(COUNTIFS(PEP!$B$5:$B$204,$B43,PEP!$C$5:$C$204,"Initiative")&lt;&gt;1,COUNTIFS(PEP!$B$5:$B$204,$B43,PEP!$C$5:$C$204,"Activity")+COUNTIFS(PEP!$B$5:$B$204,$B43,PEP!$C$5:$C$204,"Variation")=0,COUNTIFS(PEP!$B$5:$B$204,$B43,PEP!$C$5:$C$204,"Activity")+COUNTIFS(PEP!$B$5:$B$204,$B43,PEP!$C$5:$C$204,"Variation")&lt;&gt;COUNTIFS(PEP!$B$5:$B$204,$B43,PEP!$C$5:$C$204,"Activity",PEP!$P$5:$P$204,"OK")+COUNTIFS(PEP!$B$5:$B$204,$B43,PEP!$C$5:$C$204,"Variation",PEP!$P$5:$P$204,"OK")),"",100*SUMIFS(PEP!$L$5:$L$204,PEP!$B$5:$B$204,$B43,PEP!$C$5:$C$204,"Initiative")))</x:f>
      </x:c>
      <x:c r="H43" s="123" t="str">
        <x:f t="shared" si="6">IF(OR($F43="",$G43=""),"",$G43-$F43)</x:f>
      </x:c>
      <x:c r="I43" s="121" t="str">
        <x:f>IF($B43="","",IFERROR(IF(INDEX(InitiativesTable[Baseline finish],MATCH($B43,InitiativesTable[Initiative ID],0))=0,"",INDEX(InitiativesTable[Baseline finish],MATCH($B43,InitiativesTable[Initiative ID],0))),""))</x:f>
      </x:c>
      <x:c r="J43" s="121" t="str">
        <x:f>IF($B43="","",IFERROR(IF(INDEX(InitiativesTable[Forecast finish],MATCH($B43,InitiativesTable[Initiative ID],0))=0,"",INDEX(InitiativesTable[Forecast finish],MATCH($B43,InitiativesTable[Initiative ID],0))),""))</x:f>
      </x:c>
      <x:c r="K43" s="6" t="str">
        <x:f>IF($B43="","",COUNTIFS(PEP!$B$5:$B$204,$B43,PEP!$C$5:$C$204,"Activity",PEP!$N$5:$N$204,"Late")+COUNTIFS(PEP!$B$5:$B$204,$B43,PEP!$C$5:$C$204,"Variation",PEP!$N$5:$N$204,"Late"))</x:f>
      </x:c>
      <x:c r="L43" s="6" t="str">
        <x:f>IF($B43="","",COUNTIFS('CONTROL LOG'!$B$5:$B$204,$B43,'CONTROL LOG'!$H$5:$H$204,"&lt;&gt;",'CONTROL LOG'!$H$5:$H$204,"&lt;&gt;Closed",'CONTROL LOG'!$H$5:$H$204,"&lt;&gt;Superseded"))</x:f>
      </x:c>
      <x:c r="M43" s="6" t="str">
        <x:f>IF($B43="","",COUNTIFS(PEP!$B$5:$B$204,$B43,PEP!$P$5:$P$204,"&lt;&gt;OK",PEP!$P$5:$P$204,"&lt;&gt;"))</x:f>
      </x:c>
      <x:c r="N43" s="6" t="str">
        <x:f>IF($B43="","",IFERROR(INDEX(InitiativesTable[Proposed Status / Health change],MATCH($B43,InitiativesTable[Initiative ID],0))&amp;"",""))</x:f>
      </x:c>
      <x:c r="O43" s="6" t="str">
        <x:f>IF($B43="","",IFERROR(INDEX(InitiativesTable[Digital Lead confirmation],MATCH($B43,InitiativesTable[Initiative ID],0))&amp;"",""))</x:f>
      </x:c>
      <x:c r="P43" s="125" t="str">
        <x:f>IF($B43="","",IF(COUNTIFS(COST!$A$5:$A$104,$B43,COST!$D$5:$D$104,"Labour")=0,"",SUMIFS(COST!$E$5:$E$104,COST!$A$5:$A$104,$B43,COST!$D$5:$D$104,"Labour")))</x:f>
      </x:c>
      <x:c r="Q43" s="125" t="str">
        <x:f>IF($B43="","",IF(COUNTIFS(COST!$A$5:$A$104,$B43,COST!$D$5:$D$104,"Labour")=0,"",SUMIFS(COST!$F$5:$F$104,COST!$A$5:$A$104,$B43,COST!$D$5:$D$104,"Labour")))</x:f>
      </x:c>
      <x:c r="R43" s="125" t="str">
        <x:f t="shared" si="9">IF($B43="","",IF(AND($P43="",$Q43=""),"",N($P43)+N($Q43)))</x:f>
      </x:c>
      <x:c r="S43" s="125" t="str">
        <x:f>IF($B43="","",IF(COUNTIFS(COST!$A$5:$A$104,$B43,COST!$D$5:$D$104,"Labour")=0,"",SUMIFS(COST!$T$5:$T$104,COST!$A$5:$A$104,$B43,COST!$D$5:$D$104,"Labour")))</x:f>
      </x:c>
      <x:c r="T43" s="125" t="str">
        <x:f t="shared" si="10">IF(OR($B43="",$R43="",$S43=""),"",$R43-$S43)</x:f>
      </x:c>
      <x:c r="U43" s="7" t="str">
        <x:f t="shared" si="11">IF(OR($B43="",$R43="",$R43=0,$S43=""),"",$S43/$R43)</x:f>
      </x:c>
      <x:c r="V43" s="125" t="str">
        <x:f>IF($B43="","",IF(COUNTIFS(COST!$A$5:$A$104,$B43,COST!$D$5:$D$104,"Fees")=0,"",SUMIFS(COST!$E$5:$E$104,COST!$A$5:$A$104,$B43,COST!$D$5:$D$104,"Fees")))</x:f>
      </x:c>
      <x:c r="W43" s="125" t="str">
        <x:f>IF($B43="","",IF(COUNTIFS(COST!$A$5:$A$104,$B43,COST!$D$5:$D$104,"Fees")=0,"",SUMIFS(COST!$F$5:$F$104,COST!$A$5:$A$104,$B43,COST!$D$5:$D$104,"Fees")))</x:f>
      </x:c>
      <x:c r="X43" s="125" t="str">
        <x:f t="shared" si="12">IF($B43="","",IF(AND($V43="",$W43=""),"",N($V43)+N($W43)))</x:f>
      </x:c>
      <x:c r="Y43" s="125" t="str">
        <x:f>IF($B43="","",IF(COUNTIFS(COST!$A$5:$A$104,$B43,COST!$D$5:$D$104,"Fees")=0,"",SUMIFS(COST!$T$5:$T$104,COST!$A$5:$A$104,$B43,COST!$D$5:$D$104,"Fees")))</x:f>
      </x:c>
      <x:c r="Z43" s="125" t="str">
        <x:f t="shared" si="13">IF(OR($B43="",$X43="",$Y43=""),"",$X43-$Y43)</x:f>
      </x:c>
      <x:c r="AA43" s="127" t="str">
        <x:f t="shared" si="7">IFERROR(IF(OR($B43="",$U43="",$U43=0,$G43=""),"",($G43/100)/$U43),"")</x:f>
      </x:c>
      <x:c r="AB43" s="118" t="str">
        <x:f>IF($B43="","",IFERROR(INDEX(InitiativesTable[Delivery group],MATCH($B43,InitiativesTable[Initiative ID],0))&amp;"",""))</x:f>
      </x:c>
      <x:c r="AC43" s="118" t="str">
        <x:f>IF($B43="","",IFERROR(INDEX(InitiativesTable[Entry basis],MATCH($B43,InitiativesTable[Initiative ID],0))&amp;"",""))</x:f>
      </x:c>
      <x:c r="AD43" s="118" t="str">
        <x:f>IF($B43="","",IFERROR(INDEX(InitiativesTable[Delivery model],MATCH($B43,InitiativesTable[Initiative ID],0))&amp;"",""))</x:f>
      </x:c>
      <x:c r="AE43" s="118" t="str">
        <x:f>IF($B43="","",IFERROR(INDEX(InitiativesTable[Detailed plan owner],MATCH($B43,InitiativesTable[Initiative ID],0))&amp;"",""))</x:f>
      </x:c>
      <x:c r="AF43" s="118" t="str">
        <x:f>IF($B43="","",IFERROR(INDEX(InitiativesTable[Budget / cost owner],MATCH($B43,InitiativesTable[Initiative ID],0))&amp;"",""))</x:f>
      </x:c>
      <x:c r="AG43" s="118" t="str">
        <x:f>IF($B43="","",IFERROR(INDEX(InitiativesTable[Digital financial reporting basis],MATCH($B43,InitiativesTable[Initiative ID],0))&amp;"",""))</x:f>
      </x:c>
    </x:row>
    <x:row r="44" ht="20.049999237060547" customHeight="1">
      <x:c r="A44" s="121" t="str">
        <x:f t="shared" ca="1" si="8">IF($B44="","",TODAY())</x:f>
      </x:c>
      <x:c r="B44" s="6" t="str" cm="1">
        <x:f t="array" ref="B44">IFERROR(IF(INDEX(InitiativesTable[Initiative ID],40)="","",INDEX(InitiativesTable[Initiative ID],40)),"")</x:f>
      </x:c>
      <x:c r="C44" s="6" t="str">
        <x:f>IF($B44="","",IFERROR(INDEX(InitiativesTable[Initiative title],MATCH($B44,InitiativesTable[Initiative ID],0))&amp;"",""))</x:f>
      </x:c>
      <x:c r="D44" s="6" t="str">
        <x:f>IF($B44="","",IFERROR(INDEX(InitiativesTable[Lifecycle Status],MATCH($B44,InitiativesTable[Initiative ID],0))&amp;"",""))</x:f>
      </x:c>
      <x:c r="E44" s="6" t="str">
        <x:f>IF($B44="","",IFERROR(INDEX(InitiativesTable[Health],MATCH($B44,InitiativesTable[Initiative ID],0))&amp;"",""))</x:f>
      </x:c>
      <x:c r="F44" s="123" t="str">
        <x:f>IF($B44="","",IF(OR(COUNTIFS(PEP!$B$5:$B$204,$B44,PEP!$C$5:$C$204,"Initiative")&lt;&gt;1,COUNTIFS(PEP!$B$5:$B$204,$B44,PEP!$C$5:$C$204,"Activity")+COUNTIFS(PEP!$B$5:$B$204,$B44,PEP!$C$5:$C$204,"Variation")=0,COUNTIFS(PEP!$B$5:$B$204,$B44,PEP!$C$5:$C$204,"Activity")+COUNTIFS(PEP!$B$5:$B$204,$B44,PEP!$C$5:$C$204,"Variation")&lt;&gt;COUNTIFS(PEP!$B$5:$B$204,$B44,PEP!$C$5:$C$204,"Activity",PEP!$P$5:$P$204,"OK")+COUNTIFS(PEP!$B$5:$B$204,$B44,PEP!$C$5:$C$204,"Variation",PEP!$P$5:$P$204,"OK")),"",100*SUMIFS(PEP!$K$5:$K$204,PEP!$B$5:$B$204,$B44,PEP!$C$5:$C$204,"Initiative")))</x:f>
      </x:c>
      <x:c r="G44" s="123" t="str">
        <x:f>IF($B44="","",IF(OR(COUNTIFS(PEP!$B$5:$B$204,$B44,PEP!$C$5:$C$204,"Initiative")&lt;&gt;1,COUNTIFS(PEP!$B$5:$B$204,$B44,PEP!$C$5:$C$204,"Activity")+COUNTIFS(PEP!$B$5:$B$204,$B44,PEP!$C$5:$C$204,"Variation")=0,COUNTIFS(PEP!$B$5:$B$204,$B44,PEP!$C$5:$C$204,"Activity")+COUNTIFS(PEP!$B$5:$B$204,$B44,PEP!$C$5:$C$204,"Variation")&lt;&gt;COUNTIFS(PEP!$B$5:$B$204,$B44,PEP!$C$5:$C$204,"Activity",PEP!$P$5:$P$204,"OK")+COUNTIFS(PEP!$B$5:$B$204,$B44,PEP!$C$5:$C$204,"Variation",PEP!$P$5:$P$204,"OK")),"",100*SUMIFS(PEP!$L$5:$L$204,PEP!$B$5:$B$204,$B44,PEP!$C$5:$C$204,"Initiative")))</x:f>
      </x:c>
      <x:c r="H44" s="123" t="str">
        <x:f t="shared" si="6">IF(OR($F44="",$G44=""),"",$G44-$F44)</x:f>
      </x:c>
      <x:c r="I44" s="121" t="str">
        <x:f>IF($B44="","",IFERROR(IF(INDEX(InitiativesTable[Baseline finish],MATCH($B44,InitiativesTable[Initiative ID],0))=0,"",INDEX(InitiativesTable[Baseline finish],MATCH($B44,InitiativesTable[Initiative ID],0))),""))</x:f>
      </x:c>
      <x:c r="J44" s="121" t="str">
        <x:f>IF($B44="","",IFERROR(IF(INDEX(InitiativesTable[Forecast finish],MATCH($B44,InitiativesTable[Initiative ID],0))=0,"",INDEX(InitiativesTable[Forecast finish],MATCH($B44,InitiativesTable[Initiative ID],0))),""))</x:f>
      </x:c>
      <x:c r="K44" s="6" t="str">
        <x:f>IF($B44="","",COUNTIFS(PEP!$B$5:$B$204,$B44,PEP!$C$5:$C$204,"Activity",PEP!$N$5:$N$204,"Late")+COUNTIFS(PEP!$B$5:$B$204,$B44,PEP!$C$5:$C$204,"Variation",PEP!$N$5:$N$204,"Late"))</x:f>
      </x:c>
      <x:c r="L44" s="6" t="str">
        <x:f>IF($B44="","",COUNTIFS('CONTROL LOG'!$B$5:$B$204,$B44,'CONTROL LOG'!$H$5:$H$204,"&lt;&gt;",'CONTROL LOG'!$H$5:$H$204,"&lt;&gt;Closed",'CONTROL LOG'!$H$5:$H$204,"&lt;&gt;Superseded"))</x:f>
      </x:c>
      <x:c r="M44" s="6" t="str">
        <x:f>IF($B44="","",COUNTIFS(PEP!$B$5:$B$204,$B44,PEP!$P$5:$P$204,"&lt;&gt;OK",PEP!$P$5:$P$204,"&lt;&gt;"))</x:f>
      </x:c>
      <x:c r="N44" s="6" t="str">
        <x:f>IF($B44="","",IFERROR(INDEX(InitiativesTable[Proposed Status / Health change],MATCH($B44,InitiativesTable[Initiative ID],0))&amp;"",""))</x:f>
      </x:c>
      <x:c r="O44" s="6" t="str">
        <x:f>IF($B44="","",IFERROR(INDEX(InitiativesTable[Digital Lead confirmation],MATCH($B44,InitiativesTable[Initiative ID],0))&amp;"",""))</x:f>
      </x:c>
      <x:c r="P44" s="125" t="str">
        <x:f>IF($B44="","",IF(COUNTIFS(COST!$A$5:$A$104,$B44,COST!$D$5:$D$104,"Labour")=0,"",SUMIFS(COST!$E$5:$E$104,COST!$A$5:$A$104,$B44,COST!$D$5:$D$104,"Labour")))</x:f>
      </x:c>
      <x:c r="Q44" s="125" t="str">
        <x:f>IF($B44="","",IF(COUNTIFS(COST!$A$5:$A$104,$B44,COST!$D$5:$D$104,"Labour")=0,"",SUMIFS(COST!$F$5:$F$104,COST!$A$5:$A$104,$B44,COST!$D$5:$D$104,"Labour")))</x:f>
      </x:c>
      <x:c r="R44" s="125" t="str">
        <x:f t="shared" si="9">IF($B44="","",IF(AND($P44="",$Q44=""),"",N($P44)+N($Q44)))</x:f>
      </x:c>
      <x:c r="S44" s="125" t="str">
        <x:f>IF($B44="","",IF(COUNTIFS(COST!$A$5:$A$104,$B44,COST!$D$5:$D$104,"Labour")=0,"",SUMIFS(COST!$T$5:$T$104,COST!$A$5:$A$104,$B44,COST!$D$5:$D$104,"Labour")))</x:f>
      </x:c>
      <x:c r="T44" s="125" t="str">
        <x:f t="shared" si="10">IF(OR($B44="",$R44="",$S44=""),"",$R44-$S44)</x:f>
      </x:c>
      <x:c r="U44" s="7" t="str">
        <x:f t="shared" si="11">IF(OR($B44="",$R44="",$R44=0,$S44=""),"",$S44/$R44)</x:f>
      </x:c>
      <x:c r="V44" s="125" t="str">
        <x:f>IF($B44="","",IF(COUNTIFS(COST!$A$5:$A$104,$B44,COST!$D$5:$D$104,"Fees")=0,"",SUMIFS(COST!$E$5:$E$104,COST!$A$5:$A$104,$B44,COST!$D$5:$D$104,"Fees")))</x:f>
      </x:c>
      <x:c r="W44" s="125" t="str">
        <x:f>IF($B44="","",IF(COUNTIFS(COST!$A$5:$A$104,$B44,COST!$D$5:$D$104,"Fees")=0,"",SUMIFS(COST!$F$5:$F$104,COST!$A$5:$A$104,$B44,COST!$D$5:$D$104,"Fees")))</x:f>
      </x:c>
      <x:c r="X44" s="125" t="str">
        <x:f t="shared" si="12">IF($B44="","",IF(AND($V44="",$W44=""),"",N($V44)+N($W44)))</x:f>
      </x:c>
      <x:c r="Y44" s="125" t="str">
        <x:f>IF($B44="","",IF(COUNTIFS(COST!$A$5:$A$104,$B44,COST!$D$5:$D$104,"Fees")=0,"",SUMIFS(COST!$T$5:$T$104,COST!$A$5:$A$104,$B44,COST!$D$5:$D$104,"Fees")))</x:f>
      </x:c>
      <x:c r="Z44" s="125" t="str">
        <x:f t="shared" si="13">IF(OR($B44="",$X44="",$Y44=""),"",$X44-$Y44)</x:f>
      </x:c>
      <x:c r="AA44" s="127" t="str">
        <x:f t="shared" si="7">IFERROR(IF(OR($B44="",$U44="",$U44=0,$G44=""),"",($G44/100)/$U44),"")</x:f>
      </x:c>
      <x:c r="AB44" s="118" t="str">
        <x:f>IF($B44="","",IFERROR(INDEX(InitiativesTable[Delivery group],MATCH($B44,InitiativesTable[Initiative ID],0))&amp;"",""))</x:f>
      </x:c>
      <x:c r="AC44" s="118" t="str">
        <x:f>IF($B44="","",IFERROR(INDEX(InitiativesTable[Entry basis],MATCH($B44,InitiativesTable[Initiative ID],0))&amp;"",""))</x:f>
      </x:c>
      <x:c r="AD44" s="118" t="str">
        <x:f>IF($B44="","",IFERROR(INDEX(InitiativesTable[Delivery model],MATCH($B44,InitiativesTable[Initiative ID],0))&amp;"",""))</x:f>
      </x:c>
      <x:c r="AE44" s="118" t="str">
        <x:f>IF($B44="","",IFERROR(INDEX(InitiativesTable[Detailed plan owner],MATCH($B44,InitiativesTable[Initiative ID],0))&amp;"",""))</x:f>
      </x:c>
      <x:c r="AF44" s="118" t="str">
        <x:f>IF($B44="","",IFERROR(INDEX(InitiativesTable[Budget / cost owner],MATCH($B44,InitiativesTable[Initiative ID],0))&amp;"",""))</x:f>
      </x:c>
      <x:c r="AG44" s="118" t="str">
        <x:f>IF($B44="","",IFERROR(INDEX(InitiativesTable[Digital financial reporting basis],MATCH($B44,InitiativesTable[Initiative ID],0))&amp;"",""))</x:f>
      </x:c>
    </x:row>
    <x:row r="45" ht="20.049999237060547" customHeight="1">
      <x:c r="A45" s="121" t="str">
        <x:f t="shared" ca="1" si="8">IF($B45="","",TODAY())</x:f>
      </x:c>
      <x:c r="B45" s="6" t="str" cm="1">
        <x:f t="array" ref="B45">IFERROR(IF(INDEX(InitiativesTable[Initiative ID],41)="","",INDEX(InitiativesTable[Initiative ID],41)),"")</x:f>
      </x:c>
      <x:c r="C45" s="6" t="str">
        <x:f>IF($B45="","",IFERROR(INDEX(InitiativesTable[Initiative title],MATCH($B45,InitiativesTable[Initiative ID],0))&amp;"",""))</x:f>
      </x:c>
      <x:c r="D45" s="6" t="str">
        <x:f>IF($B45="","",IFERROR(INDEX(InitiativesTable[Lifecycle Status],MATCH($B45,InitiativesTable[Initiative ID],0))&amp;"",""))</x:f>
      </x:c>
      <x:c r="E45" s="6" t="str">
        <x:f>IF($B45="","",IFERROR(INDEX(InitiativesTable[Health],MATCH($B45,InitiativesTable[Initiative ID],0))&amp;"",""))</x:f>
      </x:c>
      <x:c r="F45" s="123" t="str">
        <x:f>IF($B45="","",IF(OR(COUNTIFS(PEP!$B$5:$B$204,$B45,PEP!$C$5:$C$204,"Initiative")&lt;&gt;1,COUNTIFS(PEP!$B$5:$B$204,$B45,PEP!$C$5:$C$204,"Activity")+COUNTIFS(PEP!$B$5:$B$204,$B45,PEP!$C$5:$C$204,"Variation")=0,COUNTIFS(PEP!$B$5:$B$204,$B45,PEP!$C$5:$C$204,"Activity")+COUNTIFS(PEP!$B$5:$B$204,$B45,PEP!$C$5:$C$204,"Variation")&lt;&gt;COUNTIFS(PEP!$B$5:$B$204,$B45,PEP!$C$5:$C$204,"Activity",PEP!$P$5:$P$204,"OK")+COUNTIFS(PEP!$B$5:$B$204,$B45,PEP!$C$5:$C$204,"Variation",PEP!$P$5:$P$204,"OK")),"",100*SUMIFS(PEP!$K$5:$K$204,PEP!$B$5:$B$204,$B45,PEP!$C$5:$C$204,"Initiative")))</x:f>
      </x:c>
      <x:c r="G45" s="123" t="str">
        <x:f>IF($B45="","",IF(OR(COUNTIFS(PEP!$B$5:$B$204,$B45,PEP!$C$5:$C$204,"Initiative")&lt;&gt;1,COUNTIFS(PEP!$B$5:$B$204,$B45,PEP!$C$5:$C$204,"Activity")+COUNTIFS(PEP!$B$5:$B$204,$B45,PEP!$C$5:$C$204,"Variation")=0,COUNTIFS(PEP!$B$5:$B$204,$B45,PEP!$C$5:$C$204,"Activity")+COUNTIFS(PEP!$B$5:$B$204,$B45,PEP!$C$5:$C$204,"Variation")&lt;&gt;COUNTIFS(PEP!$B$5:$B$204,$B45,PEP!$C$5:$C$204,"Activity",PEP!$P$5:$P$204,"OK")+COUNTIFS(PEP!$B$5:$B$204,$B45,PEP!$C$5:$C$204,"Variation",PEP!$P$5:$P$204,"OK")),"",100*SUMIFS(PEP!$L$5:$L$204,PEP!$B$5:$B$204,$B45,PEP!$C$5:$C$204,"Initiative")))</x:f>
      </x:c>
      <x:c r="H45" s="123" t="str">
        <x:f t="shared" si="6">IF(OR($F45="",$G45=""),"",$G45-$F45)</x:f>
      </x:c>
      <x:c r="I45" s="121" t="str">
        <x:f>IF($B45="","",IFERROR(IF(INDEX(InitiativesTable[Baseline finish],MATCH($B45,InitiativesTable[Initiative ID],0))=0,"",INDEX(InitiativesTable[Baseline finish],MATCH($B45,InitiativesTable[Initiative ID],0))),""))</x:f>
      </x:c>
      <x:c r="J45" s="121" t="str">
        <x:f>IF($B45="","",IFERROR(IF(INDEX(InitiativesTable[Forecast finish],MATCH($B45,InitiativesTable[Initiative ID],0))=0,"",INDEX(InitiativesTable[Forecast finish],MATCH($B45,InitiativesTable[Initiative ID],0))),""))</x:f>
      </x:c>
      <x:c r="K45" s="6" t="str">
        <x:f>IF($B45="","",COUNTIFS(PEP!$B$5:$B$204,$B45,PEP!$C$5:$C$204,"Activity",PEP!$N$5:$N$204,"Late")+COUNTIFS(PEP!$B$5:$B$204,$B45,PEP!$C$5:$C$204,"Variation",PEP!$N$5:$N$204,"Late"))</x:f>
      </x:c>
      <x:c r="L45" s="6" t="str">
        <x:f>IF($B45="","",COUNTIFS('CONTROL LOG'!$B$5:$B$204,$B45,'CONTROL LOG'!$H$5:$H$204,"&lt;&gt;",'CONTROL LOG'!$H$5:$H$204,"&lt;&gt;Closed",'CONTROL LOG'!$H$5:$H$204,"&lt;&gt;Superseded"))</x:f>
      </x:c>
      <x:c r="M45" s="6" t="str">
        <x:f>IF($B45="","",COUNTIFS(PEP!$B$5:$B$204,$B45,PEP!$P$5:$P$204,"&lt;&gt;OK",PEP!$P$5:$P$204,"&lt;&gt;"))</x:f>
      </x:c>
      <x:c r="N45" s="6" t="str">
        <x:f>IF($B45="","",IFERROR(INDEX(InitiativesTable[Proposed Status / Health change],MATCH($B45,InitiativesTable[Initiative ID],0))&amp;"",""))</x:f>
      </x:c>
      <x:c r="O45" s="6" t="str">
        <x:f>IF($B45="","",IFERROR(INDEX(InitiativesTable[Digital Lead confirmation],MATCH($B45,InitiativesTable[Initiative ID],0))&amp;"",""))</x:f>
      </x:c>
      <x:c r="P45" s="125" t="str">
        <x:f>IF($B45="","",IF(COUNTIFS(COST!$A$5:$A$104,$B45,COST!$D$5:$D$104,"Labour")=0,"",SUMIFS(COST!$E$5:$E$104,COST!$A$5:$A$104,$B45,COST!$D$5:$D$104,"Labour")))</x:f>
      </x:c>
      <x:c r="Q45" s="125" t="str">
        <x:f>IF($B45="","",IF(COUNTIFS(COST!$A$5:$A$104,$B45,COST!$D$5:$D$104,"Labour")=0,"",SUMIFS(COST!$F$5:$F$104,COST!$A$5:$A$104,$B45,COST!$D$5:$D$104,"Labour")))</x:f>
      </x:c>
      <x:c r="R45" s="125" t="str">
        <x:f t="shared" si="9">IF($B45="","",IF(AND($P45="",$Q45=""),"",N($P45)+N($Q45)))</x:f>
      </x:c>
      <x:c r="S45" s="125" t="str">
        <x:f>IF($B45="","",IF(COUNTIFS(COST!$A$5:$A$104,$B45,COST!$D$5:$D$104,"Labour")=0,"",SUMIFS(COST!$T$5:$T$104,COST!$A$5:$A$104,$B45,COST!$D$5:$D$104,"Labour")))</x:f>
      </x:c>
      <x:c r="T45" s="125" t="str">
        <x:f t="shared" si="10">IF(OR($B45="",$R45="",$S45=""),"",$R45-$S45)</x:f>
      </x:c>
      <x:c r="U45" s="7" t="str">
        <x:f t="shared" si="11">IF(OR($B45="",$R45="",$R45=0,$S45=""),"",$S45/$R45)</x:f>
      </x:c>
      <x:c r="V45" s="125" t="str">
        <x:f>IF($B45="","",IF(COUNTIFS(COST!$A$5:$A$104,$B45,COST!$D$5:$D$104,"Fees")=0,"",SUMIFS(COST!$E$5:$E$104,COST!$A$5:$A$104,$B45,COST!$D$5:$D$104,"Fees")))</x:f>
      </x:c>
      <x:c r="W45" s="125" t="str">
        <x:f>IF($B45="","",IF(COUNTIFS(COST!$A$5:$A$104,$B45,COST!$D$5:$D$104,"Fees")=0,"",SUMIFS(COST!$F$5:$F$104,COST!$A$5:$A$104,$B45,COST!$D$5:$D$104,"Fees")))</x:f>
      </x:c>
      <x:c r="X45" s="125" t="str">
        <x:f t="shared" si="12">IF($B45="","",IF(AND($V45="",$W45=""),"",N($V45)+N($W45)))</x:f>
      </x:c>
      <x:c r="Y45" s="125" t="str">
        <x:f>IF($B45="","",IF(COUNTIFS(COST!$A$5:$A$104,$B45,COST!$D$5:$D$104,"Fees")=0,"",SUMIFS(COST!$T$5:$T$104,COST!$A$5:$A$104,$B45,COST!$D$5:$D$104,"Fees")))</x:f>
      </x:c>
      <x:c r="Z45" s="125" t="str">
        <x:f t="shared" si="13">IF(OR($B45="",$X45="",$Y45=""),"",$X45-$Y45)</x:f>
      </x:c>
      <x:c r="AA45" s="127" t="str">
        <x:f t="shared" si="7">IFERROR(IF(OR($B45="",$U45="",$U45=0,$G45=""),"",($G45/100)/$U45),"")</x:f>
      </x:c>
      <x:c r="AB45" s="118" t="str">
        <x:f>IF($B45="","",IFERROR(INDEX(InitiativesTable[Delivery group],MATCH($B45,InitiativesTable[Initiative ID],0))&amp;"",""))</x:f>
      </x:c>
      <x:c r="AC45" s="118" t="str">
        <x:f>IF($B45="","",IFERROR(INDEX(InitiativesTable[Entry basis],MATCH($B45,InitiativesTable[Initiative ID],0))&amp;"",""))</x:f>
      </x:c>
      <x:c r="AD45" s="118" t="str">
        <x:f>IF($B45="","",IFERROR(INDEX(InitiativesTable[Delivery model],MATCH($B45,InitiativesTable[Initiative ID],0))&amp;"",""))</x:f>
      </x:c>
      <x:c r="AE45" s="118" t="str">
        <x:f>IF($B45="","",IFERROR(INDEX(InitiativesTable[Detailed plan owner],MATCH($B45,InitiativesTable[Initiative ID],0))&amp;"",""))</x:f>
      </x:c>
      <x:c r="AF45" s="118" t="str">
        <x:f>IF($B45="","",IFERROR(INDEX(InitiativesTable[Budget / cost owner],MATCH($B45,InitiativesTable[Initiative ID],0))&amp;"",""))</x:f>
      </x:c>
      <x:c r="AG45" s="118" t="str">
        <x:f>IF($B45="","",IFERROR(INDEX(InitiativesTable[Digital financial reporting basis],MATCH($B45,InitiativesTable[Initiative ID],0))&amp;"",""))</x:f>
      </x:c>
    </x:row>
    <x:row r="46" ht="20.049999237060547" customHeight="1">
      <x:c r="A46" s="121" t="str">
        <x:f t="shared" ca="1" si="8">IF($B46="","",TODAY())</x:f>
      </x:c>
      <x:c r="B46" s="6" t="str" cm="1">
        <x:f t="array" ref="B46">IFERROR(IF(INDEX(InitiativesTable[Initiative ID],42)="","",INDEX(InitiativesTable[Initiative ID],42)),"")</x:f>
      </x:c>
      <x:c r="C46" s="6" t="str">
        <x:f>IF($B46="","",IFERROR(INDEX(InitiativesTable[Initiative title],MATCH($B46,InitiativesTable[Initiative ID],0))&amp;"",""))</x:f>
      </x:c>
      <x:c r="D46" s="6" t="str">
        <x:f>IF($B46="","",IFERROR(INDEX(InitiativesTable[Lifecycle Status],MATCH($B46,InitiativesTable[Initiative ID],0))&amp;"",""))</x:f>
      </x:c>
      <x:c r="E46" s="6" t="str">
        <x:f>IF($B46="","",IFERROR(INDEX(InitiativesTable[Health],MATCH($B46,InitiativesTable[Initiative ID],0))&amp;"",""))</x:f>
      </x:c>
      <x:c r="F46" s="123" t="str">
        <x:f>IF($B46="","",IF(OR(COUNTIFS(PEP!$B$5:$B$204,$B46,PEP!$C$5:$C$204,"Initiative")&lt;&gt;1,COUNTIFS(PEP!$B$5:$B$204,$B46,PEP!$C$5:$C$204,"Activity")+COUNTIFS(PEP!$B$5:$B$204,$B46,PEP!$C$5:$C$204,"Variation")=0,COUNTIFS(PEP!$B$5:$B$204,$B46,PEP!$C$5:$C$204,"Activity")+COUNTIFS(PEP!$B$5:$B$204,$B46,PEP!$C$5:$C$204,"Variation")&lt;&gt;COUNTIFS(PEP!$B$5:$B$204,$B46,PEP!$C$5:$C$204,"Activity",PEP!$P$5:$P$204,"OK")+COUNTIFS(PEP!$B$5:$B$204,$B46,PEP!$C$5:$C$204,"Variation",PEP!$P$5:$P$204,"OK")),"",100*SUMIFS(PEP!$K$5:$K$204,PEP!$B$5:$B$204,$B46,PEP!$C$5:$C$204,"Initiative")))</x:f>
      </x:c>
      <x:c r="G46" s="123" t="str">
        <x:f>IF($B46="","",IF(OR(COUNTIFS(PEP!$B$5:$B$204,$B46,PEP!$C$5:$C$204,"Initiative")&lt;&gt;1,COUNTIFS(PEP!$B$5:$B$204,$B46,PEP!$C$5:$C$204,"Activity")+COUNTIFS(PEP!$B$5:$B$204,$B46,PEP!$C$5:$C$204,"Variation")=0,COUNTIFS(PEP!$B$5:$B$204,$B46,PEP!$C$5:$C$204,"Activity")+COUNTIFS(PEP!$B$5:$B$204,$B46,PEP!$C$5:$C$204,"Variation")&lt;&gt;COUNTIFS(PEP!$B$5:$B$204,$B46,PEP!$C$5:$C$204,"Activity",PEP!$P$5:$P$204,"OK")+COUNTIFS(PEP!$B$5:$B$204,$B46,PEP!$C$5:$C$204,"Variation",PEP!$P$5:$P$204,"OK")),"",100*SUMIFS(PEP!$L$5:$L$204,PEP!$B$5:$B$204,$B46,PEP!$C$5:$C$204,"Initiative")))</x:f>
      </x:c>
      <x:c r="H46" s="123" t="str">
        <x:f t="shared" si="6">IF(OR($F46="",$G46=""),"",$G46-$F46)</x:f>
      </x:c>
      <x:c r="I46" s="121" t="str">
        <x:f>IF($B46="","",IFERROR(IF(INDEX(InitiativesTable[Baseline finish],MATCH($B46,InitiativesTable[Initiative ID],0))=0,"",INDEX(InitiativesTable[Baseline finish],MATCH($B46,InitiativesTable[Initiative ID],0))),""))</x:f>
      </x:c>
      <x:c r="J46" s="121" t="str">
        <x:f>IF($B46="","",IFERROR(IF(INDEX(InitiativesTable[Forecast finish],MATCH($B46,InitiativesTable[Initiative ID],0))=0,"",INDEX(InitiativesTable[Forecast finish],MATCH($B46,InitiativesTable[Initiative ID],0))),""))</x:f>
      </x:c>
      <x:c r="K46" s="6" t="str">
        <x:f>IF($B46="","",COUNTIFS(PEP!$B$5:$B$204,$B46,PEP!$C$5:$C$204,"Activity",PEP!$N$5:$N$204,"Late")+COUNTIFS(PEP!$B$5:$B$204,$B46,PEP!$C$5:$C$204,"Variation",PEP!$N$5:$N$204,"Late"))</x:f>
      </x:c>
      <x:c r="L46" s="6" t="str">
        <x:f>IF($B46="","",COUNTIFS('CONTROL LOG'!$B$5:$B$204,$B46,'CONTROL LOG'!$H$5:$H$204,"&lt;&gt;",'CONTROL LOG'!$H$5:$H$204,"&lt;&gt;Closed",'CONTROL LOG'!$H$5:$H$204,"&lt;&gt;Superseded"))</x:f>
      </x:c>
      <x:c r="M46" s="6" t="str">
        <x:f>IF($B46="","",COUNTIFS(PEP!$B$5:$B$204,$B46,PEP!$P$5:$P$204,"&lt;&gt;OK",PEP!$P$5:$P$204,"&lt;&gt;"))</x:f>
      </x:c>
      <x:c r="N46" s="6" t="str">
        <x:f>IF($B46="","",IFERROR(INDEX(InitiativesTable[Proposed Status / Health change],MATCH($B46,InitiativesTable[Initiative ID],0))&amp;"",""))</x:f>
      </x:c>
      <x:c r="O46" s="6" t="str">
        <x:f>IF($B46="","",IFERROR(INDEX(InitiativesTable[Digital Lead confirmation],MATCH($B46,InitiativesTable[Initiative ID],0))&amp;"",""))</x:f>
      </x:c>
      <x:c r="P46" s="125" t="str">
        <x:f>IF($B46="","",IF(COUNTIFS(COST!$A$5:$A$104,$B46,COST!$D$5:$D$104,"Labour")=0,"",SUMIFS(COST!$E$5:$E$104,COST!$A$5:$A$104,$B46,COST!$D$5:$D$104,"Labour")))</x:f>
      </x:c>
      <x:c r="Q46" s="125" t="str">
        <x:f>IF($B46="","",IF(COUNTIFS(COST!$A$5:$A$104,$B46,COST!$D$5:$D$104,"Labour")=0,"",SUMIFS(COST!$F$5:$F$104,COST!$A$5:$A$104,$B46,COST!$D$5:$D$104,"Labour")))</x:f>
      </x:c>
      <x:c r="R46" s="125" t="str">
        <x:f t="shared" si="9">IF($B46="","",IF(AND($P46="",$Q46=""),"",N($P46)+N($Q46)))</x:f>
      </x:c>
      <x:c r="S46" s="125" t="str">
        <x:f>IF($B46="","",IF(COUNTIFS(COST!$A$5:$A$104,$B46,COST!$D$5:$D$104,"Labour")=0,"",SUMIFS(COST!$T$5:$T$104,COST!$A$5:$A$104,$B46,COST!$D$5:$D$104,"Labour")))</x:f>
      </x:c>
      <x:c r="T46" s="125" t="str">
        <x:f t="shared" si="10">IF(OR($B46="",$R46="",$S46=""),"",$R46-$S46)</x:f>
      </x:c>
      <x:c r="U46" s="7" t="str">
        <x:f t="shared" si="11">IF(OR($B46="",$R46="",$R46=0,$S46=""),"",$S46/$R46)</x:f>
      </x:c>
      <x:c r="V46" s="125" t="str">
        <x:f>IF($B46="","",IF(COUNTIFS(COST!$A$5:$A$104,$B46,COST!$D$5:$D$104,"Fees")=0,"",SUMIFS(COST!$E$5:$E$104,COST!$A$5:$A$104,$B46,COST!$D$5:$D$104,"Fees")))</x:f>
      </x:c>
      <x:c r="W46" s="125" t="str">
        <x:f>IF($B46="","",IF(COUNTIFS(COST!$A$5:$A$104,$B46,COST!$D$5:$D$104,"Fees")=0,"",SUMIFS(COST!$F$5:$F$104,COST!$A$5:$A$104,$B46,COST!$D$5:$D$104,"Fees")))</x:f>
      </x:c>
      <x:c r="X46" s="125" t="str">
        <x:f t="shared" si="12">IF($B46="","",IF(AND($V46="",$W46=""),"",N($V46)+N($W46)))</x:f>
      </x:c>
      <x:c r="Y46" s="125" t="str">
        <x:f>IF($B46="","",IF(COUNTIFS(COST!$A$5:$A$104,$B46,COST!$D$5:$D$104,"Fees")=0,"",SUMIFS(COST!$T$5:$T$104,COST!$A$5:$A$104,$B46,COST!$D$5:$D$104,"Fees")))</x:f>
      </x:c>
      <x:c r="Z46" s="125" t="str">
        <x:f t="shared" si="13">IF(OR($B46="",$X46="",$Y46=""),"",$X46-$Y46)</x:f>
      </x:c>
      <x:c r="AA46" s="127" t="str">
        <x:f t="shared" si="7">IFERROR(IF(OR($B46="",$U46="",$U46=0,$G46=""),"",($G46/100)/$U46),"")</x:f>
      </x:c>
      <x:c r="AB46" s="118" t="str">
        <x:f>IF($B46="","",IFERROR(INDEX(InitiativesTable[Delivery group],MATCH($B46,InitiativesTable[Initiative ID],0))&amp;"",""))</x:f>
      </x:c>
      <x:c r="AC46" s="118" t="str">
        <x:f>IF($B46="","",IFERROR(INDEX(InitiativesTable[Entry basis],MATCH($B46,InitiativesTable[Initiative ID],0))&amp;"",""))</x:f>
      </x:c>
      <x:c r="AD46" s="118" t="str">
        <x:f>IF($B46="","",IFERROR(INDEX(InitiativesTable[Delivery model],MATCH($B46,InitiativesTable[Initiative ID],0))&amp;"",""))</x:f>
      </x:c>
      <x:c r="AE46" s="118" t="str">
        <x:f>IF($B46="","",IFERROR(INDEX(InitiativesTable[Detailed plan owner],MATCH($B46,InitiativesTable[Initiative ID],0))&amp;"",""))</x:f>
      </x:c>
      <x:c r="AF46" s="118" t="str">
        <x:f>IF($B46="","",IFERROR(INDEX(InitiativesTable[Budget / cost owner],MATCH($B46,InitiativesTable[Initiative ID],0))&amp;"",""))</x:f>
      </x:c>
      <x:c r="AG46" s="118" t="str">
        <x:f>IF($B46="","",IFERROR(INDEX(InitiativesTable[Digital financial reporting basis],MATCH($B46,InitiativesTable[Initiative ID],0))&amp;"",""))</x:f>
      </x:c>
    </x:row>
    <x:row r="47" ht="20.049999237060547" customHeight="1">
      <x:c r="A47" s="121" t="str">
        <x:f t="shared" ca="1" si="8">IF($B47="","",TODAY())</x:f>
      </x:c>
      <x:c r="B47" s="6" t="str" cm="1">
        <x:f t="array" ref="B47">IFERROR(IF(INDEX(InitiativesTable[Initiative ID],43)="","",INDEX(InitiativesTable[Initiative ID],43)),"")</x:f>
      </x:c>
      <x:c r="C47" s="6" t="str">
        <x:f>IF($B47="","",IFERROR(INDEX(InitiativesTable[Initiative title],MATCH($B47,InitiativesTable[Initiative ID],0))&amp;"",""))</x:f>
      </x:c>
      <x:c r="D47" s="6" t="str">
        <x:f>IF($B47="","",IFERROR(INDEX(InitiativesTable[Lifecycle Status],MATCH($B47,InitiativesTable[Initiative ID],0))&amp;"",""))</x:f>
      </x:c>
      <x:c r="E47" s="6" t="str">
        <x:f>IF($B47="","",IFERROR(INDEX(InitiativesTable[Health],MATCH($B47,InitiativesTable[Initiative ID],0))&amp;"",""))</x:f>
      </x:c>
      <x:c r="F47" s="123" t="str">
        <x:f>IF($B47="","",IF(OR(COUNTIFS(PEP!$B$5:$B$204,$B47,PEP!$C$5:$C$204,"Initiative")&lt;&gt;1,COUNTIFS(PEP!$B$5:$B$204,$B47,PEP!$C$5:$C$204,"Activity")+COUNTIFS(PEP!$B$5:$B$204,$B47,PEP!$C$5:$C$204,"Variation")=0,COUNTIFS(PEP!$B$5:$B$204,$B47,PEP!$C$5:$C$204,"Activity")+COUNTIFS(PEP!$B$5:$B$204,$B47,PEP!$C$5:$C$204,"Variation")&lt;&gt;COUNTIFS(PEP!$B$5:$B$204,$B47,PEP!$C$5:$C$204,"Activity",PEP!$P$5:$P$204,"OK")+COUNTIFS(PEP!$B$5:$B$204,$B47,PEP!$C$5:$C$204,"Variation",PEP!$P$5:$P$204,"OK")),"",100*SUMIFS(PEP!$K$5:$K$204,PEP!$B$5:$B$204,$B47,PEP!$C$5:$C$204,"Initiative")))</x:f>
      </x:c>
      <x:c r="G47" s="123" t="str">
        <x:f>IF($B47="","",IF(OR(COUNTIFS(PEP!$B$5:$B$204,$B47,PEP!$C$5:$C$204,"Initiative")&lt;&gt;1,COUNTIFS(PEP!$B$5:$B$204,$B47,PEP!$C$5:$C$204,"Activity")+COUNTIFS(PEP!$B$5:$B$204,$B47,PEP!$C$5:$C$204,"Variation")=0,COUNTIFS(PEP!$B$5:$B$204,$B47,PEP!$C$5:$C$204,"Activity")+COUNTIFS(PEP!$B$5:$B$204,$B47,PEP!$C$5:$C$204,"Variation")&lt;&gt;COUNTIFS(PEP!$B$5:$B$204,$B47,PEP!$C$5:$C$204,"Activity",PEP!$P$5:$P$204,"OK")+COUNTIFS(PEP!$B$5:$B$204,$B47,PEP!$C$5:$C$204,"Variation",PEP!$P$5:$P$204,"OK")),"",100*SUMIFS(PEP!$L$5:$L$204,PEP!$B$5:$B$204,$B47,PEP!$C$5:$C$204,"Initiative")))</x:f>
      </x:c>
      <x:c r="H47" s="123" t="str">
        <x:f t="shared" si="6">IF(OR($F47="",$G47=""),"",$G47-$F47)</x:f>
      </x:c>
      <x:c r="I47" s="121" t="str">
        <x:f>IF($B47="","",IFERROR(IF(INDEX(InitiativesTable[Baseline finish],MATCH($B47,InitiativesTable[Initiative ID],0))=0,"",INDEX(InitiativesTable[Baseline finish],MATCH($B47,InitiativesTable[Initiative ID],0))),""))</x:f>
      </x:c>
      <x:c r="J47" s="121" t="str">
        <x:f>IF($B47="","",IFERROR(IF(INDEX(InitiativesTable[Forecast finish],MATCH($B47,InitiativesTable[Initiative ID],0))=0,"",INDEX(InitiativesTable[Forecast finish],MATCH($B47,InitiativesTable[Initiative ID],0))),""))</x:f>
      </x:c>
      <x:c r="K47" s="6" t="str">
        <x:f>IF($B47="","",COUNTIFS(PEP!$B$5:$B$204,$B47,PEP!$C$5:$C$204,"Activity",PEP!$N$5:$N$204,"Late")+COUNTIFS(PEP!$B$5:$B$204,$B47,PEP!$C$5:$C$204,"Variation",PEP!$N$5:$N$204,"Late"))</x:f>
      </x:c>
      <x:c r="L47" s="6" t="str">
        <x:f>IF($B47="","",COUNTIFS('CONTROL LOG'!$B$5:$B$204,$B47,'CONTROL LOG'!$H$5:$H$204,"&lt;&gt;",'CONTROL LOG'!$H$5:$H$204,"&lt;&gt;Closed",'CONTROL LOG'!$H$5:$H$204,"&lt;&gt;Superseded"))</x:f>
      </x:c>
      <x:c r="M47" s="6" t="str">
        <x:f>IF($B47="","",COUNTIFS(PEP!$B$5:$B$204,$B47,PEP!$P$5:$P$204,"&lt;&gt;OK",PEP!$P$5:$P$204,"&lt;&gt;"))</x:f>
      </x:c>
      <x:c r="N47" s="6" t="str">
        <x:f>IF($B47="","",IFERROR(INDEX(InitiativesTable[Proposed Status / Health change],MATCH($B47,InitiativesTable[Initiative ID],0))&amp;"",""))</x:f>
      </x:c>
      <x:c r="O47" s="6" t="str">
        <x:f>IF($B47="","",IFERROR(INDEX(InitiativesTable[Digital Lead confirmation],MATCH($B47,InitiativesTable[Initiative ID],0))&amp;"",""))</x:f>
      </x:c>
      <x:c r="P47" s="125" t="str">
        <x:f>IF($B47="","",IF(COUNTIFS(COST!$A$5:$A$104,$B47,COST!$D$5:$D$104,"Labour")=0,"",SUMIFS(COST!$E$5:$E$104,COST!$A$5:$A$104,$B47,COST!$D$5:$D$104,"Labour")))</x:f>
      </x:c>
      <x:c r="Q47" s="125" t="str">
        <x:f>IF($B47="","",IF(COUNTIFS(COST!$A$5:$A$104,$B47,COST!$D$5:$D$104,"Labour")=0,"",SUMIFS(COST!$F$5:$F$104,COST!$A$5:$A$104,$B47,COST!$D$5:$D$104,"Labour")))</x:f>
      </x:c>
      <x:c r="R47" s="125" t="str">
        <x:f t="shared" si="9">IF($B47="","",IF(AND($P47="",$Q47=""),"",N($P47)+N($Q47)))</x:f>
      </x:c>
      <x:c r="S47" s="125" t="str">
        <x:f>IF($B47="","",IF(COUNTIFS(COST!$A$5:$A$104,$B47,COST!$D$5:$D$104,"Labour")=0,"",SUMIFS(COST!$T$5:$T$104,COST!$A$5:$A$104,$B47,COST!$D$5:$D$104,"Labour")))</x:f>
      </x:c>
      <x:c r="T47" s="125" t="str">
        <x:f t="shared" si="10">IF(OR($B47="",$R47="",$S47=""),"",$R47-$S47)</x:f>
      </x:c>
      <x:c r="U47" s="7" t="str">
        <x:f t="shared" si="11">IF(OR($B47="",$R47="",$R47=0,$S47=""),"",$S47/$R47)</x:f>
      </x:c>
      <x:c r="V47" s="125" t="str">
        <x:f>IF($B47="","",IF(COUNTIFS(COST!$A$5:$A$104,$B47,COST!$D$5:$D$104,"Fees")=0,"",SUMIFS(COST!$E$5:$E$104,COST!$A$5:$A$104,$B47,COST!$D$5:$D$104,"Fees")))</x:f>
      </x:c>
      <x:c r="W47" s="125" t="str">
        <x:f>IF($B47="","",IF(COUNTIFS(COST!$A$5:$A$104,$B47,COST!$D$5:$D$104,"Fees")=0,"",SUMIFS(COST!$F$5:$F$104,COST!$A$5:$A$104,$B47,COST!$D$5:$D$104,"Fees")))</x:f>
      </x:c>
      <x:c r="X47" s="125" t="str">
        <x:f t="shared" si="12">IF($B47="","",IF(AND($V47="",$W47=""),"",N($V47)+N($W47)))</x:f>
      </x:c>
      <x:c r="Y47" s="125" t="str">
        <x:f>IF($B47="","",IF(COUNTIFS(COST!$A$5:$A$104,$B47,COST!$D$5:$D$104,"Fees")=0,"",SUMIFS(COST!$T$5:$T$104,COST!$A$5:$A$104,$B47,COST!$D$5:$D$104,"Fees")))</x:f>
      </x:c>
      <x:c r="Z47" s="125" t="str">
        <x:f t="shared" si="13">IF(OR($B47="",$X47="",$Y47=""),"",$X47-$Y47)</x:f>
      </x:c>
      <x:c r="AA47" s="127" t="str">
        <x:f t="shared" si="7">IFERROR(IF(OR($B47="",$U47="",$U47=0,$G47=""),"",($G47/100)/$U47),"")</x:f>
      </x:c>
      <x:c r="AB47" s="118" t="str">
        <x:f>IF($B47="","",IFERROR(INDEX(InitiativesTable[Delivery group],MATCH($B47,InitiativesTable[Initiative ID],0))&amp;"",""))</x:f>
      </x:c>
      <x:c r="AC47" s="118" t="str">
        <x:f>IF($B47="","",IFERROR(INDEX(InitiativesTable[Entry basis],MATCH($B47,InitiativesTable[Initiative ID],0))&amp;"",""))</x:f>
      </x:c>
      <x:c r="AD47" s="118" t="str">
        <x:f>IF($B47="","",IFERROR(INDEX(InitiativesTable[Delivery model],MATCH($B47,InitiativesTable[Initiative ID],0))&amp;"",""))</x:f>
      </x:c>
      <x:c r="AE47" s="118" t="str">
        <x:f>IF($B47="","",IFERROR(INDEX(InitiativesTable[Detailed plan owner],MATCH($B47,InitiativesTable[Initiative ID],0))&amp;"",""))</x:f>
      </x:c>
      <x:c r="AF47" s="118" t="str">
        <x:f>IF($B47="","",IFERROR(INDEX(InitiativesTable[Budget / cost owner],MATCH($B47,InitiativesTable[Initiative ID],0))&amp;"",""))</x:f>
      </x:c>
      <x:c r="AG47" s="118" t="str">
        <x:f>IF($B47="","",IFERROR(INDEX(InitiativesTable[Digital financial reporting basis],MATCH($B47,InitiativesTable[Initiative ID],0))&amp;"",""))</x:f>
      </x:c>
    </x:row>
    <x:row r="48" ht="20.049999237060547" customHeight="1">
      <x:c r="A48" s="121" t="str">
        <x:f t="shared" ca="1" si="8">IF($B48="","",TODAY())</x:f>
      </x:c>
      <x:c r="B48" s="6" t="str" cm="1">
        <x:f t="array" ref="B48">IFERROR(IF(INDEX(InitiativesTable[Initiative ID],44)="","",INDEX(InitiativesTable[Initiative ID],44)),"")</x:f>
      </x:c>
      <x:c r="C48" s="6" t="str">
        <x:f>IF($B48="","",IFERROR(INDEX(InitiativesTable[Initiative title],MATCH($B48,InitiativesTable[Initiative ID],0))&amp;"",""))</x:f>
      </x:c>
      <x:c r="D48" s="6" t="str">
        <x:f>IF($B48="","",IFERROR(INDEX(InitiativesTable[Lifecycle Status],MATCH($B48,InitiativesTable[Initiative ID],0))&amp;"",""))</x:f>
      </x:c>
      <x:c r="E48" s="6" t="str">
        <x:f>IF($B48="","",IFERROR(INDEX(InitiativesTable[Health],MATCH($B48,InitiativesTable[Initiative ID],0))&amp;"",""))</x:f>
      </x:c>
      <x:c r="F48" s="123" t="str">
        <x:f>IF($B48="","",IF(OR(COUNTIFS(PEP!$B$5:$B$204,$B48,PEP!$C$5:$C$204,"Initiative")&lt;&gt;1,COUNTIFS(PEP!$B$5:$B$204,$B48,PEP!$C$5:$C$204,"Activity")+COUNTIFS(PEP!$B$5:$B$204,$B48,PEP!$C$5:$C$204,"Variation")=0,COUNTIFS(PEP!$B$5:$B$204,$B48,PEP!$C$5:$C$204,"Activity")+COUNTIFS(PEP!$B$5:$B$204,$B48,PEP!$C$5:$C$204,"Variation")&lt;&gt;COUNTIFS(PEP!$B$5:$B$204,$B48,PEP!$C$5:$C$204,"Activity",PEP!$P$5:$P$204,"OK")+COUNTIFS(PEP!$B$5:$B$204,$B48,PEP!$C$5:$C$204,"Variation",PEP!$P$5:$P$204,"OK")),"",100*SUMIFS(PEP!$K$5:$K$204,PEP!$B$5:$B$204,$B48,PEP!$C$5:$C$204,"Initiative")))</x:f>
      </x:c>
      <x:c r="G48" s="123" t="str">
        <x:f>IF($B48="","",IF(OR(COUNTIFS(PEP!$B$5:$B$204,$B48,PEP!$C$5:$C$204,"Initiative")&lt;&gt;1,COUNTIFS(PEP!$B$5:$B$204,$B48,PEP!$C$5:$C$204,"Activity")+COUNTIFS(PEP!$B$5:$B$204,$B48,PEP!$C$5:$C$204,"Variation")=0,COUNTIFS(PEP!$B$5:$B$204,$B48,PEP!$C$5:$C$204,"Activity")+COUNTIFS(PEP!$B$5:$B$204,$B48,PEP!$C$5:$C$204,"Variation")&lt;&gt;COUNTIFS(PEP!$B$5:$B$204,$B48,PEP!$C$5:$C$204,"Activity",PEP!$P$5:$P$204,"OK")+COUNTIFS(PEP!$B$5:$B$204,$B48,PEP!$C$5:$C$204,"Variation",PEP!$P$5:$P$204,"OK")),"",100*SUMIFS(PEP!$L$5:$L$204,PEP!$B$5:$B$204,$B48,PEP!$C$5:$C$204,"Initiative")))</x:f>
      </x:c>
      <x:c r="H48" s="123" t="str">
        <x:f t="shared" si="6">IF(OR($F48="",$G48=""),"",$G48-$F48)</x:f>
      </x:c>
      <x:c r="I48" s="121" t="str">
        <x:f>IF($B48="","",IFERROR(IF(INDEX(InitiativesTable[Baseline finish],MATCH($B48,InitiativesTable[Initiative ID],0))=0,"",INDEX(InitiativesTable[Baseline finish],MATCH($B48,InitiativesTable[Initiative ID],0))),""))</x:f>
      </x:c>
      <x:c r="J48" s="121" t="str">
        <x:f>IF($B48="","",IFERROR(IF(INDEX(InitiativesTable[Forecast finish],MATCH($B48,InitiativesTable[Initiative ID],0))=0,"",INDEX(InitiativesTable[Forecast finish],MATCH($B48,InitiativesTable[Initiative ID],0))),""))</x:f>
      </x:c>
      <x:c r="K48" s="6" t="str">
        <x:f>IF($B48="","",COUNTIFS(PEP!$B$5:$B$204,$B48,PEP!$C$5:$C$204,"Activity",PEP!$N$5:$N$204,"Late")+COUNTIFS(PEP!$B$5:$B$204,$B48,PEP!$C$5:$C$204,"Variation",PEP!$N$5:$N$204,"Late"))</x:f>
      </x:c>
      <x:c r="L48" s="6" t="str">
        <x:f>IF($B48="","",COUNTIFS('CONTROL LOG'!$B$5:$B$204,$B48,'CONTROL LOG'!$H$5:$H$204,"&lt;&gt;",'CONTROL LOG'!$H$5:$H$204,"&lt;&gt;Closed",'CONTROL LOG'!$H$5:$H$204,"&lt;&gt;Superseded"))</x:f>
      </x:c>
      <x:c r="M48" s="6" t="str">
        <x:f>IF($B48="","",COUNTIFS(PEP!$B$5:$B$204,$B48,PEP!$P$5:$P$204,"&lt;&gt;OK",PEP!$P$5:$P$204,"&lt;&gt;"))</x:f>
      </x:c>
      <x:c r="N48" s="6" t="str">
        <x:f>IF($B48="","",IFERROR(INDEX(InitiativesTable[Proposed Status / Health change],MATCH($B48,InitiativesTable[Initiative ID],0))&amp;"",""))</x:f>
      </x:c>
      <x:c r="O48" s="6" t="str">
        <x:f>IF($B48="","",IFERROR(INDEX(InitiativesTable[Digital Lead confirmation],MATCH($B48,InitiativesTable[Initiative ID],0))&amp;"",""))</x:f>
      </x:c>
      <x:c r="P48" s="125" t="str">
        <x:f>IF($B48="","",IF(COUNTIFS(COST!$A$5:$A$104,$B48,COST!$D$5:$D$104,"Labour")=0,"",SUMIFS(COST!$E$5:$E$104,COST!$A$5:$A$104,$B48,COST!$D$5:$D$104,"Labour")))</x:f>
      </x:c>
      <x:c r="Q48" s="125" t="str">
        <x:f>IF($B48="","",IF(COUNTIFS(COST!$A$5:$A$104,$B48,COST!$D$5:$D$104,"Labour")=0,"",SUMIFS(COST!$F$5:$F$104,COST!$A$5:$A$104,$B48,COST!$D$5:$D$104,"Labour")))</x:f>
      </x:c>
      <x:c r="R48" s="125" t="str">
        <x:f t="shared" si="9">IF($B48="","",IF(AND($P48="",$Q48=""),"",N($P48)+N($Q48)))</x:f>
      </x:c>
      <x:c r="S48" s="125" t="str">
        <x:f>IF($B48="","",IF(COUNTIFS(COST!$A$5:$A$104,$B48,COST!$D$5:$D$104,"Labour")=0,"",SUMIFS(COST!$T$5:$T$104,COST!$A$5:$A$104,$B48,COST!$D$5:$D$104,"Labour")))</x:f>
      </x:c>
      <x:c r="T48" s="125" t="str">
        <x:f t="shared" si="10">IF(OR($B48="",$R48="",$S48=""),"",$R48-$S48)</x:f>
      </x:c>
      <x:c r="U48" s="7" t="str">
        <x:f t="shared" si="11">IF(OR($B48="",$R48="",$R48=0,$S48=""),"",$S48/$R48)</x:f>
      </x:c>
      <x:c r="V48" s="125" t="str">
        <x:f>IF($B48="","",IF(COUNTIFS(COST!$A$5:$A$104,$B48,COST!$D$5:$D$104,"Fees")=0,"",SUMIFS(COST!$E$5:$E$104,COST!$A$5:$A$104,$B48,COST!$D$5:$D$104,"Fees")))</x:f>
      </x:c>
      <x:c r="W48" s="125" t="str">
        <x:f>IF($B48="","",IF(COUNTIFS(COST!$A$5:$A$104,$B48,COST!$D$5:$D$104,"Fees")=0,"",SUMIFS(COST!$F$5:$F$104,COST!$A$5:$A$104,$B48,COST!$D$5:$D$104,"Fees")))</x:f>
      </x:c>
      <x:c r="X48" s="125" t="str">
        <x:f t="shared" si="12">IF($B48="","",IF(AND($V48="",$W48=""),"",N($V48)+N($W48)))</x:f>
      </x:c>
      <x:c r="Y48" s="125" t="str">
        <x:f>IF($B48="","",IF(COUNTIFS(COST!$A$5:$A$104,$B48,COST!$D$5:$D$104,"Fees")=0,"",SUMIFS(COST!$T$5:$T$104,COST!$A$5:$A$104,$B48,COST!$D$5:$D$104,"Fees")))</x:f>
      </x:c>
      <x:c r="Z48" s="125" t="str">
        <x:f t="shared" si="13">IF(OR($B48="",$X48="",$Y48=""),"",$X48-$Y48)</x:f>
      </x:c>
      <x:c r="AA48" s="127" t="str">
        <x:f t="shared" si="7">IFERROR(IF(OR($B48="",$U48="",$U48=0,$G48=""),"",($G48/100)/$U48),"")</x:f>
      </x:c>
      <x:c r="AB48" s="118" t="str">
        <x:f>IF($B48="","",IFERROR(INDEX(InitiativesTable[Delivery group],MATCH($B48,InitiativesTable[Initiative ID],0))&amp;"",""))</x:f>
      </x:c>
      <x:c r="AC48" s="118" t="str">
        <x:f>IF($B48="","",IFERROR(INDEX(InitiativesTable[Entry basis],MATCH($B48,InitiativesTable[Initiative ID],0))&amp;"",""))</x:f>
      </x:c>
      <x:c r="AD48" s="118" t="str">
        <x:f>IF($B48="","",IFERROR(INDEX(InitiativesTable[Delivery model],MATCH($B48,InitiativesTable[Initiative ID],0))&amp;"",""))</x:f>
      </x:c>
      <x:c r="AE48" s="118" t="str">
        <x:f>IF($B48="","",IFERROR(INDEX(InitiativesTable[Detailed plan owner],MATCH($B48,InitiativesTable[Initiative ID],0))&amp;"",""))</x:f>
      </x:c>
      <x:c r="AF48" s="118" t="str">
        <x:f>IF($B48="","",IFERROR(INDEX(InitiativesTable[Budget / cost owner],MATCH($B48,InitiativesTable[Initiative ID],0))&amp;"",""))</x:f>
      </x:c>
      <x:c r="AG48" s="118" t="str">
        <x:f>IF($B48="","",IFERROR(INDEX(InitiativesTable[Digital financial reporting basis],MATCH($B48,InitiativesTable[Initiative ID],0))&amp;"",""))</x:f>
      </x:c>
    </x:row>
    <x:row r="49" ht="20.049999237060547" customHeight="1">
      <x:c r="A49" s="121" t="str">
        <x:f t="shared" ca="1" si="8">IF($B49="","",TODAY())</x:f>
      </x:c>
      <x:c r="B49" s="6" t="str" cm="1">
        <x:f t="array" ref="B49">IFERROR(IF(INDEX(InitiativesTable[Initiative ID],45)="","",INDEX(InitiativesTable[Initiative ID],45)),"")</x:f>
      </x:c>
      <x:c r="C49" s="6" t="str">
        <x:f>IF($B49="","",IFERROR(INDEX(InitiativesTable[Initiative title],MATCH($B49,InitiativesTable[Initiative ID],0))&amp;"",""))</x:f>
      </x:c>
      <x:c r="D49" s="6" t="str">
        <x:f>IF($B49="","",IFERROR(INDEX(InitiativesTable[Lifecycle Status],MATCH($B49,InitiativesTable[Initiative ID],0))&amp;"",""))</x:f>
      </x:c>
      <x:c r="E49" s="6" t="str">
        <x:f>IF($B49="","",IFERROR(INDEX(InitiativesTable[Health],MATCH($B49,InitiativesTable[Initiative ID],0))&amp;"",""))</x:f>
      </x:c>
      <x:c r="F49" s="123" t="str">
        <x:f>IF($B49="","",IF(OR(COUNTIFS(PEP!$B$5:$B$204,$B49,PEP!$C$5:$C$204,"Initiative")&lt;&gt;1,COUNTIFS(PEP!$B$5:$B$204,$B49,PEP!$C$5:$C$204,"Activity")+COUNTIFS(PEP!$B$5:$B$204,$B49,PEP!$C$5:$C$204,"Variation")=0,COUNTIFS(PEP!$B$5:$B$204,$B49,PEP!$C$5:$C$204,"Activity")+COUNTIFS(PEP!$B$5:$B$204,$B49,PEP!$C$5:$C$204,"Variation")&lt;&gt;COUNTIFS(PEP!$B$5:$B$204,$B49,PEP!$C$5:$C$204,"Activity",PEP!$P$5:$P$204,"OK")+COUNTIFS(PEP!$B$5:$B$204,$B49,PEP!$C$5:$C$204,"Variation",PEP!$P$5:$P$204,"OK")),"",100*SUMIFS(PEP!$K$5:$K$204,PEP!$B$5:$B$204,$B49,PEP!$C$5:$C$204,"Initiative")))</x:f>
      </x:c>
      <x:c r="G49" s="123" t="str">
        <x:f>IF($B49="","",IF(OR(COUNTIFS(PEP!$B$5:$B$204,$B49,PEP!$C$5:$C$204,"Initiative")&lt;&gt;1,COUNTIFS(PEP!$B$5:$B$204,$B49,PEP!$C$5:$C$204,"Activity")+COUNTIFS(PEP!$B$5:$B$204,$B49,PEP!$C$5:$C$204,"Variation")=0,COUNTIFS(PEP!$B$5:$B$204,$B49,PEP!$C$5:$C$204,"Activity")+COUNTIFS(PEP!$B$5:$B$204,$B49,PEP!$C$5:$C$204,"Variation")&lt;&gt;COUNTIFS(PEP!$B$5:$B$204,$B49,PEP!$C$5:$C$204,"Activity",PEP!$P$5:$P$204,"OK")+COUNTIFS(PEP!$B$5:$B$204,$B49,PEP!$C$5:$C$204,"Variation",PEP!$P$5:$P$204,"OK")),"",100*SUMIFS(PEP!$L$5:$L$204,PEP!$B$5:$B$204,$B49,PEP!$C$5:$C$204,"Initiative")))</x:f>
      </x:c>
      <x:c r="H49" s="123" t="str">
        <x:f t="shared" si="6">IF(OR($F49="",$G49=""),"",$G49-$F49)</x:f>
      </x:c>
      <x:c r="I49" s="121" t="str">
        <x:f>IF($B49="","",IFERROR(IF(INDEX(InitiativesTable[Baseline finish],MATCH($B49,InitiativesTable[Initiative ID],0))=0,"",INDEX(InitiativesTable[Baseline finish],MATCH($B49,InitiativesTable[Initiative ID],0))),""))</x:f>
      </x:c>
      <x:c r="J49" s="121" t="str">
        <x:f>IF($B49="","",IFERROR(IF(INDEX(InitiativesTable[Forecast finish],MATCH($B49,InitiativesTable[Initiative ID],0))=0,"",INDEX(InitiativesTable[Forecast finish],MATCH($B49,InitiativesTable[Initiative ID],0))),""))</x:f>
      </x:c>
      <x:c r="K49" s="6" t="str">
        <x:f>IF($B49="","",COUNTIFS(PEP!$B$5:$B$204,$B49,PEP!$C$5:$C$204,"Activity",PEP!$N$5:$N$204,"Late")+COUNTIFS(PEP!$B$5:$B$204,$B49,PEP!$C$5:$C$204,"Variation",PEP!$N$5:$N$204,"Late"))</x:f>
      </x:c>
      <x:c r="L49" s="6" t="str">
        <x:f>IF($B49="","",COUNTIFS('CONTROL LOG'!$B$5:$B$204,$B49,'CONTROL LOG'!$H$5:$H$204,"&lt;&gt;",'CONTROL LOG'!$H$5:$H$204,"&lt;&gt;Closed",'CONTROL LOG'!$H$5:$H$204,"&lt;&gt;Superseded"))</x:f>
      </x:c>
      <x:c r="M49" s="6" t="str">
        <x:f>IF($B49="","",COUNTIFS(PEP!$B$5:$B$204,$B49,PEP!$P$5:$P$204,"&lt;&gt;OK",PEP!$P$5:$P$204,"&lt;&gt;"))</x:f>
      </x:c>
      <x:c r="N49" s="6" t="str">
        <x:f>IF($B49="","",IFERROR(INDEX(InitiativesTable[Proposed Status / Health change],MATCH($B49,InitiativesTable[Initiative ID],0))&amp;"",""))</x:f>
      </x:c>
      <x:c r="O49" s="6" t="str">
        <x:f>IF($B49="","",IFERROR(INDEX(InitiativesTable[Digital Lead confirmation],MATCH($B49,InitiativesTable[Initiative ID],0))&amp;"",""))</x:f>
      </x:c>
      <x:c r="P49" s="125" t="str">
        <x:f>IF($B49="","",IF(COUNTIFS(COST!$A$5:$A$104,$B49,COST!$D$5:$D$104,"Labour")=0,"",SUMIFS(COST!$E$5:$E$104,COST!$A$5:$A$104,$B49,COST!$D$5:$D$104,"Labour")))</x:f>
      </x:c>
      <x:c r="Q49" s="125" t="str">
        <x:f>IF($B49="","",IF(COUNTIFS(COST!$A$5:$A$104,$B49,COST!$D$5:$D$104,"Labour")=0,"",SUMIFS(COST!$F$5:$F$104,COST!$A$5:$A$104,$B49,COST!$D$5:$D$104,"Labour")))</x:f>
      </x:c>
      <x:c r="R49" s="125" t="str">
        <x:f t="shared" si="9">IF($B49="","",IF(AND($P49="",$Q49=""),"",N($P49)+N($Q49)))</x:f>
      </x:c>
      <x:c r="S49" s="125" t="str">
        <x:f>IF($B49="","",IF(COUNTIFS(COST!$A$5:$A$104,$B49,COST!$D$5:$D$104,"Labour")=0,"",SUMIFS(COST!$T$5:$T$104,COST!$A$5:$A$104,$B49,COST!$D$5:$D$104,"Labour")))</x:f>
      </x:c>
      <x:c r="T49" s="125" t="str">
        <x:f t="shared" si="10">IF(OR($B49="",$R49="",$S49=""),"",$R49-$S49)</x:f>
      </x:c>
      <x:c r="U49" s="7" t="str">
        <x:f t="shared" si="11">IF(OR($B49="",$R49="",$R49=0,$S49=""),"",$S49/$R49)</x:f>
      </x:c>
      <x:c r="V49" s="125" t="str">
        <x:f>IF($B49="","",IF(COUNTIFS(COST!$A$5:$A$104,$B49,COST!$D$5:$D$104,"Fees")=0,"",SUMIFS(COST!$E$5:$E$104,COST!$A$5:$A$104,$B49,COST!$D$5:$D$104,"Fees")))</x:f>
      </x:c>
      <x:c r="W49" s="125" t="str">
        <x:f>IF($B49="","",IF(COUNTIFS(COST!$A$5:$A$104,$B49,COST!$D$5:$D$104,"Fees")=0,"",SUMIFS(COST!$F$5:$F$104,COST!$A$5:$A$104,$B49,COST!$D$5:$D$104,"Fees")))</x:f>
      </x:c>
      <x:c r="X49" s="125" t="str">
        <x:f t="shared" si="12">IF($B49="","",IF(AND($V49="",$W49=""),"",N($V49)+N($W49)))</x:f>
      </x:c>
      <x:c r="Y49" s="125" t="str">
        <x:f>IF($B49="","",IF(COUNTIFS(COST!$A$5:$A$104,$B49,COST!$D$5:$D$104,"Fees")=0,"",SUMIFS(COST!$T$5:$T$104,COST!$A$5:$A$104,$B49,COST!$D$5:$D$104,"Fees")))</x:f>
      </x:c>
      <x:c r="Z49" s="125" t="str">
        <x:f t="shared" si="13">IF(OR($B49="",$X49="",$Y49=""),"",$X49-$Y49)</x:f>
      </x:c>
      <x:c r="AA49" s="127" t="str">
        <x:f t="shared" si="7">IFERROR(IF(OR($B49="",$U49="",$U49=0,$G49=""),"",($G49/100)/$U49),"")</x:f>
      </x:c>
      <x:c r="AB49" s="118" t="str">
        <x:f>IF($B49="","",IFERROR(INDEX(InitiativesTable[Delivery group],MATCH($B49,InitiativesTable[Initiative ID],0))&amp;"",""))</x:f>
      </x:c>
      <x:c r="AC49" s="118" t="str">
        <x:f>IF($B49="","",IFERROR(INDEX(InitiativesTable[Entry basis],MATCH($B49,InitiativesTable[Initiative ID],0))&amp;"",""))</x:f>
      </x:c>
      <x:c r="AD49" s="118" t="str">
        <x:f>IF($B49="","",IFERROR(INDEX(InitiativesTable[Delivery model],MATCH($B49,InitiativesTable[Initiative ID],0))&amp;"",""))</x:f>
      </x:c>
      <x:c r="AE49" s="118" t="str">
        <x:f>IF($B49="","",IFERROR(INDEX(InitiativesTable[Detailed plan owner],MATCH($B49,InitiativesTable[Initiative ID],0))&amp;"",""))</x:f>
      </x:c>
      <x:c r="AF49" s="118" t="str">
        <x:f>IF($B49="","",IFERROR(INDEX(InitiativesTable[Budget / cost owner],MATCH($B49,InitiativesTable[Initiative ID],0))&amp;"",""))</x:f>
      </x:c>
      <x:c r="AG49" s="118" t="str">
        <x:f>IF($B49="","",IFERROR(INDEX(InitiativesTable[Digital financial reporting basis],MATCH($B49,InitiativesTable[Initiative ID],0))&amp;"",""))</x:f>
      </x:c>
    </x:row>
    <x:row r="50" ht="20.049999237060547" customHeight="1">
      <x:c r="A50" s="121" t="str">
        <x:f t="shared" ca="1" si="8">IF($B50="","",TODAY())</x:f>
      </x:c>
      <x:c r="B50" s="6" t="str" cm="1">
        <x:f t="array" ref="B50">IFERROR(IF(INDEX(InitiativesTable[Initiative ID],46)="","",INDEX(InitiativesTable[Initiative ID],46)),"")</x:f>
      </x:c>
      <x:c r="C50" s="6" t="str">
        <x:f>IF($B50="","",IFERROR(INDEX(InitiativesTable[Initiative title],MATCH($B50,InitiativesTable[Initiative ID],0))&amp;"",""))</x:f>
      </x:c>
      <x:c r="D50" s="6" t="str">
        <x:f>IF($B50="","",IFERROR(INDEX(InitiativesTable[Lifecycle Status],MATCH($B50,InitiativesTable[Initiative ID],0))&amp;"",""))</x:f>
      </x:c>
      <x:c r="E50" s="6" t="str">
        <x:f>IF($B50="","",IFERROR(INDEX(InitiativesTable[Health],MATCH($B50,InitiativesTable[Initiative ID],0))&amp;"",""))</x:f>
      </x:c>
      <x:c r="F50" s="123" t="str">
        <x:f>IF($B50="","",IF(OR(COUNTIFS(PEP!$B$5:$B$204,$B50,PEP!$C$5:$C$204,"Initiative")&lt;&gt;1,COUNTIFS(PEP!$B$5:$B$204,$B50,PEP!$C$5:$C$204,"Activity")+COUNTIFS(PEP!$B$5:$B$204,$B50,PEP!$C$5:$C$204,"Variation")=0,COUNTIFS(PEP!$B$5:$B$204,$B50,PEP!$C$5:$C$204,"Activity")+COUNTIFS(PEP!$B$5:$B$204,$B50,PEP!$C$5:$C$204,"Variation")&lt;&gt;COUNTIFS(PEP!$B$5:$B$204,$B50,PEP!$C$5:$C$204,"Activity",PEP!$P$5:$P$204,"OK")+COUNTIFS(PEP!$B$5:$B$204,$B50,PEP!$C$5:$C$204,"Variation",PEP!$P$5:$P$204,"OK")),"",100*SUMIFS(PEP!$K$5:$K$204,PEP!$B$5:$B$204,$B50,PEP!$C$5:$C$204,"Initiative")))</x:f>
      </x:c>
      <x:c r="G50" s="123" t="str">
        <x:f>IF($B50="","",IF(OR(COUNTIFS(PEP!$B$5:$B$204,$B50,PEP!$C$5:$C$204,"Initiative")&lt;&gt;1,COUNTIFS(PEP!$B$5:$B$204,$B50,PEP!$C$5:$C$204,"Activity")+COUNTIFS(PEP!$B$5:$B$204,$B50,PEP!$C$5:$C$204,"Variation")=0,COUNTIFS(PEP!$B$5:$B$204,$B50,PEP!$C$5:$C$204,"Activity")+COUNTIFS(PEP!$B$5:$B$204,$B50,PEP!$C$5:$C$204,"Variation")&lt;&gt;COUNTIFS(PEP!$B$5:$B$204,$B50,PEP!$C$5:$C$204,"Activity",PEP!$P$5:$P$204,"OK")+COUNTIFS(PEP!$B$5:$B$204,$B50,PEP!$C$5:$C$204,"Variation",PEP!$P$5:$P$204,"OK")),"",100*SUMIFS(PEP!$L$5:$L$204,PEP!$B$5:$B$204,$B50,PEP!$C$5:$C$204,"Initiative")))</x:f>
      </x:c>
      <x:c r="H50" s="123" t="str">
        <x:f t="shared" si="6">IF(OR($F50="",$G50=""),"",$G50-$F50)</x:f>
      </x:c>
      <x:c r="I50" s="121" t="str">
        <x:f>IF($B50="","",IFERROR(IF(INDEX(InitiativesTable[Baseline finish],MATCH($B50,InitiativesTable[Initiative ID],0))=0,"",INDEX(InitiativesTable[Baseline finish],MATCH($B50,InitiativesTable[Initiative ID],0))),""))</x:f>
      </x:c>
      <x:c r="J50" s="121" t="str">
        <x:f>IF($B50="","",IFERROR(IF(INDEX(InitiativesTable[Forecast finish],MATCH($B50,InitiativesTable[Initiative ID],0))=0,"",INDEX(InitiativesTable[Forecast finish],MATCH($B50,InitiativesTable[Initiative ID],0))),""))</x:f>
      </x:c>
      <x:c r="K50" s="6" t="str">
        <x:f>IF($B50="","",COUNTIFS(PEP!$B$5:$B$204,$B50,PEP!$C$5:$C$204,"Activity",PEP!$N$5:$N$204,"Late")+COUNTIFS(PEP!$B$5:$B$204,$B50,PEP!$C$5:$C$204,"Variation",PEP!$N$5:$N$204,"Late"))</x:f>
      </x:c>
      <x:c r="L50" s="6" t="str">
        <x:f>IF($B50="","",COUNTIFS('CONTROL LOG'!$B$5:$B$204,$B50,'CONTROL LOG'!$H$5:$H$204,"&lt;&gt;",'CONTROL LOG'!$H$5:$H$204,"&lt;&gt;Closed",'CONTROL LOG'!$H$5:$H$204,"&lt;&gt;Superseded"))</x:f>
      </x:c>
      <x:c r="M50" s="6" t="str">
        <x:f>IF($B50="","",COUNTIFS(PEP!$B$5:$B$204,$B50,PEP!$P$5:$P$204,"&lt;&gt;OK",PEP!$P$5:$P$204,"&lt;&gt;"))</x:f>
      </x:c>
      <x:c r="N50" s="6" t="str">
        <x:f>IF($B50="","",IFERROR(INDEX(InitiativesTable[Proposed Status / Health change],MATCH($B50,InitiativesTable[Initiative ID],0))&amp;"",""))</x:f>
      </x:c>
      <x:c r="O50" s="6" t="str">
        <x:f>IF($B50="","",IFERROR(INDEX(InitiativesTable[Digital Lead confirmation],MATCH($B50,InitiativesTable[Initiative ID],0))&amp;"",""))</x:f>
      </x:c>
      <x:c r="P50" s="125" t="str">
        <x:f>IF($B50="","",IF(COUNTIFS(COST!$A$5:$A$104,$B50,COST!$D$5:$D$104,"Labour")=0,"",SUMIFS(COST!$E$5:$E$104,COST!$A$5:$A$104,$B50,COST!$D$5:$D$104,"Labour")))</x:f>
      </x:c>
      <x:c r="Q50" s="125" t="str">
        <x:f>IF($B50="","",IF(COUNTIFS(COST!$A$5:$A$104,$B50,COST!$D$5:$D$104,"Labour")=0,"",SUMIFS(COST!$F$5:$F$104,COST!$A$5:$A$104,$B50,COST!$D$5:$D$104,"Labour")))</x:f>
      </x:c>
      <x:c r="R50" s="125" t="str">
        <x:f t="shared" si="9">IF($B50="","",IF(AND($P50="",$Q50=""),"",N($P50)+N($Q50)))</x:f>
      </x:c>
      <x:c r="S50" s="125" t="str">
        <x:f>IF($B50="","",IF(COUNTIFS(COST!$A$5:$A$104,$B50,COST!$D$5:$D$104,"Labour")=0,"",SUMIFS(COST!$T$5:$T$104,COST!$A$5:$A$104,$B50,COST!$D$5:$D$104,"Labour")))</x:f>
      </x:c>
      <x:c r="T50" s="125" t="str">
        <x:f t="shared" si="10">IF(OR($B50="",$R50="",$S50=""),"",$R50-$S50)</x:f>
      </x:c>
      <x:c r="U50" s="7" t="str">
        <x:f t="shared" si="11">IF(OR($B50="",$R50="",$R50=0,$S50=""),"",$S50/$R50)</x:f>
      </x:c>
      <x:c r="V50" s="125" t="str">
        <x:f>IF($B50="","",IF(COUNTIFS(COST!$A$5:$A$104,$B50,COST!$D$5:$D$104,"Fees")=0,"",SUMIFS(COST!$E$5:$E$104,COST!$A$5:$A$104,$B50,COST!$D$5:$D$104,"Fees")))</x:f>
      </x:c>
      <x:c r="W50" s="125" t="str">
        <x:f>IF($B50="","",IF(COUNTIFS(COST!$A$5:$A$104,$B50,COST!$D$5:$D$104,"Fees")=0,"",SUMIFS(COST!$F$5:$F$104,COST!$A$5:$A$104,$B50,COST!$D$5:$D$104,"Fees")))</x:f>
      </x:c>
      <x:c r="X50" s="125" t="str">
        <x:f t="shared" si="12">IF($B50="","",IF(AND($V50="",$W50=""),"",N($V50)+N($W50)))</x:f>
      </x:c>
      <x:c r="Y50" s="125" t="str">
        <x:f>IF($B50="","",IF(COUNTIFS(COST!$A$5:$A$104,$B50,COST!$D$5:$D$104,"Fees")=0,"",SUMIFS(COST!$T$5:$T$104,COST!$A$5:$A$104,$B50,COST!$D$5:$D$104,"Fees")))</x:f>
      </x:c>
      <x:c r="Z50" s="125" t="str">
        <x:f t="shared" si="13">IF(OR($B50="",$X50="",$Y50=""),"",$X50-$Y50)</x:f>
      </x:c>
      <x:c r="AA50" s="127" t="str">
        <x:f t="shared" si="7">IFERROR(IF(OR($B50="",$U50="",$U50=0,$G50=""),"",($G50/100)/$U50),"")</x:f>
      </x:c>
      <x:c r="AB50" s="118" t="str">
        <x:f>IF($B50="","",IFERROR(INDEX(InitiativesTable[Delivery group],MATCH($B50,InitiativesTable[Initiative ID],0))&amp;"",""))</x:f>
      </x:c>
      <x:c r="AC50" s="118" t="str">
        <x:f>IF($B50="","",IFERROR(INDEX(InitiativesTable[Entry basis],MATCH($B50,InitiativesTable[Initiative ID],0))&amp;"",""))</x:f>
      </x:c>
      <x:c r="AD50" s="118" t="str">
        <x:f>IF($B50="","",IFERROR(INDEX(InitiativesTable[Delivery model],MATCH($B50,InitiativesTable[Initiative ID],0))&amp;"",""))</x:f>
      </x:c>
      <x:c r="AE50" s="118" t="str">
        <x:f>IF($B50="","",IFERROR(INDEX(InitiativesTable[Detailed plan owner],MATCH($B50,InitiativesTable[Initiative ID],0))&amp;"",""))</x:f>
      </x:c>
      <x:c r="AF50" s="118" t="str">
        <x:f>IF($B50="","",IFERROR(INDEX(InitiativesTable[Budget / cost owner],MATCH($B50,InitiativesTable[Initiative ID],0))&amp;"",""))</x:f>
      </x:c>
      <x:c r="AG50" s="118" t="str">
        <x:f>IF($B50="","",IFERROR(INDEX(InitiativesTable[Digital financial reporting basis],MATCH($B50,InitiativesTable[Initiative ID],0))&amp;"",""))</x:f>
      </x:c>
    </x:row>
    <x:row r="51" ht="20.049999237060547" customHeight="1">
      <x:c r="A51" s="121" t="str">
        <x:f t="shared" ca="1" si="8">IF($B51="","",TODAY())</x:f>
      </x:c>
      <x:c r="B51" s="6" t="str" cm="1">
        <x:f t="array" ref="B51">IFERROR(IF(INDEX(InitiativesTable[Initiative ID],47)="","",INDEX(InitiativesTable[Initiative ID],47)),"")</x:f>
      </x:c>
      <x:c r="C51" s="6" t="str">
        <x:f>IF($B51="","",IFERROR(INDEX(InitiativesTable[Initiative title],MATCH($B51,InitiativesTable[Initiative ID],0))&amp;"",""))</x:f>
      </x:c>
      <x:c r="D51" s="6" t="str">
        <x:f>IF($B51="","",IFERROR(INDEX(InitiativesTable[Lifecycle Status],MATCH($B51,InitiativesTable[Initiative ID],0))&amp;"",""))</x:f>
      </x:c>
      <x:c r="E51" s="6" t="str">
        <x:f>IF($B51="","",IFERROR(INDEX(InitiativesTable[Health],MATCH($B51,InitiativesTable[Initiative ID],0))&amp;"",""))</x:f>
      </x:c>
      <x:c r="F51" s="123" t="str">
        <x:f>IF($B51="","",IF(OR(COUNTIFS(PEP!$B$5:$B$204,$B51,PEP!$C$5:$C$204,"Initiative")&lt;&gt;1,COUNTIFS(PEP!$B$5:$B$204,$B51,PEP!$C$5:$C$204,"Activity")+COUNTIFS(PEP!$B$5:$B$204,$B51,PEP!$C$5:$C$204,"Variation")=0,COUNTIFS(PEP!$B$5:$B$204,$B51,PEP!$C$5:$C$204,"Activity")+COUNTIFS(PEP!$B$5:$B$204,$B51,PEP!$C$5:$C$204,"Variation")&lt;&gt;COUNTIFS(PEP!$B$5:$B$204,$B51,PEP!$C$5:$C$204,"Activity",PEP!$P$5:$P$204,"OK")+COUNTIFS(PEP!$B$5:$B$204,$B51,PEP!$C$5:$C$204,"Variation",PEP!$P$5:$P$204,"OK")),"",100*SUMIFS(PEP!$K$5:$K$204,PEP!$B$5:$B$204,$B51,PEP!$C$5:$C$204,"Initiative")))</x:f>
      </x:c>
      <x:c r="G51" s="123" t="str">
        <x:f>IF($B51="","",IF(OR(COUNTIFS(PEP!$B$5:$B$204,$B51,PEP!$C$5:$C$204,"Initiative")&lt;&gt;1,COUNTIFS(PEP!$B$5:$B$204,$B51,PEP!$C$5:$C$204,"Activity")+COUNTIFS(PEP!$B$5:$B$204,$B51,PEP!$C$5:$C$204,"Variation")=0,COUNTIFS(PEP!$B$5:$B$204,$B51,PEP!$C$5:$C$204,"Activity")+COUNTIFS(PEP!$B$5:$B$204,$B51,PEP!$C$5:$C$204,"Variation")&lt;&gt;COUNTIFS(PEP!$B$5:$B$204,$B51,PEP!$C$5:$C$204,"Activity",PEP!$P$5:$P$204,"OK")+COUNTIFS(PEP!$B$5:$B$204,$B51,PEP!$C$5:$C$204,"Variation",PEP!$P$5:$P$204,"OK")),"",100*SUMIFS(PEP!$L$5:$L$204,PEP!$B$5:$B$204,$B51,PEP!$C$5:$C$204,"Initiative")))</x:f>
      </x:c>
      <x:c r="H51" s="123" t="str">
        <x:f t="shared" si="6">IF(OR($F51="",$G51=""),"",$G51-$F51)</x:f>
      </x:c>
      <x:c r="I51" s="121" t="str">
        <x:f>IF($B51="","",IFERROR(IF(INDEX(InitiativesTable[Baseline finish],MATCH($B51,InitiativesTable[Initiative ID],0))=0,"",INDEX(InitiativesTable[Baseline finish],MATCH($B51,InitiativesTable[Initiative ID],0))),""))</x:f>
      </x:c>
      <x:c r="J51" s="121" t="str">
        <x:f>IF($B51="","",IFERROR(IF(INDEX(InitiativesTable[Forecast finish],MATCH($B51,InitiativesTable[Initiative ID],0))=0,"",INDEX(InitiativesTable[Forecast finish],MATCH($B51,InitiativesTable[Initiative ID],0))),""))</x:f>
      </x:c>
      <x:c r="K51" s="6" t="str">
        <x:f>IF($B51="","",COUNTIFS(PEP!$B$5:$B$204,$B51,PEP!$C$5:$C$204,"Activity",PEP!$N$5:$N$204,"Late")+COUNTIFS(PEP!$B$5:$B$204,$B51,PEP!$C$5:$C$204,"Variation",PEP!$N$5:$N$204,"Late"))</x:f>
      </x:c>
      <x:c r="L51" s="6" t="str">
        <x:f>IF($B51="","",COUNTIFS('CONTROL LOG'!$B$5:$B$204,$B51,'CONTROL LOG'!$H$5:$H$204,"&lt;&gt;",'CONTROL LOG'!$H$5:$H$204,"&lt;&gt;Closed",'CONTROL LOG'!$H$5:$H$204,"&lt;&gt;Superseded"))</x:f>
      </x:c>
      <x:c r="M51" s="6" t="str">
        <x:f>IF($B51="","",COUNTIFS(PEP!$B$5:$B$204,$B51,PEP!$P$5:$P$204,"&lt;&gt;OK",PEP!$P$5:$P$204,"&lt;&gt;"))</x:f>
      </x:c>
      <x:c r="N51" s="6" t="str">
        <x:f>IF($B51="","",IFERROR(INDEX(InitiativesTable[Proposed Status / Health change],MATCH($B51,InitiativesTable[Initiative ID],0))&amp;"",""))</x:f>
      </x:c>
      <x:c r="O51" s="6" t="str">
        <x:f>IF($B51="","",IFERROR(INDEX(InitiativesTable[Digital Lead confirmation],MATCH($B51,InitiativesTable[Initiative ID],0))&amp;"",""))</x:f>
      </x:c>
      <x:c r="P51" s="125" t="str">
        <x:f>IF($B51="","",IF(COUNTIFS(COST!$A$5:$A$104,$B51,COST!$D$5:$D$104,"Labour")=0,"",SUMIFS(COST!$E$5:$E$104,COST!$A$5:$A$104,$B51,COST!$D$5:$D$104,"Labour")))</x:f>
      </x:c>
      <x:c r="Q51" s="125" t="str">
        <x:f>IF($B51="","",IF(COUNTIFS(COST!$A$5:$A$104,$B51,COST!$D$5:$D$104,"Labour")=0,"",SUMIFS(COST!$F$5:$F$104,COST!$A$5:$A$104,$B51,COST!$D$5:$D$104,"Labour")))</x:f>
      </x:c>
      <x:c r="R51" s="125" t="str">
        <x:f t="shared" si="9">IF($B51="","",IF(AND($P51="",$Q51=""),"",N($P51)+N($Q51)))</x:f>
      </x:c>
      <x:c r="S51" s="125" t="str">
        <x:f>IF($B51="","",IF(COUNTIFS(COST!$A$5:$A$104,$B51,COST!$D$5:$D$104,"Labour")=0,"",SUMIFS(COST!$T$5:$T$104,COST!$A$5:$A$104,$B51,COST!$D$5:$D$104,"Labour")))</x:f>
      </x:c>
      <x:c r="T51" s="125" t="str">
        <x:f t="shared" si="10">IF(OR($B51="",$R51="",$S51=""),"",$R51-$S51)</x:f>
      </x:c>
      <x:c r="U51" s="7" t="str">
        <x:f t="shared" si="11">IF(OR($B51="",$R51="",$R51=0,$S51=""),"",$S51/$R51)</x:f>
      </x:c>
      <x:c r="V51" s="125" t="str">
        <x:f>IF($B51="","",IF(COUNTIFS(COST!$A$5:$A$104,$B51,COST!$D$5:$D$104,"Fees")=0,"",SUMIFS(COST!$E$5:$E$104,COST!$A$5:$A$104,$B51,COST!$D$5:$D$104,"Fees")))</x:f>
      </x:c>
      <x:c r="W51" s="125" t="str">
        <x:f>IF($B51="","",IF(COUNTIFS(COST!$A$5:$A$104,$B51,COST!$D$5:$D$104,"Fees")=0,"",SUMIFS(COST!$F$5:$F$104,COST!$A$5:$A$104,$B51,COST!$D$5:$D$104,"Fees")))</x:f>
      </x:c>
      <x:c r="X51" s="125" t="str">
        <x:f t="shared" si="12">IF($B51="","",IF(AND($V51="",$W51=""),"",N($V51)+N($W51)))</x:f>
      </x:c>
      <x:c r="Y51" s="125" t="str">
        <x:f>IF($B51="","",IF(COUNTIFS(COST!$A$5:$A$104,$B51,COST!$D$5:$D$104,"Fees")=0,"",SUMIFS(COST!$T$5:$T$104,COST!$A$5:$A$104,$B51,COST!$D$5:$D$104,"Fees")))</x:f>
      </x:c>
      <x:c r="Z51" s="125" t="str">
        <x:f t="shared" si="13">IF(OR($B51="",$X51="",$Y51=""),"",$X51-$Y51)</x:f>
      </x:c>
      <x:c r="AA51" s="127" t="str">
        <x:f t="shared" si="7">IFERROR(IF(OR($B51="",$U51="",$U51=0,$G51=""),"",($G51/100)/$U51),"")</x:f>
      </x:c>
      <x:c r="AB51" s="118" t="str">
        <x:f>IF($B51="","",IFERROR(INDEX(InitiativesTable[Delivery group],MATCH($B51,InitiativesTable[Initiative ID],0))&amp;"",""))</x:f>
      </x:c>
      <x:c r="AC51" s="118" t="str">
        <x:f>IF($B51="","",IFERROR(INDEX(InitiativesTable[Entry basis],MATCH($B51,InitiativesTable[Initiative ID],0))&amp;"",""))</x:f>
      </x:c>
      <x:c r="AD51" s="118" t="str">
        <x:f>IF($B51="","",IFERROR(INDEX(InitiativesTable[Delivery model],MATCH($B51,InitiativesTable[Initiative ID],0))&amp;"",""))</x:f>
      </x:c>
      <x:c r="AE51" s="118" t="str">
        <x:f>IF($B51="","",IFERROR(INDEX(InitiativesTable[Detailed plan owner],MATCH($B51,InitiativesTable[Initiative ID],0))&amp;"",""))</x:f>
      </x:c>
      <x:c r="AF51" s="118" t="str">
        <x:f>IF($B51="","",IFERROR(INDEX(InitiativesTable[Budget / cost owner],MATCH($B51,InitiativesTable[Initiative ID],0))&amp;"",""))</x:f>
      </x:c>
      <x:c r="AG51" s="118" t="str">
        <x:f>IF($B51="","",IFERROR(INDEX(InitiativesTable[Digital financial reporting basis],MATCH($B51,InitiativesTable[Initiative ID],0))&amp;"",""))</x:f>
      </x:c>
    </x:row>
    <x:row r="52" ht="20.049999237060547" customHeight="1">
      <x:c r="A52" s="121" t="str">
        <x:f t="shared" ca="1" si="8">IF($B52="","",TODAY())</x:f>
      </x:c>
      <x:c r="B52" s="6" t="str" cm="1">
        <x:f t="array" ref="B52">IFERROR(IF(INDEX(InitiativesTable[Initiative ID],48)="","",INDEX(InitiativesTable[Initiative ID],48)),"")</x:f>
      </x:c>
      <x:c r="C52" s="6" t="str">
        <x:f>IF($B52="","",IFERROR(INDEX(InitiativesTable[Initiative title],MATCH($B52,InitiativesTable[Initiative ID],0))&amp;"",""))</x:f>
      </x:c>
      <x:c r="D52" s="6" t="str">
        <x:f>IF($B52="","",IFERROR(INDEX(InitiativesTable[Lifecycle Status],MATCH($B52,InitiativesTable[Initiative ID],0))&amp;"",""))</x:f>
      </x:c>
      <x:c r="E52" s="6" t="str">
        <x:f>IF($B52="","",IFERROR(INDEX(InitiativesTable[Health],MATCH($B52,InitiativesTable[Initiative ID],0))&amp;"",""))</x:f>
      </x:c>
      <x:c r="F52" s="123" t="str">
        <x:f>IF($B52="","",IF(OR(COUNTIFS(PEP!$B$5:$B$204,$B52,PEP!$C$5:$C$204,"Initiative")&lt;&gt;1,COUNTIFS(PEP!$B$5:$B$204,$B52,PEP!$C$5:$C$204,"Activity")+COUNTIFS(PEP!$B$5:$B$204,$B52,PEP!$C$5:$C$204,"Variation")=0,COUNTIFS(PEP!$B$5:$B$204,$B52,PEP!$C$5:$C$204,"Activity")+COUNTIFS(PEP!$B$5:$B$204,$B52,PEP!$C$5:$C$204,"Variation")&lt;&gt;COUNTIFS(PEP!$B$5:$B$204,$B52,PEP!$C$5:$C$204,"Activity",PEP!$P$5:$P$204,"OK")+COUNTIFS(PEP!$B$5:$B$204,$B52,PEP!$C$5:$C$204,"Variation",PEP!$P$5:$P$204,"OK")),"",100*SUMIFS(PEP!$K$5:$K$204,PEP!$B$5:$B$204,$B52,PEP!$C$5:$C$204,"Initiative")))</x:f>
      </x:c>
      <x:c r="G52" s="123" t="str">
        <x:f>IF($B52="","",IF(OR(COUNTIFS(PEP!$B$5:$B$204,$B52,PEP!$C$5:$C$204,"Initiative")&lt;&gt;1,COUNTIFS(PEP!$B$5:$B$204,$B52,PEP!$C$5:$C$204,"Activity")+COUNTIFS(PEP!$B$5:$B$204,$B52,PEP!$C$5:$C$204,"Variation")=0,COUNTIFS(PEP!$B$5:$B$204,$B52,PEP!$C$5:$C$204,"Activity")+COUNTIFS(PEP!$B$5:$B$204,$B52,PEP!$C$5:$C$204,"Variation")&lt;&gt;COUNTIFS(PEP!$B$5:$B$204,$B52,PEP!$C$5:$C$204,"Activity",PEP!$P$5:$P$204,"OK")+COUNTIFS(PEP!$B$5:$B$204,$B52,PEP!$C$5:$C$204,"Variation",PEP!$P$5:$P$204,"OK")),"",100*SUMIFS(PEP!$L$5:$L$204,PEP!$B$5:$B$204,$B52,PEP!$C$5:$C$204,"Initiative")))</x:f>
      </x:c>
      <x:c r="H52" s="123" t="str">
        <x:f t="shared" si="6">IF(OR($F52="",$G52=""),"",$G52-$F52)</x:f>
      </x:c>
      <x:c r="I52" s="121" t="str">
        <x:f>IF($B52="","",IFERROR(IF(INDEX(InitiativesTable[Baseline finish],MATCH($B52,InitiativesTable[Initiative ID],0))=0,"",INDEX(InitiativesTable[Baseline finish],MATCH($B52,InitiativesTable[Initiative ID],0))),""))</x:f>
      </x:c>
      <x:c r="J52" s="121" t="str">
        <x:f>IF($B52="","",IFERROR(IF(INDEX(InitiativesTable[Forecast finish],MATCH($B52,InitiativesTable[Initiative ID],0))=0,"",INDEX(InitiativesTable[Forecast finish],MATCH($B52,InitiativesTable[Initiative ID],0))),""))</x:f>
      </x:c>
      <x:c r="K52" s="6" t="str">
        <x:f>IF($B52="","",COUNTIFS(PEP!$B$5:$B$204,$B52,PEP!$C$5:$C$204,"Activity",PEP!$N$5:$N$204,"Late")+COUNTIFS(PEP!$B$5:$B$204,$B52,PEP!$C$5:$C$204,"Variation",PEP!$N$5:$N$204,"Late"))</x:f>
      </x:c>
      <x:c r="L52" s="6" t="str">
        <x:f>IF($B52="","",COUNTIFS('CONTROL LOG'!$B$5:$B$204,$B52,'CONTROL LOG'!$H$5:$H$204,"&lt;&gt;",'CONTROL LOG'!$H$5:$H$204,"&lt;&gt;Closed",'CONTROL LOG'!$H$5:$H$204,"&lt;&gt;Superseded"))</x:f>
      </x:c>
      <x:c r="M52" s="6" t="str">
        <x:f>IF($B52="","",COUNTIFS(PEP!$B$5:$B$204,$B52,PEP!$P$5:$P$204,"&lt;&gt;OK",PEP!$P$5:$P$204,"&lt;&gt;"))</x:f>
      </x:c>
      <x:c r="N52" s="6" t="str">
        <x:f>IF($B52="","",IFERROR(INDEX(InitiativesTable[Proposed Status / Health change],MATCH($B52,InitiativesTable[Initiative ID],0))&amp;"",""))</x:f>
      </x:c>
      <x:c r="O52" s="6" t="str">
        <x:f>IF($B52="","",IFERROR(INDEX(InitiativesTable[Digital Lead confirmation],MATCH($B52,InitiativesTable[Initiative ID],0))&amp;"",""))</x:f>
      </x:c>
      <x:c r="P52" s="125" t="str">
        <x:f>IF($B52="","",IF(COUNTIFS(COST!$A$5:$A$104,$B52,COST!$D$5:$D$104,"Labour")=0,"",SUMIFS(COST!$E$5:$E$104,COST!$A$5:$A$104,$B52,COST!$D$5:$D$104,"Labour")))</x:f>
      </x:c>
      <x:c r="Q52" s="125" t="str">
        <x:f>IF($B52="","",IF(COUNTIFS(COST!$A$5:$A$104,$B52,COST!$D$5:$D$104,"Labour")=0,"",SUMIFS(COST!$F$5:$F$104,COST!$A$5:$A$104,$B52,COST!$D$5:$D$104,"Labour")))</x:f>
      </x:c>
      <x:c r="R52" s="125" t="str">
        <x:f t="shared" si="9">IF($B52="","",IF(AND($P52="",$Q52=""),"",N($P52)+N($Q52)))</x:f>
      </x:c>
      <x:c r="S52" s="125" t="str">
        <x:f>IF($B52="","",IF(COUNTIFS(COST!$A$5:$A$104,$B52,COST!$D$5:$D$104,"Labour")=0,"",SUMIFS(COST!$T$5:$T$104,COST!$A$5:$A$104,$B52,COST!$D$5:$D$104,"Labour")))</x:f>
      </x:c>
      <x:c r="T52" s="125" t="str">
        <x:f t="shared" si="10">IF(OR($B52="",$R52="",$S52=""),"",$R52-$S52)</x:f>
      </x:c>
      <x:c r="U52" s="7" t="str">
        <x:f t="shared" si="11">IF(OR($B52="",$R52="",$R52=0,$S52=""),"",$S52/$R52)</x:f>
      </x:c>
      <x:c r="V52" s="125" t="str">
        <x:f>IF($B52="","",IF(COUNTIFS(COST!$A$5:$A$104,$B52,COST!$D$5:$D$104,"Fees")=0,"",SUMIFS(COST!$E$5:$E$104,COST!$A$5:$A$104,$B52,COST!$D$5:$D$104,"Fees")))</x:f>
      </x:c>
      <x:c r="W52" s="125" t="str">
        <x:f>IF($B52="","",IF(COUNTIFS(COST!$A$5:$A$104,$B52,COST!$D$5:$D$104,"Fees")=0,"",SUMIFS(COST!$F$5:$F$104,COST!$A$5:$A$104,$B52,COST!$D$5:$D$104,"Fees")))</x:f>
      </x:c>
      <x:c r="X52" s="125" t="str">
        <x:f t="shared" si="12">IF($B52="","",IF(AND($V52="",$W52=""),"",N($V52)+N($W52)))</x:f>
      </x:c>
      <x:c r="Y52" s="125" t="str">
        <x:f>IF($B52="","",IF(COUNTIFS(COST!$A$5:$A$104,$B52,COST!$D$5:$D$104,"Fees")=0,"",SUMIFS(COST!$T$5:$T$104,COST!$A$5:$A$104,$B52,COST!$D$5:$D$104,"Fees")))</x:f>
      </x:c>
      <x:c r="Z52" s="125" t="str">
        <x:f t="shared" si="13">IF(OR($B52="",$X52="",$Y52=""),"",$X52-$Y52)</x:f>
      </x:c>
      <x:c r="AA52" s="127" t="str">
        <x:f t="shared" si="7">IFERROR(IF(OR($B52="",$U52="",$U52=0,$G52=""),"",($G52/100)/$U52),"")</x:f>
      </x:c>
      <x:c r="AB52" s="118" t="str">
        <x:f>IF($B52="","",IFERROR(INDEX(InitiativesTable[Delivery group],MATCH($B52,InitiativesTable[Initiative ID],0))&amp;"",""))</x:f>
      </x:c>
      <x:c r="AC52" s="118" t="str">
        <x:f>IF($B52="","",IFERROR(INDEX(InitiativesTable[Entry basis],MATCH($B52,InitiativesTable[Initiative ID],0))&amp;"",""))</x:f>
      </x:c>
      <x:c r="AD52" s="118" t="str">
        <x:f>IF($B52="","",IFERROR(INDEX(InitiativesTable[Delivery model],MATCH($B52,InitiativesTable[Initiative ID],0))&amp;"",""))</x:f>
      </x:c>
      <x:c r="AE52" s="118" t="str">
        <x:f>IF($B52="","",IFERROR(INDEX(InitiativesTable[Detailed plan owner],MATCH($B52,InitiativesTable[Initiative ID],0))&amp;"",""))</x:f>
      </x:c>
      <x:c r="AF52" s="118" t="str">
        <x:f>IF($B52="","",IFERROR(INDEX(InitiativesTable[Budget / cost owner],MATCH($B52,InitiativesTable[Initiative ID],0))&amp;"",""))</x:f>
      </x:c>
      <x:c r="AG52" s="118" t="str">
        <x:f>IF($B52="","",IFERROR(INDEX(InitiativesTable[Digital financial reporting basis],MATCH($B52,InitiativesTable[Initiative ID],0))&amp;"",""))</x:f>
      </x:c>
    </x:row>
    <x:row r="53" ht="20.049999237060547" customHeight="1">
      <x:c r="A53" s="121" t="str">
        <x:f t="shared" ca="1" si="8">IF($B53="","",TODAY())</x:f>
      </x:c>
      <x:c r="B53" s="6" t="str" cm="1">
        <x:f t="array" ref="B53">IFERROR(IF(INDEX(InitiativesTable[Initiative ID],49)="","",INDEX(InitiativesTable[Initiative ID],49)),"")</x:f>
      </x:c>
      <x:c r="C53" s="6" t="str">
        <x:f>IF($B53="","",IFERROR(INDEX(InitiativesTable[Initiative title],MATCH($B53,InitiativesTable[Initiative ID],0))&amp;"",""))</x:f>
      </x:c>
      <x:c r="D53" s="6" t="str">
        <x:f>IF($B53="","",IFERROR(INDEX(InitiativesTable[Lifecycle Status],MATCH($B53,InitiativesTable[Initiative ID],0))&amp;"",""))</x:f>
      </x:c>
      <x:c r="E53" s="6" t="str">
        <x:f>IF($B53="","",IFERROR(INDEX(InitiativesTable[Health],MATCH($B53,InitiativesTable[Initiative ID],0))&amp;"",""))</x:f>
      </x:c>
      <x:c r="F53" s="123" t="str">
        <x:f>IF($B53="","",IF(OR(COUNTIFS(PEP!$B$5:$B$204,$B53,PEP!$C$5:$C$204,"Initiative")&lt;&gt;1,COUNTIFS(PEP!$B$5:$B$204,$B53,PEP!$C$5:$C$204,"Activity")+COUNTIFS(PEP!$B$5:$B$204,$B53,PEP!$C$5:$C$204,"Variation")=0,COUNTIFS(PEP!$B$5:$B$204,$B53,PEP!$C$5:$C$204,"Activity")+COUNTIFS(PEP!$B$5:$B$204,$B53,PEP!$C$5:$C$204,"Variation")&lt;&gt;COUNTIFS(PEP!$B$5:$B$204,$B53,PEP!$C$5:$C$204,"Activity",PEP!$P$5:$P$204,"OK")+COUNTIFS(PEP!$B$5:$B$204,$B53,PEP!$C$5:$C$204,"Variation",PEP!$P$5:$P$204,"OK")),"",100*SUMIFS(PEP!$K$5:$K$204,PEP!$B$5:$B$204,$B53,PEP!$C$5:$C$204,"Initiative")))</x:f>
      </x:c>
      <x:c r="G53" s="123" t="str">
        <x:f>IF($B53="","",IF(OR(COUNTIFS(PEP!$B$5:$B$204,$B53,PEP!$C$5:$C$204,"Initiative")&lt;&gt;1,COUNTIFS(PEP!$B$5:$B$204,$B53,PEP!$C$5:$C$204,"Activity")+COUNTIFS(PEP!$B$5:$B$204,$B53,PEP!$C$5:$C$204,"Variation")=0,COUNTIFS(PEP!$B$5:$B$204,$B53,PEP!$C$5:$C$204,"Activity")+COUNTIFS(PEP!$B$5:$B$204,$B53,PEP!$C$5:$C$204,"Variation")&lt;&gt;COUNTIFS(PEP!$B$5:$B$204,$B53,PEP!$C$5:$C$204,"Activity",PEP!$P$5:$P$204,"OK")+COUNTIFS(PEP!$B$5:$B$204,$B53,PEP!$C$5:$C$204,"Variation",PEP!$P$5:$P$204,"OK")),"",100*SUMIFS(PEP!$L$5:$L$204,PEP!$B$5:$B$204,$B53,PEP!$C$5:$C$204,"Initiative")))</x:f>
      </x:c>
      <x:c r="H53" s="123" t="str">
        <x:f t="shared" si="6">IF(OR($F53="",$G53=""),"",$G53-$F53)</x:f>
      </x:c>
      <x:c r="I53" s="121" t="str">
        <x:f>IF($B53="","",IFERROR(IF(INDEX(InitiativesTable[Baseline finish],MATCH($B53,InitiativesTable[Initiative ID],0))=0,"",INDEX(InitiativesTable[Baseline finish],MATCH($B53,InitiativesTable[Initiative ID],0))),""))</x:f>
      </x:c>
      <x:c r="J53" s="121" t="str">
        <x:f>IF($B53="","",IFERROR(IF(INDEX(InitiativesTable[Forecast finish],MATCH($B53,InitiativesTable[Initiative ID],0))=0,"",INDEX(InitiativesTable[Forecast finish],MATCH($B53,InitiativesTable[Initiative ID],0))),""))</x:f>
      </x:c>
      <x:c r="K53" s="6" t="str">
        <x:f>IF($B53="","",COUNTIFS(PEP!$B$5:$B$204,$B53,PEP!$C$5:$C$204,"Activity",PEP!$N$5:$N$204,"Late")+COUNTIFS(PEP!$B$5:$B$204,$B53,PEP!$C$5:$C$204,"Variation",PEP!$N$5:$N$204,"Late"))</x:f>
      </x:c>
      <x:c r="L53" s="6" t="str">
        <x:f>IF($B53="","",COUNTIFS('CONTROL LOG'!$B$5:$B$204,$B53,'CONTROL LOG'!$H$5:$H$204,"&lt;&gt;",'CONTROL LOG'!$H$5:$H$204,"&lt;&gt;Closed",'CONTROL LOG'!$H$5:$H$204,"&lt;&gt;Superseded"))</x:f>
      </x:c>
      <x:c r="M53" s="6" t="str">
        <x:f>IF($B53="","",COUNTIFS(PEP!$B$5:$B$204,$B53,PEP!$P$5:$P$204,"&lt;&gt;OK",PEP!$P$5:$P$204,"&lt;&gt;"))</x:f>
      </x:c>
      <x:c r="N53" s="6" t="str">
        <x:f>IF($B53="","",IFERROR(INDEX(InitiativesTable[Proposed Status / Health change],MATCH($B53,InitiativesTable[Initiative ID],0))&amp;"",""))</x:f>
      </x:c>
      <x:c r="O53" s="6" t="str">
        <x:f>IF($B53="","",IFERROR(INDEX(InitiativesTable[Digital Lead confirmation],MATCH($B53,InitiativesTable[Initiative ID],0))&amp;"",""))</x:f>
      </x:c>
      <x:c r="P53" s="125" t="str">
        <x:f>IF($B53="","",IF(COUNTIFS(COST!$A$5:$A$104,$B53,COST!$D$5:$D$104,"Labour")=0,"",SUMIFS(COST!$E$5:$E$104,COST!$A$5:$A$104,$B53,COST!$D$5:$D$104,"Labour")))</x:f>
      </x:c>
      <x:c r="Q53" s="125" t="str">
        <x:f>IF($B53="","",IF(COUNTIFS(COST!$A$5:$A$104,$B53,COST!$D$5:$D$104,"Labour")=0,"",SUMIFS(COST!$F$5:$F$104,COST!$A$5:$A$104,$B53,COST!$D$5:$D$104,"Labour")))</x:f>
      </x:c>
      <x:c r="R53" s="125" t="str">
        <x:f t="shared" si="9">IF($B53="","",IF(AND($P53="",$Q53=""),"",N($P53)+N($Q53)))</x:f>
      </x:c>
      <x:c r="S53" s="125" t="str">
        <x:f>IF($B53="","",IF(COUNTIFS(COST!$A$5:$A$104,$B53,COST!$D$5:$D$104,"Labour")=0,"",SUMIFS(COST!$T$5:$T$104,COST!$A$5:$A$104,$B53,COST!$D$5:$D$104,"Labour")))</x:f>
      </x:c>
      <x:c r="T53" s="125" t="str">
        <x:f t="shared" si="10">IF(OR($B53="",$R53="",$S53=""),"",$R53-$S53)</x:f>
      </x:c>
      <x:c r="U53" s="7" t="str">
        <x:f t="shared" si="11">IF(OR($B53="",$R53="",$R53=0,$S53=""),"",$S53/$R53)</x:f>
      </x:c>
      <x:c r="V53" s="125" t="str">
        <x:f>IF($B53="","",IF(COUNTIFS(COST!$A$5:$A$104,$B53,COST!$D$5:$D$104,"Fees")=0,"",SUMIFS(COST!$E$5:$E$104,COST!$A$5:$A$104,$B53,COST!$D$5:$D$104,"Fees")))</x:f>
      </x:c>
      <x:c r="W53" s="125" t="str">
        <x:f>IF($B53="","",IF(COUNTIFS(COST!$A$5:$A$104,$B53,COST!$D$5:$D$104,"Fees")=0,"",SUMIFS(COST!$F$5:$F$104,COST!$A$5:$A$104,$B53,COST!$D$5:$D$104,"Fees")))</x:f>
      </x:c>
      <x:c r="X53" s="125" t="str">
        <x:f t="shared" si="12">IF($B53="","",IF(AND($V53="",$W53=""),"",N($V53)+N($W53)))</x:f>
      </x:c>
      <x:c r="Y53" s="125" t="str">
        <x:f>IF($B53="","",IF(COUNTIFS(COST!$A$5:$A$104,$B53,COST!$D$5:$D$104,"Fees")=0,"",SUMIFS(COST!$T$5:$T$104,COST!$A$5:$A$104,$B53,COST!$D$5:$D$104,"Fees")))</x:f>
      </x:c>
      <x:c r="Z53" s="125" t="str">
        <x:f t="shared" si="13">IF(OR($B53="",$X53="",$Y53=""),"",$X53-$Y53)</x:f>
      </x:c>
      <x:c r="AA53" s="127" t="str">
        <x:f t="shared" si="7">IFERROR(IF(OR($B53="",$U53="",$U53=0,$G53=""),"",($G53/100)/$U53),"")</x:f>
      </x:c>
      <x:c r="AB53" s="118" t="str">
        <x:f>IF($B53="","",IFERROR(INDEX(InitiativesTable[Delivery group],MATCH($B53,InitiativesTable[Initiative ID],0))&amp;"",""))</x:f>
      </x:c>
      <x:c r="AC53" s="118" t="str">
        <x:f>IF($B53="","",IFERROR(INDEX(InitiativesTable[Entry basis],MATCH($B53,InitiativesTable[Initiative ID],0))&amp;"",""))</x:f>
      </x:c>
      <x:c r="AD53" s="118" t="str">
        <x:f>IF($B53="","",IFERROR(INDEX(InitiativesTable[Delivery model],MATCH($B53,InitiativesTable[Initiative ID],0))&amp;"",""))</x:f>
      </x:c>
      <x:c r="AE53" s="118" t="str">
        <x:f>IF($B53="","",IFERROR(INDEX(InitiativesTable[Detailed plan owner],MATCH($B53,InitiativesTable[Initiative ID],0))&amp;"",""))</x:f>
      </x:c>
      <x:c r="AF53" s="118" t="str">
        <x:f>IF($B53="","",IFERROR(INDEX(InitiativesTable[Budget / cost owner],MATCH($B53,InitiativesTable[Initiative ID],0))&amp;"",""))</x:f>
      </x:c>
      <x:c r="AG53" s="118" t="str">
        <x:f>IF($B53="","",IFERROR(INDEX(InitiativesTable[Digital financial reporting basis],MATCH($B53,InitiativesTable[Initiative ID],0))&amp;"",""))</x:f>
      </x:c>
    </x:row>
    <x:row r="54" ht="20.049999237060547" customHeight="1">
      <x:c r="A54" s="121" t="str">
        <x:f t="shared" ca="1" si="8">IF($B54="","",TODAY())</x:f>
      </x:c>
      <x:c r="B54" s="6" t="str" cm="1">
        <x:f t="array" ref="B54">IFERROR(IF(INDEX(InitiativesTable[Initiative ID],50)="","",INDEX(InitiativesTable[Initiative ID],50)),"")</x:f>
      </x:c>
      <x:c r="C54" s="6" t="str">
        <x:f>IF($B54="","",IFERROR(INDEX(InitiativesTable[Initiative title],MATCH($B54,InitiativesTable[Initiative ID],0))&amp;"",""))</x:f>
      </x:c>
      <x:c r="D54" s="6" t="str">
        <x:f>IF($B54="","",IFERROR(INDEX(InitiativesTable[Lifecycle Status],MATCH($B54,InitiativesTable[Initiative ID],0))&amp;"",""))</x:f>
      </x:c>
      <x:c r="E54" s="6" t="str">
        <x:f>IF($B54="","",IFERROR(INDEX(InitiativesTable[Health],MATCH($B54,InitiativesTable[Initiative ID],0))&amp;"",""))</x:f>
      </x:c>
      <x:c r="F54" s="123" t="str">
        <x:f>IF($B54="","",IF(OR(COUNTIFS(PEP!$B$5:$B$204,$B54,PEP!$C$5:$C$204,"Initiative")&lt;&gt;1,COUNTIFS(PEP!$B$5:$B$204,$B54,PEP!$C$5:$C$204,"Activity")+COUNTIFS(PEP!$B$5:$B$204,$B54,PEP!$C$5:$C$204,"Variation")=0,COUNTIFS(PEP!$B$5:$B$204,$B54,PEP!$C$5:$C$204,"Activity")+COUNTIFS(PEP!$B$5:$B$204,$B54,PEP!$C$5:$C$204,"Variation")&lt;&gt;COUNTIFS(PEP!$B$5:$B$204,$B54,PEP!$C$5:$C$204,"Activity",PEP!$P$5:$P$204,"OK")+COUNTIFS(PEP!$B$5:$B$204,$B54,PEP!$C$5:$C$204,"Variation",PEP!$P$5:$P$204,"OK")),"",100*SUMIFS(PEP!$K$5:$K$204,PEP!$B$5:$B$204,$B54,PEP!$C$5:$C$204,"Initiative")))</x:f>
      </x:c>
      <x:c r="G54" s="123" t="str">
        <x:f>IF($B54="","",IF(OR(COUNTIFS(PEP!$B$5:$B$204,$B54,PEP!$C$5:$C$204,"Initiative")&lt;&gt;1,COUNTIFS(PEP!$B$5:$B$204,$B54,PEP!$C$5:$C$204,"Activity")+COUNTIFS(PEP!$B$5:$B$204,$B54,PEP!$C$5:$C$204,"Variation")=0,COUNTIFS(PEP!$B$5:$B$204,$B54,PEP!$C$5:$C$204,"Activity")+COUNTIFS(PEP!$B$5:$B$204,$B54,PEP!$C$5:$C$204,"Variation")&lt;&gt;COUNTIFS(PEP!$B$5:$B$204,$B54,PEP!$C$5:$C$204,"Activity",PEP!$P$5:$P$204,"OK")+COUNTIFS(PEP!$B$5:$B$204,$B54,PEP!$C$5:$C$204,"Variation",PEP!$P$5:$P$204,"OK")),"",100*SUMIFS(PEP!$L$5:$L$204,PEP!$B$5:$B$204,$B54,PEP!$C$5:$C$204,"Initiative")))</x:f>
      </x:c>
      <x:c r="H54" s="123" t="str">
        <x:f t="shared" si="6">IF(OR($F54="",$G54=""),"",$G54-$F54)</x:f>
      </x:c>
      <x:c r="I54" s="121" t="str">
        <x:f>IF($B54="","",IFERROR(IF(INDEX(InitiativesTable[Baseline finish],MATCH($B54,InitiativesTable[Initiative ID],0))=0,"",INDEX(InitiativesTable[Baseline finish],MATCH($B54,InitiativesTable[Initiative ID],0))),""))</x:f>
      </x:c>
      <x:c r="J54" s="121" t="str">
        <x:f>IF($B54="","",IFERROR(IF(INDEX(InitiativesTable[Forecast finish],MATCH($B54,InitiativesTable[Initiative ID],0))=0,"",INDEX(InitiativesTable[Forecast finish],MATCH($B54,InitiativesTable[Initiative ID],0))),""))</x:f>
      </x:c>
      <x:c r="K54" s="6" t="str">
        <x:f>IF($B54="","",COUNTIFS(PEP!$B$5:$B$204,$B54,PEP!$C$5:$C$204,"Activity",PEP!$N$5:$N$204,"Late")+COUNTIFS(PEP!$B$5:$B$204,$B54,PEP!$C$5:$C$204,"Variation",PEP!$N$5:$N$204,"Late"))</x:f>
      </x:c>
      <x:c r="L54" s="6" t="str">
        <x:f>IF($B54="","",COUNTIFS('CONTROL LOG'!$B$5:$B$204,$B54,'CONTROL LOG'!$H$5:$H$204,"&lt;&gt;",'CONTROL LOG'!$H$5:$H$204,"&lt;&gt;Closed",'CONTROL LOG'!$H$5:$H$204,"&lt;&gt;Superseded"))</x:f>
      </x:c>
      <x:c r="M54" s="6" t="str">
        <x:f>IF($B54="","",COUNTIFS(PEP!$B$5:$B$204,$B54,PEP!$P$5:$P$204,"&lt;&gt;OK",PEP!$P$5:$P$204,"&lt;&gt;"))</x:f>
      </x:c>
      <x:c r="N54" s="6" t="str">
        <x:f>IF($B54="","",IFERROR(INDEX(InitiativesTable[Proposed Status / Health change],MATCH($B54,InitiativesTable[Initiative ID],0))&amp;"",""))</x:f>
      </x:c>
      <x:c r="O54" s="6" t="str">
        <x:f>IF($B54="","",IFERROR(INDEX(InitiativesTable[Digital Lead confirmation],MATCH($B54,InitiativesTable[Initiative ID],0))&amp;"",""))</x:f>
      </x:c>
      <x:c r="P54" s="125" t="str">
        <x:f>IF($B54="","",IF(COUNTIFS(COST!$A$5:$A$104,$B54,COST!$D$5:$D$104,"Labour")=0,"",SUMIFS(COST!$E$5:$E$104,COST!$A$5:$A$104,$B54,COST!$D$5:$D$104,"Labour")))</x:f>
      </x:c>
      <x:c r="Q54" s="125" t="str">
        <x:f>IF($B54="","",IF(COUNTIFS(COST!$A$5:$A$104,$B54,COST!$D$5:$D$104,"Labour")=0,"",SUMIFS(COST!$F$5:$F$104,COST!$A$5:$A$104,$B54,COST!$D$5:$D$104,"Labour")))</x:f>
      </x:c>
      <x:c r="R54" s="125" t="str">
        <x:f t="shared" si="9">IF($B54="","",IF(AND($P54="",$Q54=""),"",N($P54)+N($Q54)))</x:f>
      </x:c>
      <x:c r="S54" s="125" t="str">
        <x:f>IF($B54="","",IF(COUNTIFS(COST!$A$5:$A$104,$B54,COST!$D$5:$D$104,"Labour")=0,"",SUMIFS(COST!$T$5:$T$104,COST!$A$5:$A$104,$B54,COST!$D$5:$D$104,"Labour")))</x:f>
      </x:c>
      <x:c r="T54" s="125" t="str">
        <x:f t="shared" si="10">IF(OR($B54="",$R54="",$S54=""),"",$R54-$S54)</x:f>
      </x:c>
      <x:c r="U54" s="7" t="str">
        <x:f t="shared" si="11">IF(OR($B54="",$R54="",$R54=0,$S54=""),"",$S54/$R54)</x:f>
      </x:c>
      <x:c r="V54" s="125" t="str">
        <x:f>IF($B54="","",IF(COUNTIFS(COST!$A$5:$A$104,$B54,COST!$D$5:$D$104,"Fees")=0,"",SUMIFS(COST!$E$5:$E$104,COST!$A$5:$A$104,$B54,COST!$D$5:$D$104,"Fees")))</x:f>
      </x:c>
      <x:c r="W54" s="125" t="str">
        <x:f>IF($B54="","",IF(COUNTIFS(COST!$A$5:$A$104,$B54,COST!$D$5:$D$104,"Fees")=0,"",SUMIFS(COST!$F$5:$F$104,COST!$A$5:$A$104,$B54,COST!$D$5:$D$104,"Fees")))</x:f>
      </x:c>
      <x:c r="X54" s="125" t="str">
        <x:f t="shared" si="12">IF($B54="","",IF(AND($V54="",$W54=""),"",N($V54)+N($W54)))</x:f>
      </x:c>
      <x:c r="Y54" s="125" t="str">
        <x:f>IF($B54="","",IF(COUNTIFS(COST!$A$5:$A$104,$B54,COST!$D$5:$D$104,"Fees")=0,"",SUMIFS(COST!$T$5:$T$104,COST!$A$5:$A$104,$B54,COST!$D$5:$D$104,"Fees")))</x:f>
      </x:c>
      <x:c r="Z54" s="125" t="str">
        <x:f t="shared" si="13">IF(OR($B54="",$X54="",$Y54=""),"",$X54-$Y54)</x:f>
      </x:c>
      <x:c r="AA54" s="127" t="str">
        <x:f t="shared" si="7">IFERROR(IF(OR($B54="",$U54="",$U54=0,$G54=""),"",($G54/100)/$U54),"")</x:f>
      </x:c>
      <x:c r="AB54" s="119" t="str">
        <x:f>IF($B54="","",IFERROR(INDEX(InitiativesTable[Delivery group],MATCH($B54,InitiativesTable[Initiative ID],0))&amp;"",""))</x:f>
      </x:c>
      <x:c r="AC54" s="119" t="str">
        <x:f>IF($B54="","",IFERROR(INDEX(InitiativesTable[Entry basis],MATCH($B54,InitiativesTable[Initiative ID],0))&amp;"",""))</x:f>
      </x:c>
      <x:c r="AD54" s="119" t="str">
        <x:f>IF($B54="","",IFERROR(INDEX(InitiativesTable[Delivery model],MATCH($B54,InitiativesTable[Initiative ID],0))&amp;"",""))</x:f>
      </x:c>
      <x:c r="AE54" s="119" t="str">
        <x:f>IF($B54="","",IFERROR(INDEX(InitiativesTable[Detailed plan owner],MATCH($B54,InitiativesTable[Initiative ID],0))&amp;"",""))</x:f>
      </x:c>
      <x:c r="AF54" s="119" t="str">
        <x:f>IF($B54="","",IFERROR(INDEX(InitiativesTable[Budget / cost owner],MATCH($B54,InitiativesTable[Initiative ID],0))&amp;"",""))</x:f>
      </x:c>
      <x:c r="AG54" s="119" t="str">
        <x:f>IF($B54="","",IFERROR(INDEX(InitiativesTable[Digital financial reporting basis],MATCH($B54,InitiativesTable[Initiative ID],0))&amp;"",""))</x:f>
      </x:c>
    </x:row>
  </x:sheetData>
  <x:mergeCells>
    <x:mergeCell ref="A1:AF1"/>
    <x:mergeCell ref="A2:AF2"/>
  </x:mergeCells>
  <x:conditionalFormatting sqref="M5:M54">
    <x:cfRule type="cellIs" dxfId="35" priority="1" operator="greaterThan">
      <x:formula>0</x:formula>
    </x:cfRule>
  </x:conditionalFormatting>
  <x:conditionalFormatting sqref="AA5:AA54">
    <x:cfRule type="expression" dxfId="34" priority="2">
      <x:formula>AND($AA5&lt;&gt;"",$AA5&gt;=1)</x:formula>
    </x:cfRule>
    <x:cfRule type="expression" dxfId="33" priority="3">
      <x:formula>AND($AA5&lt;&gt;"",$AA5&gt;=0.9,$AA5&lt;1)</x:formula>
    </x:cfRule>
    <x:cfRule type="expression" dxfId="32" priority="4">
      <x:formula>AND($AA5&lt;&gt;"",$AA5&lt;0.9)</x:formula>
    </x:cfRule>
  </x:conditionalFormatting>
  <x:pageMargins left="0.7" right="0.7" top="0.75" bottom="0.75" header="0.3" footer="0.3"/>
  <x:drawing xmlns:r="http://schemas.openxmlformats.org/officeDocument/2006/relationships" r:id="R498032c2edd04c4b"/>
</x:worksheet>
</file>

<file path=xl/worksheets/sheet8.xml><?xml version="1.0" encoding="utf-8"?>
<x:worksheet xmlns:x="http://schemas.openxmlformats.org/spreadsheetml/2006/main">
  <x:sheetFormatPr defaultRowHeight="14.149999618530273"/>
  <x:sheetData>
    <x:row r="1">
      <x:c r="A1" t="s">
        <x:v>9</x:v>
      </x:c>
      <x:c r="B1" t="s">
        <x:v>245</x:v>
      </x:c>
    </x:row>
    <x:row r="2">
      <x:c r="A2" t="s">
        <x:v>38</x:v>
      </x:c>
      <x:c r="B2" t="n">
        <x:f>COUNTIF('PORTFOLIO REPORT'!$D$9:$D$20,A2)</x:f>
        <x:v>5</x:v>
      </x:c>
    </x:row>
    <x:row r="3">
      <x:c r="A3" t="s">
        <x:v>61</x:v>
      </x:c>
      <x:c r="B3" t="n">
        <x:f>COUNTIF('PORTFOLIO REPORT'!$D$9:$D$20,A3)</x:f>
        <x:v>2</x:v>
      </x:c>
    </x:row>
    <x:row r="4">
      <x:c r="A4" t="s">
        <x:v>44</x:v>
      </x:c>
      <x:c r="B4" t="n">
        <x:f>COUNTIF('PORTFOLIO REPORT'!$D$9:$D$20,A4)</x:f>
        <x:v>2</x:v>
      </x:c>
    </x:row>
    <x:row r="5">
      <x:c r="A5" t="s">
        <x:v>55</x:v>
      </x:c>
      <x:c r="B5" t="n">
        <x:f>COUNTIF('PORTFOLIO REPORT'!$D$9:$D$20,A5)</x:f>
        <x:v>1</x:v>
      </x:c>
    </x:row>
    <x:row r="6">
      <x:c r="A6" t="s">
        <x:v>75</x:v>
      </x:c>
      <x:c r="B6" t="n">
        <x:f>COUNTIF('PORTFOLIO REPORT'!$D$9:$D$20,A6)</x:f>
        <x:v>1</x:v>
      </x:c>
    </x:row>
    <x:row r="7">
      <x:c r="A7" t="s">
        <x:v>82</x:v>
      </x:c>
      <x:c r="B7" t="n">
        <x:f>COUNTIF('PORTFOLIO REPORT'!$D$9:$D$20,A7)</x:f>
        <x:v>1</x:v>
      </x:c>
    </x:row>
  </x:sheetData>
  <x:pageMargins left="0.7" right="0.7" top="0.75" bottom="0.75" header="0.3" footer="0.3"/>
</x:worksheet>
</file>